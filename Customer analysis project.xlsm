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slicers/slicer1.xml" ContentType="application/vnd.ms-excel.slicer+xml"/>
  <Override PartName="/xl/timelines/timeline1.xml" ContentType="application/vnd.ms-excel.timeline+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Ex2.xml" ContentType="application/vnd.ms-office.chartex+xml"/>
  <Override PartName="/xl/charts/style2.xml" ContentType="application/vnd.ms-office.chartstyle+xml"/>
  <Override PartName="/xl/charts/colors2.xml" ContentType="application/vnd.ms-office.chartcolorstyle+xml"/>
  <Override PartName="/xl/charts/chartEx3.xml" ContentType="application/vnd.ms-office.chartex+xml"/>
  <Override PartName="/xl/charts/style3.xml" ContentType="application/vnd.ms-office.chartstyle+xml"/>
  <Override PartName="/xl/charts/colors3.xml" ContentType="application/vnd.ms-office.chartcolorstyle+xml"/>
  <Override PartName="/xl/charts/chart1.xml" ContentType="application/vnd.openxmlformats-officedocument.drawingml.chart+xml"/>
  <Override PartName="/xl/charts/style4.xml" ContentType="application/vnd.ms-office.chartstyle+xml"/>
  <Override PartName="/xl/charts/colors4.xml" ContentType="application/vnd.ms-office.chartcolorstyle+xml"/>
  <Override PartName="/xl/charts/chart2.xml" ContentType="application/vnd.openxmlformats-officedocument.drawingml.chart+xml"/>
  <Override PartName="/xl/charts/style5.xml" ContentType="application/vnd.ms-office.chartstyle+xml"/>
  <Override PartName="/xl/charts/colors5.xml" ContentType="application/vnd.ms-office.chartcolorstyle+xml"/>
  <Override PartName="/xl/charts/chart3.xml" ContentType="application/vnd.openxmlformats-officedocument.drawingml.chart+xml"/>
  <Override PartName="/xl/charts/style6.xml" ContentType="application/vnd.ms-office.chartstyle+xml"/>
  <Override PartName="/xl/charts/colors6.xml" ContentType="application/vnd.ms-office.chartcolorstyle+xml"/>
  <Override PartName="/xl/charts/chart4.xml" ContentType="application/vnd.openxmlformats-officedocument.drawingml.chart+xml"/>
  <Override PartName="/xl/charts/style7.xml" ContentType="application/vnd.ms-office.chartstyle+xml"/>
  <Override PartName="/xl/charts/colors7.xml" ContentType="application/vnd.ms-office.chartcolorstyle+xml"/>
  <Override PartName="/xl/charts/chart5.xml" ContentType="application/vnd.openxmlformats-officedocument.drawingml.chart+xml"/>
  <Override PartName="/xl/charts/style8.xml" ContentType="application/vnd.ms-office.chartstyle+xml"/>
  <Override PartName="/xl/charts/colors8.xml" ContentType="application/vnd.ms-office.chartcolorsty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slicers/slicer2.xml" ContentType="application/vnd.ms-excel.slicer+xml"/>
  <Override PartName="/xl/charts/chart6.xml" ContentType="application/vnd.openxmlformats-officedocument.drawingml.chart+xml"/>
  <Override PartName="/xl/charts/style9.xml" ContentType="application/vnd.ms-office.chartstyle+xml"/>
  <Override PartName="/xl/charts/colors9.xml" ContentType="application/vnd.ms-office.chartcolorstyle+xml"/>
  <Override PartName="/xl/charts/chart7.xml" ContentType="application/vnd.openxmlformats-officedocument.drawingml.chart+xml"/>
  <Override PartName="/xl/charts/style10.xml" ContentType="application/vnd.ms-office.chartstyle+xml"/>
  <Override PartName="/xl/charts/colors10.xml" ContentType="application/vnd.ms-office.chartcolorstyle+xml"/>
  <Override PartName="/xl/charts/chart8.xml" ContentType="application/vnd.openxmlformats-officedocument.drawingml.chart+xml"/>
  <Override PartName="/xl/charts/style11.xml" ContentType="application/vnd.ms-office.chartstyle+xml"/>
  <Override PartName="/xl/charts/colors11.xml" ContentType="application/vnd.ms-office.chartcolorstyle+xml"/>
  <Override PartName="/xl/charts/chart9.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Admin\Desktop\NM\IBAM\"/>
    </mc:Choice>
  </mc:AlternateContent>
  <xr:revisionPtr revIDLastSave="0" documentId="13_ncr:1_{85984A1C-EA6F-4C37-AC1F-26BD6774EDAF}" xr6:coauthVersionLast="47" xr6:coauthVersionMax="47" xr10:uidLastSave="{00000000-0000-0000-0000-000000000000}"/>
  <bookViews>
    <workbookView xWindow="-110" yWindow="-110" windowWidth="19420" windowHeight="10300" xr2:uid="{00000000-000D-0000-FFFF-FFFF00000000}"/>
  </bookViews>
  <sheets>
    <sheet name="Customer Dashboard" sheetId="11" r:id="rId1"/>
    <sheet name="Purchases Dashboard" sheetId="16" r:id="rId2"/>
    <sheet name="marketing_campaign" sheetId="1" r:id="rId3"/>
    <sheet name="Tables" sheetId="4" r:id="rId4"/>
  </sheets>
  <definedNames>
    <definedName name="_xlnm._FilterDatabase" localSheetId="2" hidden="1">marketing_campaign!$A$1:$AB$2056</definedName>
    <definedName name="_xlchart.v1.2" hidden="1">Tables!$C$75:$C$78</definedName>
    <definedName name="_xlchart.v1.3" hidden="1">Tables!$D$75:$D$78</definedName>
    <definedName name="_xlchart.v1.4" hidden="1">Tables!$E$69:$F$71</definedName>
    <definedName name="_xlchart.v1.5" hidden="1">Tables!$G$68</definedName>
    <definedName name="_xlchart.v1.6" hidden="1">Tables!$G$69:$G$71</definedName>
    <definedName name="_xlchart.v2.0" hidden="1">Tables!$D$83:$D$86</definedName>
    <definedName name="_xlchart.v2.1" hidden="1">Tables!$E$83:$E$86</definedName>
    <definedName name="Education">Tables!$A$1:$A$4</definedName>
    <definedName name="Marital_Status">Tables!$A$1:$A$5</definedName>
    <definedName name="NativeTimeline_Dt_Customer">#N/A</definedName>
    <definedName name="Slicer_Income_bracket">#N/A</definedName>
    <definedName name="Slicer_Marital_Status">#N/A</definedName>
  </definedNames>
  <calcPr calcId="191029"/>
  <pivotCaches>
    <pivotCache cacheId="130" r:id="rId5"/>
  </pivotCaches>
  <extLst>
    <ext xmlns:x14="http://schemas.microsoft.com/office/spreadsheetml/2009/9/main" uri="{BBE1A952-AA13-448e-AADC-164F8A28A991}">
      <x14:slicerCaches>
        <x14:slicerCache r:id="rId6"/>
        <x14:slicerCache r:id="rId7"/>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8"/>
      </x15:timelineCacheRefs>
    </ext>
  </extLst>
</workbook>
</file>

<file path=xl/calcChain.xml><?xml version="1.0" encoding="utf-8"?>
<calcChain xmlns="http://schemas.openxmlformats.org/spreadsheetml/2006/main">
  <c r="G2" i="1" l="1"/>
  <c r="M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M417" i="1"/>
  <c r="M418" i="1"/>
  <c r="M419" i="1"/>
  <c r="M420" i="1"/>
  <c r="M421" i="1"/>
  <c r="M422" i="1"/>
  <c r="M423" i="1"/>
  <c r="M424" i="1"/>
  <c r="M425" i="1"/>
  <c r="M426" i="1"/>
  <c r="M427" i="1"/>
  <c r="M428" i="1"/>
  <c r="M429" i="1"/>
  <c r="M430" i="1"/>
  <c r="M431" i="1"/>
  <c r="M432" i="1"/>
  <c r="M433" i="1"/>
  <c r="M434" i="1"/>
  <c r="M435" i="1"/>
  <c r="M436" i="1"/>
  <c r="M437" i="1"/>
  <c r="M438" i="1"/>
  <c r="M439" i="1"/>
  <c r="M440" i="1"/>
  <c r="M441" i="1"/>
  <c r="M442" i="1"/>
  <c r="M443" i="1"/>
  <c r="M444" i="1"/>
  <c r="M445" i="1"/>
  <c r="M446" i="1"/>
  <c r="M447" i="1"/>
  <c r="M448" i="1"/>
  <c r="M449" i="1"/>
  <c r="M450" i="1"/>
  <c r="M451" i="1"/>
  <c r="M452" i="1"/>
  <c r="M453" i="1"/>
  <c r="M454" i="1"/>
  <c r="M455" i="1"/>
  <c r="M456" i="1"/>
  <c r="M457" i="1"/>
  <c r="M458" i="1"/>
  <c r="M459" i="1"/>
  <c r="M460" i="1"/>
  <c r="M461" i="1"/>
  <c r="M462" i="1"/>
  <c r="M463" i="1"/>
  <c r="M464" i="1"/>
  <c r="M465" i="1"/>
  <c r="M466" i="1"/>
  <c r="M467" i="1"/>
  <c r="M468" i="1"/>
  <c r="M469" i="1"/>
  <c r="M470" i="1"/>
  <c r="M471" i="1"/>
  <c r="M472" i="1"/>
  <c r="M473" i="1"/>
  <c r="M474" i="1"/>
  <c r="M475" i="1"/>
  <c r="M476" i="1"/>
  <c r="M477" i="1"/>
  <c r="M478" i="1"/>
  <c r="M479" i="1"/>
  <c r="M480" i="1"/>
  <c r="M481" i="1"/>
  <c r="M482" i="1"/>
  <c r="M483" i="1"/>
  <c r="M484" i="1"/>
  <c r="M485" i="1"/>
  <c r="M486" i="1"/>
  <c r="M487" i="1"/>
  <c r="M488" i="1"/>
  <c r="M489" i="1"/>
  <c r="M490" i="1"/>
  <c r="M491" i="1"/>
  <c r="M492" i="1"/>
  <c r="M493" i="1"/>
  <c r="M494" i="1"/>
  <c r="M495" i="1"/>
  <c r="M496" i="1"/>
  <c r="M497" i="1"/>
  <c r="M498" i="1"/>
  <c r="M499" i="1"/>
  <c r="M500" i="1"/>
  <c r="M501" i="1"/>
  <c r="M502" i="1"/>
  <c r="M503" i="1"/>
  <c r="M504" i="1"/>
  <c r="M505" i="1"/>
  <c r="M506" i="1"/>
  <c r="M507" i="1"/>
  <c r="M508" i="1"/>
  <c r="M509" i="1"/>
  <c r="M510" i="1"/>
  <c r="M511" i="1"/>
  <c r="M512" i="1"/>
  <c r="M513" i="1"/>
  <c r="M514" i="1"/>
  <c r="M515" i="1"/>
  <c r="M516" i="1"/>
  <c r="M517" i="1"/>
  <c r="M518" i="1"/>
  <c r="M519" i="1"/>
  <c r="M520" i="1"/>
  <c r="M521" i="1"/>
  <c r="M522" i="1"/>
  <c r="M523" i="1"/>
  <c r="M524" i="1"/>
  <c r="M525" i="1"/>
  <c r="M526" i="1"/>
  <c r="M527" i="1"/>
  <c r="M528" i="1"/>
  <c r="M529" i="1"/>
  <c r="M530" i="1"/>
  <c r="M531" i="1"/>
  <c r="M532" i="1"/>
  <c r="M533" i="1"/>
  <c r="M534" i="1"/>
  <c r="M535" i="1"/>
  <c r="M536" i="1"/>
  <c r="M537" i="1"/>
  <c r="M538" i="1"/>
  <c r="M539" i="1"/>
  <c r="M540" i="1"/>
  <c r="M541" i="1"/>
  <c r="M542" i="1"/>
  <c r="M543" i="1"/>
  <c r="M544" i="1"/>
  <c r="M545" i="1"/>
  <c r="M546" i="1"/>
  <c r="M547" i="1"/>
  <c r="M548" i="1"/>
  <c r="M549" i="1"/>
  <c r="M550" i="1"/>
  <c r="M551" i="1"/>
  <c r="M552" i="1"/>
  <c r="M553" i="1"/>
  <c r="M554" i="1"/>
  <c r="M555" i="1"/>
  <c r="M556" i="1"/>
  <c r="M557" i="1"/>
  <c r="M558" i="1"/>
  <c r="M559" i="1"/>
  <c r="M560" i="1"/>
  <c r="M561" i="1"/>
  <c r="M562" i="1"/>
  <c r="M563" i="1"/>
  <c r="M564" i="1"/>
  <c r="M565" i="1"/>
  <c r="M566" i="1"/>
  <c r="M567" i="1"/>
  <c r="M568" i="1"/>
  <c r="M569" i="1"/>
  <c r="M570" i="1"/>
  <c r="M571" i="1"/>
  <c r="M572" i="1"/>
  <c r="M573" i="1"/>
  <c r="M574" i="1"/>
  <c r="M575" i="1"/>
  <c r="M576" i="1"/>
  <c r="M577" i="1"/>
  <c r="M578" i="1"/>
  <c r="M579" i="1"/>
  <c r="M580" i="1"/>
  <c r="M581" i="1"/>
  <c r="M582" i="1"/>
  <c r="M583" i="1"/>
  <c r="M584" i="1"/>
  <c r="M585" i="1"/>
  <c r="M586" i="1"/>
  <c r="M587" i="1"/>
  <c r="M588" i="1"/>
  <c r="M589" i="1"/>
  <c r="M590" i="1"/>
  <c r="M591" i="1"/>
  <c r="M592" i="1"/>
  <c r="M593" i="1"/>
  <c r="M594" i="1"/>
  <c r="M595" i="1"/>
  <c r="M596" i="1"/>
  <c r="M597" i="1"/>
  <c r="M598" i="1"/>
  <c r="M599" i="1"/>
  <c r="M600" i="1"/>
  <c r="M601" i="1"/>
  <c r="M602" i="1"/>
  <c r="M603" i="1"/>
  <c r="M604" i="1"/>
  <c r="M605" i="1"/>
  <c r="M606" i="1"/>
  <c r="M607" i="1"/>
  <c r="M608" i="1"/>
  <c r="M609" i="1"/>
  <c r="M610" i="1"/>
  <c r="M611" i="1"/>
  <c r="M612" i="1"/>
  <c r="M613" i="1"/>
  <c r="M614" i="1"/>
  <c r="M615" i="1"/>
  <c r="M616" i="1"/>
  <c r="M617" i="1"/>
  <c r="M618" i="1"/>
  <c r="M619" i="1"/>
  <c r="M620" i="1"/>
  <c r="M621" i="1"/>
  <c r="M622" i="1"/>
  <c r="M623" i="1"/>
  <c r="M624" i="1"/>
  <c r="M625" i="1"/>
  <c r="M626" i="1"/>
  <c r="M627" i="1"/>
  <c r="M628" i="1"/>
  <c r="M629" i="1"/>
  <c r="M630" i="1"/>
  <c r="M631" i="1"/>
  <c r="M632" i="1"/>
  <c r="M633" i="1"/>
  <c r="M634" i="1"/>
  <c r="M635" i="1"/>
  <c r="M636" i="1"/>
  <c r="M637" i="1"/>
  <c r="M638" i="1"/>
  <c r="M639" i="1"/>
  <c r="M640" i="1"/>
  <c r="M641" i="1"/>
  <c r="M642" i="1"/>
  <c r="M643" i="1"/>
  <c r="M644" i="1"/>
  <c r="M645" i="1"/>
  <c r="M646" i="1"/>
  <c r="M647" i="1"/>
  <c r="M648" i="1"/>
  <c r="M649" i="1"/>
  <c r="M650" i="1"/>
  <c r="M651" i="1"/>
  <c r="M652" i="1"/>
  <c r="M653" i="1"/>
  <c r="M654" i="1"/>
  <c r="M655" i="1"/>
  <c r="M656" i="1"/>
  <c r="M657" i="1"/>
  <c r="M658" i="1"/>
  <c r="M659" i="1"/>
  <c r="M660" i="1"/>
  <c r="M661" i="1"/>
  <c r="M662" i="1"/>
  <c r="M663" i="1"/>
  <c r="M664" i="1"/>
  <c r="M665" i="1"/>
  <c r="M666" i="1"/>
  <c r="M667" i="1"/>
  <c r="M668" i="1"/>
  <c r="M669" i="1"/>
  <c r="M670" i="1"/>
  <c r="M671" i="1"/>
  <c r="M672" i="1"/>
  <c r="M673" i="1"/>
  <c r="M674" i="1"/>
  <c r="M675" i="1"/>
  <c r="M676" i="1"/>
  <c r="M677" i="1"/>
  <c r="M678" i="1"/>
  <c r="M679" i="1"/>
  <c r="M680" i="1"/>
  <c r="M681" i="1"/>
  <c r="M682" i="1"/>
  <c r="M683" i="1"/>
  <c r="M684" i="1"/>
  <c r="M685" i="1"/>
  <c r="M686" i="1"/>
  <c r="M687" i="1"/>
  <c r="M688" i="1"/>
  <c r="M689" i="1"/>
  <c r="M690" i="1"/>
  <c r="M691" i="1"/>
  <c r="M692" i="1"/>
  <c r="M693" i="1"/>
  <c r="M694" i="1"/>
  <c r="M695" i="1"/>
  <c r="M696" i="1"/>
  <c r="M697" i="1"/>
  <c r="M698" i="1"/>
  <c r="M699" i="1"/>
  <c r="M700" i="1"/>
  <c r="M701" i="1"/>
  <c r="M702" i="1"/>
  <c r="M703" i="1"/>
  <c r="M704" i="1"/>
  <c r="M705" i="1"/>
  <c r="M706" i="1"/>
  <c r="M707" i="1"/>
  <c r="M708" i="1"/>
  <c r="M709" i="1"/>
  <c r="M710" i="1"/>
  <c r="M711" i="1"/>
  <c r="M712" i="1"/>
  <c r="M713" i="1"/>
  <c r="M714" i="1"/>
  <c r="M715" i="1"/>
  <c r="M716" i="1"/>
  <c r="M717" i="1"/>
  <c r="M718" i="1"/>
  <c r="M719" i="1"/>
  <c r="M720" i="1"/>
  <c r="M721" i="1"/>
  <c r="M722" i="1"/>
  <c r="M723" i="1"/>
  <c r="M724" i="1"/>
  <c r="M725" i="1"/>
  <c r="M726" i="1"/>
  <c r="M727" i="1"/>
  <c r="M728" i="1"/>
  <c r="M729" i="1"/>
  <c r="M730" i="1"/>
  <c r="M731" i="1"/>
  <c r="M732" i="1"/>
  <c r="M733" i="1"/>
  <c r="M734" i="1"/>
  <c r="M735" i="1"/>
  <c r="M736" i="1"/>
  <c r="M737" i="1"/>
  <c r="M738" i="1"/>
  <c r="M739" i="1"/>
  <c r="M740" i="1"/>
  <c r="M741" i="1"/>
  <c r="M742" i="1"/>
  <c r="M743" i="1"/>
  <c r="M744" i="1"/>
  <c r="M745" i="1"/>
  <c r="M746" i="1"/>
  <c r="M747" i="1"/>
  <c r="M748" i="1"/>
  <c r="M749" i="1"/>
  <c r="M750" i="1"/>
  <c r="M751" i="1"/>
  <c r="M752" i="1"/>
  <c r="M753" i="1"/>
  <c r="M754" i="1"/>
  <c r="M755" i="1"/>
  <c r="M756" i="1"/>
  <c r="M757" i="1"/>
  <c r="M758" i="1"/>
  <c r="M759" i="1"/>
  <c r="M760" i="1"/>
  <c r="M761" i="1"/>
  <c r="M762" i="1"/>
  <c r="M763" i="1"/>
  <c r="M764" i="1"/>
  <c r="M765" i="1"/>
  <c r="M766" i="1"/>
  <c r="M767" i="1"/>
  <c r="M768" i="1"/>
  <c r="M769" i="1"/>
  <c r="M770" i="1"/>
  <c r="M771" i="1"/>
  <c r="M772" i="1"/>
  <c r="M773" i="1"/>
  <c r="M774" i="1"/>
  <c r="M775" i="1"/>
  <c r="M776" i="1"/>
  <c r="M777" i="1"/>
  <c r="M778" i="1"/>
  <c r="M779" i="1"/>
  <c r="M780" i="1"/>
  <c r="M781" i="1"/>
  <c r="M782" i="1"/>
  <c r="M783" i="1"/>
  <c r="M784" i="1"/>
  <c r="M785" i="1"/>
  <c r="M786" i="1"/>
  <c r="M787" i="1"/>
  <c r="M788" i="1"/>
  <c r="M789" i="1"/>
  <c r="M790" i="1"/>
  <c r="M791" i="1"/>
  <c r="M792" i="1"/>
  <c r="M793" i="1"/>
  <c r="M794" i="1"/>
  <c r="M795" i="1"/>
  <c r="M796" i="1"/>
  <c r="M797" i="1"/>
  <c r="M798" i="1"/>
  <c r="M799" i="1"/>
  <c r="M800" i="1"/>
  <c r="M801" i="1"/>
  <c r="M802" i="1"/>
  <c r="M803" i="1"/>
  <c r="M804" i="1"/>
  <c r="M805" i="1"/>
  <c r="M806" i="1"/>
  <c r="M807" i="1"/>
  <c r="M808" i="1"/>
  <c r="M809" i="1"/>
  <c r="M810" i="1"/>
  <c r="M811" i="1"/>
  <c r="M812" i="1"/>
  <c r="M813" i="1"/>
  <c r="M814" i="1"/>
  <c r="M815" i="1"/>
  <c r="M816" i="1"/>
  <c r="M817" i="1"/>
  <c r="M818" i="1"/>
  <c r="M819" i="1"/>
  <c r="M820" i="1"/>
  <c r="M821" i="1"/>
  <c r="M822" i="1"/>
  <c r="M823" i="1"/>
  <c r="M824" i="1"/>
  <c r="M825" i="1"/>
  <c r="M826" i="1"/>
  <c r="M827" i="1"/>
  <c r="M828" i="1"/>
  <c r="M829" i="1"/>
  <c r="M830" i="1"/>
  <c r="M831" i="1"/>
  <c r="M832" i="1"/>
  <c r="M833" i="1"/>
  <c r="M834" i="1"/>
  <c r="M835" i="1"/>
  <c r="M836" i="1"/>
  <c r="M837" i="1"/>
  <c r="M838" i="1"/>
  <c r="M839" i="1"/>
  <c r="M840" i="1"/>
  <c r="M841" i="1"/>
  <c r="M842" i="1"/>
  <c r="M843" i="1"/>
  <c r="M844" i="1"/>
  <c r="M845" i="1"/>
  <c r="M846" i="1"/>
  <c r="M847" i="1"/>
  <c r="M848" i="1"/>
  <c r="M849" i="1"/>
  <c r="M850" i="1"/>
  <c r="M851" i="1"/>
  <c r="M852" i="1"/>
  <c r="M853" i="1"/>
  <c r="M854" i="1"/>
  <c r="M855" i="1"/>
  <c r="M856" i="1"/>
  <c r="M857" i="1"/>
  <c r="M858" i="1"/>
  <c r="M859" i="1"/>
  <c r="M860" i="1"/>
  <c r="M861" i="1"/>
  <c r="M862" i="1"/>
  <c r="M863" i="1"/>
  <c r="M864" i="1"/>
  <c r="M865" i="1"/>
  <c r="M866" i="1"/>
  <c r="M867" i="1"/>
  <c r="M868" i="1"/>
  <c r="M869" i="1"/>
  <c r="M870" i="1"/>
  <c r="M871" i="1"/>
  <c r="M872" i="1"/>
  <c r="M873" i="1"/>
  <c r="M874" i="1"/>
  <c r="M875" i="1"/>
  <c r="M876" i="1"/>
  <c r="M877" i="1"/>
  <c r="M878" i="1"/>
  <c r="M879" i="1"/>
  <c r="M880" i="1"/>
  <c r="M881" i="1"/>
  <c r="M882" i="1"/>
  <c r="M883" i="1"/>
  <c r="M884" i="1"/>
  <c r="M885" i="1"/>
  <c r="M886" i="1"/>
  <c r="M887" i="1"/>
  <c r="M888" i="1"/>
  <c r="M889" i="1"/>
  <c r="M890" i="1"/>
  <c r="M891" i="1"/>
  <c r="M892" i="1"/>
  <c r="M893" i="1"/>
  <c r="M894" i="1"/>
  <c r="M895" i="1"/>
  <c r="M896" i="1"/>
  <c r="M897" i="1"/>
  <c r="M898" i="1"/>
  <c r="M899" i="1"/>
  <c r="M900" i="1"/>
  <c r="M901" i="1"/>
  <c r="M902" i="1"/>
  <c r="M903" i="1"/>
  <c r="M904" i="1"/>
  <c r="M905" i="1"/>
  <c r="M906" i="1"/>
  <c r="M907" i="1"/>
  <c r="M908" i="1"/>
  <c r="M909" i="1"/>
  <c r="M910" i="1"/>
  <c r="M911" i="1"/>
  <c r="M912" i="1"/>
  <c r="M913" i="1"/>
  <c r="M914" i="1"/>
  <c r="M915" i="1"/>
  <c r="M916" i="1"/>
  <c r="M917" i="1"/>
  <c r="M918" i="1"/>
  <c r="M919" i="1"/>
  <c r="M920" i="1"/>
  <c r="M921" i="1"/>
  <c r="M922" i="1"/>
  <c r="M923" i="1"/>
  <c r="M924" i="1"/>
  <c r="M925" i="1"/>
  <c r="M926" i="1"/>
  <c r="M927" i="1"/>
  <c r="M928" i="1"/>
  <c r="M929" i="1"/>
  <c r="M930" i="1"/>
  <c r="M931" i="1"/>
  <c r="M932" i="1"/>
  <c r="M933" i="1"/>
  <c r="M934" i="1"/>
  <c r="M935" i="1"/>
  <c r="M936" i="1"/>
  <c r="M937" i="1"/>
  <c r="M938" i="1"/>
  <c r="M939" i="1"/>
  <c r="M940" i="1"/>
  <c r="M941" i="1"/>
  <c r="M942" i="1"/>
  <c r="M943" i="1"/>
  <c r="M944" i="1"/>
  <c r="M945" i="1"/>
  <c r="M946" i="1"/>
  <c r="M947" i="1"/>
  <c r="M948" i="1"/>
  <c r="M949" i="1"/>
  <c r="M950" i="1"/>
  <c r="M951" i="1"/>
  <c r="M952" i="1"/>
  <c r="M953" i="1"/>
  <c r="M954" i="1"/>
  <c r="M955" i="1"/>
  <c r="M956" i="1"/>
  <c r="M957" i="1"/>
  <c r="M958" i="1"/>
  <c r="M959" i="1"/>
  <c r="M960" i="1"/>
  <c r="M961" i="1"/>
  <c r="M962" i="1"/>
  <c r="M963" i="1"/>
  <c r="M964" i="1"/>
  <c r="M965" i="1"/>
  <c r="M966" i="1"/>
  <c r="M967" i="1"/>
  <c r="M968" i="1"/>
  <c r="M969" i="1"/>
  <c r="M970" i="1"/>
  <c r="M971" i="1"/>
  <c r="M972" i="1"/>
  <c r="M973" i="1"/>
  <c r="M974" i="1"/>
  <c r="M975" i="1"/>
  <c r="M976" i="1"/>
  <c r="M977" i="1"/>
  <c r="M978" i="1"/>
  <c r="M979" i="1"/>
  <c r="M980" i="1"/>
  <c r="M981" i="1"/>
  <c r="M982" i="1"/>
  <c r="M983" i="1"/>
  <c r="M984" i="1"/>
  <c r="M985" i="1"/>
  <c r="M986" i="1"/>
  <c r="M987" i="1"/>
  <c r="M988" i="1"/>
  <c r="M989" i="1"/>
  <c r="M990" i="1"/>
  <c r="M991" i="1"/>
  <c r="M992" i="1"/>
  <c r="M993" i="1"/>
  <c r="M994" i="1"/>
  <c r="M995" i="1"/>
  <c r="M996" i="1"/>
  <c r="M997" i="1"/>
  <c r="M998" i="1"/>
  <c r="M999" i="1"/>
  <c r="M1000" i="1"/>
  <c r="M1001" i="1"/>
  <c r="M1002" i="1"/>
  <c r="M1003" i="1"/>
  <c r="M1004" i="1"/>
  <c r="M1005" i="1"/>
  <c r="M1006" i="1"/>
  <c r="M1007" i="1"/>
  <c r="M1008" i="1"/>
  <c r="M1009" i="1"/>
  <c r="M1010" i="1"/>
  <c r="M1011" i="1"/>
  <c r="M1012" i="1"/>
  <c r="M1013" i="1"/>
  <c r="M1014" i="1"/>
  <c r="M1015" i="1"/>
  <c r="M1016" i="1"/>
  <c r="M1017" i="1"/>
  <c r="M1018" i="1"/>
  <c r="M1019" i="1"/>
  <c r="M1020" i="1"/>
  <c r="M1021" i="1"/>
  <c r="M1022" i="1"/>
  <c r="M1023" i="1"/>
  <c r="M1024" i="1"/>
  <c r="M1025" i="1"/>
  <c r="M1026" i="1"/>
  <c r="M1027" i="1"/>
  <c r="M1028" i="1"/>
  <c r="M1029" i="1"/>
  <c r="M1030" i="1"/>
  <c r="M1031" i="1"/>
  <c r="M1032" i="1"/>
  <c r="M1033" i="1"/>
  <c r="M1034" i="1"/>
  <c r="M1035" i="1"/>
  <c r="M1036" i="1"/>
  <c r="M1037" i="1"/>
  <c r="M1038" i="1"/>
  <c r="M1039" i="1"/>
  <c r="M1040" i="1"/>
  <c r="M1041" i="1"/>
  <c r="M1042" i="1"/>
  <c r="M1043" i="1"/>
  <c r="M1044" i="1"/>
  <c r="M1045" i="1"/>
  <c r="M1046" i="1"/>
  <c r="M1047" i="1"/>
  <c r="M1048" i="1"/>
  <c r="M1049" i="1"/>
  <c r="M1050" i="1"/>
  <c r="M1051" i="1"/>
  <c r="M1052" i="1"/>
  <c r="M1053" i="1"/>
  <c r="M1054" i="1"/>
  <c r="M1055" i="1"/>
  <c r="M1056" i="1"/>
  <c r="M1057" i="1"/>
  <c r="M1058" i="1"/>
  <c r="M1059" i="1"/>
  <c r="M1060" i="1"/>
  <c r="M1061" i="1"/>
  <c r="M1062" i="1"/>
  <c r="M1063" i="1"/>
  <c r="M1064" i="1"/>
  <c r="M1065" i="1"/>
  <c r="M1066" i="1"/>
  <c r="M1067" i="1"/>
  <c r="M1068" i="1"/>
  <c r="M1069" i="1"/>
  <c r="M1070" i="1"/>
  <c r="M1071" i="1"/>
  <c r="M1072" i="1"/>
  <c r="M1073" i="1"/>
  <c r="M1074" i="1"/>
  <c r="M1075" i="1"/>
  <c r="M1076" i="1"/>
  <c r="M1077" i="1"/>
  <c r="M1078" i="1"/>
  <c r="M1079" i="1"/>
  <c r="M1080" i="1"/>
  <c r="M1081" i="1"/>
  <c r="M1082" i="1"/>
  <c r="M1083" i="1"/>
  <c r="M1084" i="1"/>
  <c r="M1085" i="1"/>
  <c r="M1086" i="1"/>
  <c r="M1087" i="1"/>
  <c r="M1088" i="1"/>
  <c r="M1089" i="1"/>
  <c r="M1090" i="1"/>
  <c r="M1091" i="1"/>
  <c r="M1092" i="1"/>
  <c r="M1093" i="1"/>
  <c r="M1094" i="1"/>
  <c r="M1095" i="1"/>
  <c r="M1096" i="1"/>
  <c r="M1097" i="1"/>
  <c r="M1098" i="1"/>
  <c r="M1099" i="1"/>
  <c r="M1100" i="1"/>
  <c r="M1101" i="1"/>
  <c r="M1102" i="1"/>
  <c r="M1103" i="1"/>
  <c r="M1104" i="1"/>
  <c r="M1105" i="1"/>
  <c r="M1106" i="1"/>
  <c r="M1107" i="1"/>
  <c r="M1108" i="1"/>
  <c r="M1109" i="1"/>
  <c r="M1110" i="1"/>
  <c r="M1111" i="1"/>
  <c r="M1112" i="1"/>
  <c r="M1113" i="1"/>
  <c r="M1114" i="1"/>
  <c r="M1115" i="1"/>
  <c r="M1116" i="1"/>
  <c r="M1117" i="1"/>
  <c r="M1118" i="1"/>
  <c r="M1119" i="1"/>
  <c r="M1120" i="1"/>
  <c r="M1121" i="1"/>
  <c r="M1122" i="1"/>
  <c r="M1123" i="1"/>
  <c r="M1124" i="1"/>
  <c r="M1125" i="1"/>
  <c r="M1126" i="1"/>
  <c r="M1127" i="1"/>
  <c r="M1128" i="1"/>
  <c r="M1129" i="1"/>
  <c r="M1130" i="1"/>
  <c r="M1131" i="1"/>
  <c r="M1132" i="1"/>
  <c r="M1133" i="1"/>
  <c r="M1134" i="1"/>
  <c r="M1135" i="1"/>
  <c r="M1136" i="1"/>
  <c r="M1137" i="1"/>
  <c r="M1138" i="1"/>
  <c r="M1139" i="1"/>
  <c r="M1140" i="1"/>
  <c r="M1141" i="1"/>
  <c r="M1142" i="1"/>
  <c r="M1143" i="1"/>
  <c r="M1144" i="1"/>
  <c r="M1145" i="1"/>
  <c r="M1146" i="1"/>
  <c r="M1147" i="1"/>
  <c r="M1148" i="1"/>
  <c r="M1149" i="1"/>
  <c r="M1150" i="1"/>
  <c r="M1151" i="1"/>
  <c r="M1152" i="1"/>
  <c r="M1153" i="1"/>
  <c r="M1154" i="1"/>
  <c r="M1155" i="1"/>
  <c r="M1156" i="1"/>
  <c r="M1157" i="1"/>
  <c r="M1158" i="1"/>
  <c r="M1159" i="1"/>
  <c r="M1160" i="1"/>
  <c r="M1161" i="1"/>
  <c r="M1162" i="1"/>
  <c r="M1163" i="1"/>
  <c r="M1164" i="1"/>
  <c r="M1165" i="1"/>
  <c r="M1166" i="1"/>
  <c r="M1167" i="1"/>
  <c r="M1168" i="1"/>
  <c r="M1169" i="1"/>
  <c r="M1170" i="1"/>
  <c r="M1171" i="1"/>
  <c r="M1172" i="1"/>
  <c r="M1173" i="1"/>
  <c r="M1174" i="1"/>
  <c r="M1175" i="1"/>
  <c r="M1176" i="1"/>
  <c r="M1177" i="1"/>
  <c r="M1178" i="1"/>
  <c r="M1179" i="1"/>
  <c r="M1180" i="1"/>
  <c r="M1181" i="1"/>
  <c r="M1182" i="1"/>
  <c r="M1183" i="1"/>
  <c r="M1184" i="1"/>
  <c r="M1185" i="1"/>
  <c r="M1186" i="1"/>
  <c r="M1187" i="1"/>
  <c r="M1188" i="1"/>
  <c r="M1189" i="1"/>
  <c r="M1190" i="1"/>
  <c r="M1191" i="1"/>
  <c r="M1192" i="1"/>
  <c r="M1193" i="1"/>
  <c r="M1194" i="1"/>
  <c r="M1195" i="1"/>
  <c r="M1196" i="1"/>
  <c r="M1197" i="1"/>
  <c r="M1198" i="1"/>
  <c r="M1199" i="1"/>
  <c r="M1200" i="1"/>
  <c r="M1201" i="1"/>
  <c r="M1202" i="1"/>
  <c r="M1203" i="1"/>
  <c r="M1204" i="1"/>
  <c r="M1205" i="1"/>
  <c r="M1206" i="1"/>
  <c r="M1207" i="1"/>
  <c r="M1208" i="1"/>
  <c r="M1209" i="1"/>
  <c r="M1210" i="1"/>
  <c r="M1211" i="1"/>
  <c r="M1212" i="1"/>
  <c r="M1213" i="1"/>
  <c r="M1214" i="1"/>
  <c r="M1215" i="1"/>
  <c r="M1216" i="1"/>
  <c r="M1217" i="1"/>
  <c r="M1218" i="1"/>
  <c r="M1219" i="1"/>
  <c r="M1220" i="1"/>
  <c r="M1221" i="1"/>
  <c r="M1222" i="1"/>
  <c r="M1223" i="1"/>
  <c r="M1224" i="1"/>
  <c r="M1225" i="1"/>
  <c r="M1226" i="1"/>
  <c r="M1227" i="1"/>
  <c r="M1228" i="1"/>
  <c r="M1229" i="1"/>
  <c r="M1230" i="1"/>
  <c r="M1231" i="1"/>
  <c r="M1232" i="1"/>
  <c r="M1233" i="1"/>
  <c r="M1234" i="1"/>
  <c r="M1235" i="1"/>
  <c r="M1236" i="1"/>
  <c r="M1237" i="1"/>
  <c r="M1238" i="1"/>
  <c r="M1239" i="1"/>
  <c r="M1240" i="1"/>
  <c r="M1241" i="1"/>
  <c r="M1242" i="1"/>
  <c r="M1243" i="1"/>
  <c r="M1244" i="1"/>
  <c r="M1245" i="1"/>
  <c r="M1246" i="1"/>
  <c r="M1247" i="1"/>
  <c r="M1248" i="1"/>
  <c r="M1249" i="1"/>
  <c r="M1250" i="1"/>
  <c r="M1251" i="1"/>
  <c r="M1252" i="1"/>
  <c r="M1253" i="1"/>
  <c r="M1254" i="1"/>
  <c r="M1255" i="1"/>
  <c r="M1256" i="1"/>
  <c r="M1257" i="1"/>
  <c r="M1258" i="1"/>
  <c r="M1259" i="1"/>
  <c r="M1260" i="1"/>
  <c r="M1261" i="1"/>
  <c r="M1262" i="1"/>
  <c r="M1263" i="1"/>
  <c r="M1264" i="1"/>
  <c r="M1265" i="1"/>
  <c r="M1266" i="1"/>
  <c r="M1267" i="1"/>
  <c r="M1268" i="1"/>
  <c r="M1269" i="1"/>
  <c r="M1270" i="1"/>
  <c r="M1271" i="1"/>
  <c r="M1272" i="1"/>
  <c r="M1273" i="1"/>
  <c r="M1274" i="1"/>
  <c r="M1275" i="1"/>
  <c r="M1276" i="1"/>
  <c r="M1277" i="1"/>
  <c r="M1278" i="1"/>
  <c r="M1279" i="1"/>
  <c r="M1280" i="1"/>
  <c r="M1281" i="1"/>
  <c r="M1282" i="1"/>
  <c r="M1283" i="1"/>
  <c r="M1284" i="1"/>
  <c r="M1285" i="1"/>
  <c r="M1286" i="1"/>
  <c r="M1287" i="1"/>
  <c r="M1288" i="1"/>
  <c r="M1289" i="1"/>
  <c r="M1290" i="1"/>
  <c r="M1291" i="1"/>
  <c r="M1292" i="1"/>
  <c r="M1293" i="1"/>
  <c r="M1294" i="1"/>
  <c r="M1295" i="1"/>
  <c r="M1296" i="1"/>
  <c r="M1297" i="1"/>
  <c r="M1298" i="1"/>
  <c r="M1299" i="1"/>
  <c r="M1300" i="1"/>
  <c r="M1301" i="1"/>
  <c r="M1302" i="1"/>
  <c r="M1303" i="1"/>
  <c r="M1304" i="1"/>
  <c r="M1305" i="1"/>
  <c r="M1306" i="1"/>
  <c r="M1307" i="1"/>
  <c r="M1308" i="1"/>
  <c r="M1309" i="1"/>
  <c r="M1310" i="1"/>
  <c r="M1311" i="1"/>
  <c r="M1312" i="1"/>
  <c r="M1313" i="1"/>
  <c r="M1314" i="1"/>
  <c r="M1315" i="1"/>
  <c r="M1316" i="1"/>
  <c r="M1317" i="1"/>
  <c r="M1318" i="1"/>
  <c r="M1319" i="1"/>
  <c r="M1320" i="1"/>
  <c r="M1321" i="1"/>
  <c r="M1322" i="1"/>
  <c r="M1323" i="1"/>
  <c r="M1324" i="1"/>
  <c r="M1325" i="1"/>
  <c r="M1326" i="1"/>
  <c r="M1327" i="1"/>
  <c r="M1328" i="1"/>
  <c r="M1329" i="1"/>
  <c r="M1330" i="1"/>
  <c r="M1331" i="1"/>
  <c r="M1332" i="1"/>
  <c r="M1333" i="1"/>
  <c r="M1334" i="1"/>
  <c r="M1335" i="1"/>
  <c r="M1336" i="1"/>
  <c r="M1337" i="1"/>
  <c r="M1338" i="1"/>
  <c r="M1339" i="1"/>
  <c r="M1340" i="1"/>
  <c r="M1341" i="1"/>
  <c r="M1342" i="1"/>
  <c r="M1343" i="1"/>
  <c r="M1344" i="1"/>
  <c r="M1345" i="1"/>
  <c r="M1346" i="1"/>
  <c r="M1347" i="1"/>
  <c r="M1348" i="1"/>
  <c r="M1349" i="1"/>
  <c r="M1350" i="1"/>
  <c r="M1351" i="1"/>
  <c r="M1352" i="1"/>
  <c r="M1353" i="1"/>
  <c r="M1354" i="1"/>
  <c r="M1355" i="1"/>
  <c r="M1356" i="1"/>
  <c r="M1357" i="1"/>
  <c r="M1358" i="1"/>
  <c r="M1359" i="1"/>
  <c r="M1360" i="1"/>
  <c r="M1361" i="1"/>
  <c r="M1362" i="1"/>
  <c r="M1363" i="1"/>
  <c r="M1364" i="1"/>
  <c r="M1365" i="1"/>
  <c r="M1366" i="1"/>
  <c r="M1367" i="1"/>
  <c r="M1368" i="1"/>
  <c r="M1369" i="1"/>
  <c r="M1370" i="1"/>
  <c r="M1371" i="1"/>
  <c r="M1372" i="1"/>
  <c r="M1373" i="1"/>
  <c r="M1374" i="1"/>
  <c r="M1375" i="1"/>
  <c r="M1376" i="1"/>
  <c r="M1377" i="1"/>
  <c r="M1378" i="1"/>
  <c r="M1379" i="1"/>
  <c r="M1380" i="1"/>
  <c r="M1381" i="1"/>
  <c r="M1382" i="1"/>
  <c r="M1383" i="1"/>
  <c r="M1384" i="1"/>
  <c r="M1385" i="1"/>
  <c r="M1386" i="1"/>
  <c r="M1387" i="1"/>
  <c r="M1388" i="1"/>
  <c r="M1389" i="1"/>
  <c r="M1390" i="1"/>
  <c r="M1391" i="1"/>
  <c r="M1392" i="1"/>
  <c r="M1393" i="1"/>
  <c r="M1394" i="1"/>
  <c r="M1395" i="1"/>
  <c r="M1396" i="1"/>
  <c r="M1397" i="1"/>
  <c r="M1398" i="1"/>
  <c r="M1399" i="1"/>
  <c r="M1400" i="1"/>
  <c r="M1401" i="1"/>
  <c r="M1402" i="1"/>
  <c r="M1403" i="1"/>
  <c r="M1404" i="1"/>
  <c r="M1405" i="1"/>
  <c r="M1406" i="1"/>
  <c r="M1407" i="1"/>
  <c r="M1408" i="1"/>
  <c r="M1409" i="1"/>
  <c r="M1410" i="1"/>
  <c r="M1411" i="1"/>
  <c r="M1412" i="1"/>
  <c r="M1413" i="1"/>
  <c r="M1414" i="1"/>
  <c r="M1415" i="1"/>
  <c r="M1416" i="1"/>
  <c r="M1417" i="1"/>
  <c r="M1418" i="1"/>
  <c r="M1419" i="1"/>
  <c r="M1420" i="1"/>
  <c r="M1421" i="1"/>
  <c r="M1422" i="1"/>
  <c r="M1423" i="1"/>
  <c r="M1424" i="1"/>
  <c r="M1425" i="1"/>
  <c r="M1426" i="1"/>
  <c r="M1427" i="1"/>
  <c r="M1428" i="1"/>
  <c r="M1429" i="1"/>
  <c r="M1430" i="1"/>
  <c r="M1431" i="1"/>
  <c r="M1432" i="1"/>
  <c r="M1433" i="1"/>
  <c r="M1434" i="1"/>
  <c r="M1435" i="1"/>
  <c r="M1436" i="1"/>
  <c r="M1437" i="1"/>
  <c r="M1438" i="1"/>
  <c r="M1439" i="1"/>
  <c r="M1440" i="1"/>
  <c r="M1441" i="1"/>
  <c r="M1442" i="1"/>
  <c r="M1443" i="1"/>
  <c r="M1444" i="1"/>
  <c r="M1445" i="1"/>
  <c r="M1446" i="1"/>
  <c r="M1447" i="1"/>
  <c r="M1448" i="1"/>
  <c r="M1449" i="1"/>
  <c r="M1450" i="1"/>
  <c r="M1451" i="1"/>
  <c r="M1452" i="1"/>
  <c r="M1453" i="1"/>
  <c r="M1454" i="1"/>
  <c r="M1455" i="1"/>
  <c r="M1456" i="1"/>
  <c r="M1457" i="1"/>
  <c r="M1458" i="1"/>
  <c r="M1459" i="1"/>
  <c r="M1460" i="1"/>
  <c r="M1461" i="1"/>
  <c r="M1462" i="1"/>
  <c r="M1463" i="1"/>
  <c r="M1464" i="1"/>
  <c r="M1465" i="1"/>
  <c r="M1466" i="1"/>
  <c r="M1467" i="1"/>
  <c r="M1468" i="1"/>
  <c r="M1469" i="1"/>
  <c r="M1470" i="1"/>
  <c r="M1471" i="1"/>
  <c r="M1472" i="1"/>
  <c r="M1473" i="1"/>
  <c r="M1474" i="1"/>
  <c r="M1475" i="1"/>
  <c r="M1476" i="1"/>
  <c r="M1477" i="1"/>
  <c r="M1478" i="1"/>
  <c r="M1479" i="1"/>
  <c r="M1480" i="1"/>
  <c r="M1481" i="1"/>
  <c r="M1482" i="1"/>
  <c r="M1483" i="1"/>
  <c r="M1484" i="1"/>
  <c r="M1485" i="1"/>
  <c r="M1486" i="1"/>
  <c r="M1487" i="1"/>
  <c r="M1488" i="1"/>
  <c r="M1489" i="1"/>
  <c r="M1490" i="1"/>
  <c r="M1491" i="1"/>
  <c r="M1492" i="1"/>
  <c r="M1493" i="1"/>
  <c r="M1494" i="1"/>
  <c r="M1495" i="1"/>
  <c r="M1496" i="1"/>
  <c r="M1497" i="1"/>
  <c r="M1498" i="1"/>
  <c r="M1499" i="1"/>
  <c r="M1500" i="1"/>
  <c r="M1501" i="1"/>
  <c r="M1502" i="1"/>
  <c r="M1503" i="1"/>
  <c r="M1504" i="1"/>
  <c r="M1505" i="1"/>
  <c r="M1506" i="1"/>
  <c r="M1507" i="1"/>
  <c r="M1508" i="1"/>
  <c r="M1509" i="1"/>
  <c r="M1510" i="1"/>
  <c r="M1511" i="1"/>
  <c r="M1512" i="1"/>
  <c r="M1513" i="1"/>
  <c r="M1514" i="1"/>
  <c r="M1515" i="1"/>
  <c r="M1516" i="1"/>
  <c r="M1517" i="1"/>
  <c r="M1518" i="1"/>
  <c r="M1519" i="1"/>
  <c r="M1520" i="1"/>
  <c r="M1521" i="1"/>
  <c r="M1522" i="1"/>
  <c r="M1523" i="1"/>
  <c r="M1524" i="1"/>
  <c r="M1525" i="1"/>
  <c r="M1526" i="1"/>
  <c r="M1527" i="1"/>
  <c r="M1528" i="1"/>
  <c r="M1529" i="1"/>
  <c r="M1530" i="1"/>
  <c r="M1531" i="1"/>
  <c r="M1532" i="1"/>
  <c r="M1533" i="1"/>
  <c r="M1534" i="1"/>
  <c r="M1535" i="1"/>
  <c r="M1536" i="1"/>
  <c r="M1537" i="1"/>
  <c r="M1538" i="1"/>
  <c r="M1539" i="1"/>
  <c r="M1540" i="1"/>
  <c r="M1541" i="1"/>
  <c r="M1542" i="1"/>
  <c r="M1543" i="1"/>
  <c r="M1544" i="1"/>
  <c r="M1545" i="1"/>
  <c r="M1546" i="1"/>
  <c r="M1547" i="1"/>
  <c r="M1548" i="1"/>
  <c r="M1549" i="1"/>
  <c r="M1550" i="1"/>
  <c r="M1551" i="1"/>
  <c r="M1552" i="1"/>
  <c r="M1553" i="1"/>
  <c r="M1554" i="1"/>
  <c r="M1555" i="1"/>
  <c r="M1556" i="1"/>
  <c r="M1557" i="1"/>
  <c r="M1558" i="1"/>
  <c r="M1559" i="1"/>
  <c r="M1560" i="1"/>
  <c r="M1561" i="1"/>
  <c r="M1562" i="1"/>
  <c r="M1563" i="1"/>
  <c r="M1564" i="1"/>
  <c r="M1565" i="1"/>
  <c r="M1566" i="1"/>
  <c r="M1567" i="1"/>
  <c r="M1568" i="1"/>
  <c r="M1569" i="1"/>
  <c r="M1570" i="1"/>
  <c r="M1571" i="1"/>
  <c r="M1572" i="1"/>
  <c r="M1573" i="1"/>
  <c r="M1574" i="1"/>
  <c r="M1575" i="1"/>
  <c r="M1576" i="1"/>
  <c r="M1577" i="1"/>
  <c r="M1578" i="1"/>
  <c r="M1579" i="1"/>
  <c r="M1580" i="1"/>
  <c r="M1581" i="1"/>
  <c r="M1582" i="1"/>
  <c r="M1583" i="1"/>
  <c r="M1584" i="1"/>
  <c r="M1585" i="1"/>
  <c r="M1586" i="1"/>
  <c r="M1587" i="1"/>
  <c r="M1588" i="1"/>
  <c r="M1589" i="1"/>
  <c r="M1590" i="1"/>
  <c r="M1591" i="1"/>
  <c r="M1592" i="1"/>
  <c r="M1593" i="1"/>
  <c r="M1594" i="1"/>
  <c r="M1595" i="1"/>
  <c r="M1596" i="1"/>
  <c r="M1597" i="1"/>
  <c r="M1598" i="1"/>
  <c r="M1599" i="1"/>
  <c r="M1600" i="1"/>
  <c r="M1601" i="1"/>
  <c r="M1602" i="1"/>
  <c r="M1603" i="1"/>
  <c r="M1604" i="1"/>
  <c r="M1605" i="1"/>
  <c r="M1606" i="1"/>
  <c r="M1607" i="1"/>
  <c r="M1608" i="1"/>
  <c r="M1609" i="1"/>
  <c r="M1610" i="1"/>
  <c r="M1611" i="1"/>
  <c r="M1612" i="1"/>
  <c r="M1613" i="1"/>
  <c r="M1614" i="1"/>
  <c r="M1615" i="1"/>
  <c r="M1616" i="1"/>
  <c r="M1617" i="1"/>
  <c r="M1618" i="1"/>
  <c r="M1619" i="1"/>
  <c r="M1620" i="1"/>
  <c r="M1621" i="1"/>
  <c r="M1622" i="1"/>
  <c r="M1623" i="1"/>
  <c r="M1624" i="1"/>
  <c r="M1625" i="1"/>
  <c r="M1626" i="1"/>
  <c r="M1627" i="1"/>
  <c r="M1628" i="1"/>
  <c r="M1629" i="1"/>
  <c r="M1630" i="1"/>
  <c r="M1631" i="1"/>
  <c r="M1632" i="1"/>
  <c r="M1633" i="1"/>
  <c r="M1634" i="1"/>
  <c r="M1635" i="1"/>
  <c r="M1636" i="1"/>
  <c r="M1637" i="1"/>
  <c r="M1638" i="1"/>
  <c r="M1639" i="1"/>
  <c r="M1640" i="1"/>
  <c r="M1641" i="1"/>
  <c r="M1642" i="1"/>
  <c r="M1643" i="1"/>
  <c r="M1644" i="1"/>
  <c r="M1645" i="1"/>
  <c r="M1646" i="1"/>
  <c r="M1647" i="1"/>
  <c r="M1648" i="1"/>
  <c r="M1649" i="1"/>
  <c r="M1650" i="1"/>
  <c r="M1651" i="1"/>
  <c r="M1652" i="1"/>
  <c r="M1653" i="1"/>
  <c r="M1654" i="1"/>
  <c r="M1655" i="1"/>
  <c r="M1656" i="1"/>
  <c r="M1657" i="1"/>
  <c r="M1658" i="1"/>
  <c r="M1659" i="1"/>
  <c r="M1660" i="1"/>
  <c r="M1661" i="1"/>
  <c r="M1662" i="1"/>
  <c r="M1663" i="1"/>
  <c r="M1664" i="1"/>
  <c r="M1665" i="1"/>
  <c r="M1666" i="1"/>
  <c r="M1667" i="1"/>
  <c r="M1668" i="1"/>
  <c r="M1669" i="1"/>
  <c r="M1670" i="1"/>
  <c r="M1671" i="1"/>
  <c r="M1672" i="1"/>
  <c r="M1673" i="1"/>
  <c r="M1674" i="1"/>
  <c r="M1675" i="1"/>
  <c r="M1676" i="1"/>
  <c r="M1677" i="1"/>
  <c r="M1678" i="1"/>
  <c r="M1679" i="1"/>
  <c r="M1680" i="1"/>
  <c r="M1681" i="1"/>
  <c r="M1682" i="1"/>
  <c r="M1683" i="1"/>
  <c r="M1684" i="1"/>
  <c r="M1685" i="1"/>
  <c r="M1686" i="1"/>
  <c r="M1687" i="1"/>
  <c r="M1688" i="1"/>
  <c r="M1689" i="1"/>
  <c r="M1690" i="1"/>
  <c r="M1691" i="1"/>
  <c r="M1692" i="1"/>
  <c r="M1693" i="1"/>
  <c r="M1694" i="1"/>
  <c r="M1695" i="1"/>
  <c r="M1696" i="1"/>
  <c r="M1697" i="1"/>
  <c r="M1698" i="1"/>
  <c r="M1699" i="1"/>
  <c r="M1700" i="1"/>
  <c r="M1701" i="1"/>
  <c r="M1702" i="1"/>
  <c r="M1703" i="1"/>
  <c r="M1704" i="1"/>
  <c r="M1705" i="1"/>
  <c r="M1706" i="1"/>
  <c r="M1707" i="1"/>
  <c r="M1708" i="1"/>
  <c r="M1709" i="1"/>
  <c r="M1710" i="1"/>
  <c r="M1711" i="1"/>
  <c r="M1712" i="1"/>
  <c r="M1713" i="1"/>
  <c r="M1714" i="1"/>
  <c r="M1715" i="1"/>
  <c r="M1716" i="1"/>
  <c r="M1717" i="1"/>
  <c r="M1718" i="1"/>
  <c r="M1719" i="1"/>
  <c r="M1720" i="1"/>
  <c r="M1721" i="1"/>
  <c r="M1722" i="1"/>
  <c r="M1723" i="1"/>
  <c r="M1724" i="1"/>
  <c r="M1725" i="1"/>
  <c r="M1726" i="1"/>
  <c r="M1727" i="1"/>
  <c r="M1728" i="1"/>
  <c r="M1729" i="1"/>
  <c r="M1730" i="1"/>
  <c r="M1731" i="1"/>
  <c r="M1732" i="1"/>
  <c r="M1733" i="1"/>
  <c r="M1734" i="1"/>
  <c r="M1735" i="1"/>
  <c r="M1736" i="1"/>
  <c r="M1737" i="1"/>
  <c r="M1738" i="1"/>
  <c r="M1739" i="1"/>
  <c r="M1740" i="1"/>
  <c r="M1741" i="1"/>
  <c r="M1742" i="1"/>
  <c r="M1743" i="1"/>
  <c r="M1744" i="1"/>
  <c r="M1745" i="1"/>
  <c r="M1746" i="1"/>
  <c r="M1747" i="1"/>
  <c r="M1748" i="1"/>
  <c r="M1749" i="1"/>
  <c r="M1750" i="1"/>
  <c r="M1751" i="1"/>
  <c r="M1752" i="1"/>
  <c r="M1753" i="1"/>
  <c r="M1754" i="1"/>
  <c r="M1755" i="1"/>
  <c r="M1756" i="1"/>
  <c r="M1757" i="1"/>
  <c r="M1758" i="1"/>
  <c r="M1759" i="1"/>
  <c r="M1760" i="1"/>
  <c r="M1761" i="1"/>
  <c r="M1762" i="1"/>
  <c r="M1763" i="1"/>
  <c r="M1764" i="1"/>
  <c r="M1765" i="1"/>
  <c r="M1766" i="1"/>
  <c r="M1767" i="1"/>
  <c r="M1768" i="1"/>
  <c r="M1769" i="1"/>
  <c r="M1770" i="1"/>
  <c r="M1771" i="1"/>
  <c r="M1772" i="1"/>
  <c r="M1773" i="1"/>
  <c r="M1774" i="1"/>
  <c r="M1775" i="1"/>
  <c r="M1776" i="1"/>
  <c r="M1777" i="1"/>
  <c r="M1778" i="1"/>
  <c r="M1779" i="1"/>
  <c r="M1780" i="1"/>
  <c r="M1781" i="1"/>
  <c r="M1782" i="1"/>
  <c r="M1783" i="1"/>
  <c r="M1784" i="1"/>
  <c r="M1785" i="1"/>
  <c r="M1786" i="1"/>
  <c r="M1787" i="1"/>
  <c r="M1788" i="1"/>
  <c r="M1789" i="1"/>
  <c r="M1790" i="1"/>
  <c r="M1791" i="1"/>
  <c r="M1792" i="1"/>
  <c r="M1793" i="1"/>
  <c r="M1794" i="1"/>
  <c r="M1795" i="1"/>
  <c r="M1796" i="1"/>
  <c r="M1797" i="1"/>
  <c r="M1798" i="1"/>
  <c r="M1799" i="1"/>
  <c r="M1800" i="1"/>
  <c r="M1801" i="1"/>
  <c r="M1802" i="1"/>
  <c r="M1803" i="1"/>
  <c r="M1804" i="1"/>
  <c r="M1805" i="1"/>
  <c r="M1806" i="1"/>
  <c r="M1807" i="1"/>
  <c r="M1808" i="1"/>
  <c r="M1809" i="1"/>
  <c r="M1810" i="1"/>
  <c r="M1811" i="1"/>
  <c r="M1812" i="1"/>
  <c r="M1813" i="1"/>
  <c r="M1814" i="1"/>
  <c r="M1815" i="1"/>
  <c r="M1816" i="1"/>
  <c r="M1817" i="1"/>
  <c r="M1818" i="1"/>
  <c r="M1819" i="1"/>
  <c r="M1820" i="1"/>
  <c r="M1821" i="1"/>
  <c r="M1822" i="1"/>
  <c r="M1823" i="1"/>
  <c r="M1824" i="1"/>
  <c r="M1825" i="1"/>
  <c r="M1826" i="1"/>
  <c r="M1827" i="1"/>
  <c r="M1828" i="1"/>
  <c r="M1829" i="1"/>
  <c r="M1830" i="1"/>
  <c r="M1831" i="1"/>
  <c r="M1832" i="1"/>
  <c r="M1833" i="1"/>
  <c r="M1834" i="1"/>
  <c r="M1835" i="1"/>
  <c r="M1836" i="1"/>
  <c r="M1837" i="1"/>
  <c r="M1838" i="1"/>
  <c r="M1839" i="1"/>
  <c r="M1840" i="1"/>
  <c r="M1841" i="1"/>
  <c r="M1842" i="1"/>
  <c r="M1843" i="1"/>
  <c r="M1844" i="1"/>
  <c r="M1845" i="1"/>
  <c r="M1846" i="1"/>
  <c r="M1847" i="1"/>
  <c r="M1848" i="1"/>
  <c r="M1849" i="1"/>
  <c r="M1850" i="1"/>
  <c r="M1851" i="1"/>
  <c r="M1852" i="1"/>
  <c r="M1853" i="1"/>
  <c r="M1854" i="1"/>
  <c r="M1855" i="1"/>
  <c r="M1856" i="1"/>
  <c r="M1857" i="1"/>
  <c r="M1858" i="1"/>
  <c r="M1859" i="1"/>
  <c r="M1860" i="1"/>
  <c r="M1861" i="1"/>
  <c r="M1862" i="1"/>
  <c r="M1863" i="1"/>
  <c r="M1864" i="1"/>
  <c r="M1865" i="1"/>
  <c r="M1866" i="1"/>
  <c r="M1867" i="1"/>
  <c r="M1868" i="1"/>
  <c r="M1869" i="1"/>
  <c r="M1870" i="1"/>
  <c r="M1871" i="1"/>
  <c r="M1872" i="1"/>
  <c r="M1873" i="1"/>
  <c r="M1874" i="1"/>
  <c r="M1875" i="1"/>
  <c r="M1876" i="1"/>
  <c r="M1877" i="1"/>
  <c r="M1878" i="1"/>
  <c r="M1879" i="1"/>
  <c r="M1880" i="1"/>
  <c r="M1881" i="1"/>
  <c r="M1882" i="1"/>
  <c r="M1883" i="1"/>
  <c r="M1884" i="1"/>
  <c r="M1885" i="1"/>
  <c r="M1886" i="1"/>
  <c r="M1887" i="1"/>
  <c r="M1888" i="1"/>
  <c r="M1889" i="1"/>
  <c r="M1890" i="1"/>
  <c r="M1891" i="1"/>
  <c r="M1892" i="1"/>
  <c r="M1893" i="1"/>
  <c r="M1894" i="1"/>
  <c r="M1895" i="1"/>
  <c r="M1896" i="1"/>
  <c r="M1897" i="1"/>
  <c r="M1898" i="1"/>
  <c r="M1899" i="1"/>
  <c r="M1900" i="1"/>
  <c r="M1901" i="1"/>
  <c r="M1902" i="1"/>
  <c r="M1903" i="1"/>
  <c r="M1904" i="1"/>
  <c r="M1905" i="1"/>
  <c r="M1906" i="1"/>
  <c r="M1907" i="1"/>
  <c r="M1908" i="1"/>
  <c r="M1909" i="1"/>
  <c r="M1910" i="1"/>
  <c r="M1911" i="1"/>
  <c r="M1912" i="1"/>
  <c r="M1913" i="1"/>
  <c r="M1914" i="1"/>
  <c r="M1915" i="1"/>
  <c r="M1916" i="1"/>
  <c r="M1917" i="1"/>
  <c r="M1918" i="1"/>
  <c r="M1919" i="1"/>
  <c r="M1920" i="1"/>
  <c r="M1921" i="1"/>
  <c r="M1922" i="1"/>
  <c r="M1923" i="1"/>
  <c r="M1924" i="1"/>
  <c r="M1925" i="1"/>
  <c r="M1926" i="1"/>
  <c r="M1927" i="1"/>
  <c r="M1928" i="1"/>
  <c r="M1929" i="1"/>
  <c r="M1930" i="1"/>
  <c r="M1931" i="1"/>
  <c r="M1932" i="1"/>
  <c r="M1933" i="1"/>
  <c r="M1934" i="1"/>
  <c r="M1935" i="1"/>
  <c r="M1936" i="1"/>
  <c r="M1937" i="1"/>
  <c r="M1938" i="1"/>
  <c r="M1939" i="1"/>
  <c r="M1940" i="1"/>
  <c r="M1941" i="1"/>
  <c r="M1942" i="1"/>
  <c r="M1943" i="1"/>
  <c r="M1944" i="1"/>
  <c r="M1945" i="1"/>
  <c r="M1946" i="1"/>
  <c r="M1947" i="1"/>
  <c r="M1948" i="1"/>
  <c r="M1949" i="1"/>
  <c r="M1950" i="1"/>
  <c r="M1951" i="1"/>
  <c r="M1952" i="1"/>
  <c r="M1953" i="1"/>
  <c r="M1954" i="1"/>
  <c r="M1955" i="1"/>
  <c r="M1956" i="1"/>
  <c r="M1957" i="1"/>
  <c r="M1958" i="1"/>
  <c r="M1959" i="1"/>
  <c r="M1960" i="1"/>
  <c r="M1961" i="1"/>
  <c r="M1962" i="1"/>
  <c r="M1963" i="1"/>
  <c r="M1964" i="1"/>
  <c r="M1965" i="1"/>
  <c r="M1966" i="1"/>
  <c r="M1967" i="1"/>
  <c r="M1968" i="1"/>
  <c r="M1969" i="1"/>
  <c r="M1970" i="1"/>
  <c r="M1971" i="1"/>
  <c r="M1972" i="1"/>
  <c r="M1973" i="1"/>
  <c r="M1974" i="1"/>
  <c r="M1975" i="1"/>
  <c r="M1976" i="1"/>
  <c r="M1977" i="1"/>
  <c r="M1978" i="1"/>
  <c r="M1979" i="1"/>
  <c r="M1980" i="1"/>
  <c r="M1981" i="1"/>
  <c r="M1982" i="1"/>
  <c r="M1983" i="1"/>
  <c r="M1984" i="1"/>
  <c r="M1985" i="1"/>
  <c r="M1986" i="1"/>
  <c r="M1987" i="1"/>
  <c r="M1988" i="1"/>
  <c r="M1989" i="1"/>
  <c r="M1990" i="1"/>
  <c r="M1991" i="1"/>
  <c r="M1992" i="1"/>
  <c r="M1993" i="1"/>
  <c r="M1994" i="1"/>
  <c r="M1995" i="1"/>
  <c r="M1996" i="1"/>
  <c r="M1997" i="1"/>
  <c r="M1998" i="1"/>
  <c r="M1999" i="1"/>
  <c r="M2000" i="1"/>
  <c r="M2001" i="1"/>
  <c r="M2002" i="1"/>
  <c r="M2003" i="1"/>
  <c r="M2004" i="1"/>
  <c r="M2005" i="1"/>
  <c r="M2006" i="1"/>
  <c r="M2007" i="1"/>
  <c r="M2008" i="1"/>
  <c r="M2009" i="1"/>
  <c r="M2010" i="1"/>
  <c r="M2011" i="1"/>
  <c r="M2012" i="1"/>
  <c r="M2013" i="1"/>
  <c r="M2014" i="1"/>
  <c r="M2015" i="1"/>
  <c r="M2016" i="1"/>
  <c r="M2017" i="1"/>
  <c r="M2018" i="1"/>
  <c r="M2019" i="1"/>
  <c r="M2020" i="1"/>
  <c r="M2021" i="1"/>
  <c r="M2022" i="1"/>
  <c r="M2023" i="1"/>
  <c r="M2024" i="1"/>
  <c r="M2025" i="1"/>
  <c r="M2026" i="1"/>
  <c r="M2027" i="1"/>
  <c r="M2028" i="1"/>
  <c r="M2029" i="1"/>
  <c r="M2030" i="1"/>
  <c r="M2031" i="1"/>
  <c r="M2032" i="1"/>
  <c r="M2033" i="1"/>
  <c r="M2034" i="1"/>
  <c r="M2035" i="1"/>
  <c r="M2036" i="1"/>
  <c r="M2037" i="1"/>
  <c r="M2038" i="1"/>
  <c r="M2039" i="1"/>
  <c r="M2040" i="1"/>
  <c r="M2041" i="1"/>
  <c r="M2042" i="1"/>
  <c r="M2043" i="1"/>
  <c r="M2044" i="1"/>
  <c r="M2045" i="1"/>
  <c r="M2046" i="1"/>
  <c r="M2047" i="1"/>
  <c r="M2048" i="1"/>
  <c r="M2049" i="1"/>
  <c r="M2050" i="1"/>
  <c r="M2051" i="1"/>
  <c r="M2052" i="1"/>
  <c r="M2053" i="1"/>
  <c r="M2054" i="1"/>
  <c r="M2055" i="1"/>
  <c r="M2056" i="1"/>
  <c r="M2" i="1"/>
  <c r="AB3" i="1"/>
  <c r="AB4" i="1"/>
  <c r="AB5" i="1"/>
  <c r="AB6" i="1"/>
  <c r="AB7" i="1"/>
  <c r="AB8" i="1"/>
  <c r="AB9" i="1"/>
  <c r="AB10" i="1"/>
  <c r="AB11" i="1"/>
  <c r="AB12" i="1"/>
  <c r="AB13" i="1"/>
  <c r="AB14" i="1"/>
  <c r="AB15" i="1"/>
  <c r="AB16" i="1"/>
  <c r="AB17" i="1"/>
  <c r="AB18" i="1"/>
  <c r="AB19" i="1"/>
  <c r="AB20" i="1"/>
  <c r="AB21" i="1"/>
  <c r="AB22" i="1"/>
  <c r="AB23" i="1"/>
  <c r="AB24" i="1"/>
  <c r="AB25" i="1"/>
  <c r="AB26" i="1"/>
  <c r="AB27" i="1"/>
  <c r="AB28" i="1"/>
  <c r="AB29" i="1"/>
  <c r="AB30" i="1"/>
  <c r="AB31" i="1"/>
  <c r="AB32" i="1"/>
  <c r="AB33" i="1"/>
  <c r="AB34" i="1"/>
  <c r="AB35" i="1"/>
  <c r="AB36" i="1"/>
  <c r="AB37" i="1"/>
  <c r="AB38" i="1"/>
  <c r="AB39" i="1"/>
  <c r="AB40" i="1"/>
  <c r="AB41" i="1"/>
  <c r="AB42" i="1"/>
  <c r="AB43" i="1"/>
  <c r="AB44" i="1"/>
  <c r="AB45" i="1"/>
  <c r="AB46" i="1"/>
  <c r="AB47" i="1"/>
  <c r="AB48" i="1"/>
  <c r="AB49" i="1"/>
  <c r="AB50" i="1"/>
  <c r="AB51" i="1"/>
  <c r="AB52" i="1"/>
  <c r="AB53" i="1"/>
  <c r="AB54" i="1"/>
  <c r="AB55" i="1"/>
  <c r="AB56" i="1"/>
  <c r="AB57" i="1"/>
  <c r="AB58" i="1"/>
  <c r="AB59" i="1"/>
  <c r="AB60" i="1"/>
  <c r="AB61" i="1"/>
  <c r="AB62" i="1"/>
  <c r="AB63" i="1"/>
  <c r="AB64" i="1"/>
  <c r="AB65" i="1"/>
  <c r="AB66" i="1"/>
  <c r="AB67" i="1"/>
  <c r="AB68" i="1"/>
  <c r="AB69" i="1"/>
  <c r="AB70" i="1"/>
  <c r="AB71" i="1"/>
  <c r="AB72" i="1"/>
  <c r="AB73" i="1"/>
  <c r="AB74" i="1"/>
  <c r="AB75" i="1"/>
  <c r="AB76" i="1"/>
  <c r="AB77" i="1"/>
  <c r="AB78" i="1"/>
  <c r="AB79" i="1"/>
  <c r="AB80" i="1"/>
  <c r="AB81" i="1"/>
  <c r="AB82" i="1"/>
  <c r="AB83" i="1"/>
  <c r="AB84" i="1"/>
  <c r="AB85" i="1"/>
  <c r="AB86" i="1"/>
  <c r="AB87" i="1"/>
  <c r="AB88" i="1"/>
  <c r="AB89" i="1"/>
  <c r="AB90" i="1"/>
  <c r="AB91" i="1"/>
  <c r="AB92" i="1"/>
  <c r="AB93" i="1"/>
  <c r="AB94" i="1"/>
  <c r="AB95" i="1"/>
  <c r="AB96" i="1"/>
  <c r="AB97" i="1"/>
  <c r="AB98" i="1"/>
  <c r="AB99" i="1"/>
  <c r="AB100" i="1"/>
  <c r="AB101" i="1"/>
  <c r="AB102" i="1"/>
  <c r="AB103" i="1"/>
  <c r="AB104" i="1"/>
  <c r="AB105" i="1"/>
  <c r="AB106" i="1"/>
  <c r="AB107" i="1"/>
  <c r="AB108" i="1"/>
  <c r="AB109" i="1"/>
  <c r="AB110" i="1"/>
  <c r="AB111" i="1"/>
  <c r="AB112" i="1"/>
  <c r="AB113" i="1"/>
  <c r="AB114" i="1"/>
  <c r="AB115" i="1"/>
  <c r="AB116" i="1"/>
  <c r="AB117" i="1"/>
  <c r="AB118" i="1"/>
  <c r="AB119" i="1"/>
  <c r="AB120" i="1"/>
  <c r="AB121" i="1"/>
  <c r="AB122" i="1"/>
  <c r="AB123" i="1"/>
  <c r="AB124" i="1"/>
  <c r="AB125" i="1"/>
  <c r="AB126" i="1"/>
  <c r="AB127" i="1"/>
  <c r="AB128" i="1"/>
  <c r="AB129" i="1"/>
  <c r="AB130" i="1"/>
  <c r="AB131" i="1"/>
  <c r="AB132" i="1"/>
  <c r="AB133" i="1"/>
  <c r="AB134" i="1"/>
  <c r="AB135" i="1"/>
  <c r="AB136" i="1"/>
  <c r="AB137" i="1"/>
  <c r="AB138" i="1"/>
  <c r="AB139" i="1"/>
  <c r="AB140" i="1"/>
  <c r="AB141" i="1"/>
  <c r="AB142" i="1"/>
  <c r="AB143" i="1"/>
  <c r="AB144" i="1"/>
  <c r="AB145" i="1"/>
  <c r="AB146" i="1"/>
  <c r="AB147" i="1"/>
  <c r="AB148" i="1"/>
  <c r="AB149" i="1"/>
  <c r="AB150" i="1"/>
  <c r="AB151" i="1"/>
  <c r="AB152" i="1"/>
  <c r="AB153" i="1"/>
  <c r="AB154" i="1"/>
  <c r="AB155" i="1"/>
  <c r="AB156" i="1"/>
  <c r="AB157" i="1"/>
  <c r="AB158" i="1"/>
  <c r="AB159" i="1"/>
  <c r="AB160" i="1"/>
  <c r="AB161" i="1"/>
  <c r="AB162" i="1"/>
  <c r="AB163" i="1"/>
  <c r="AB164" i="1"/>
  <c r="AB165" i="1"/>
  <c r="AB166" i="1"/>
  <c r="AB167" i="1"/>
  <c r="AB168" i="1"/>
  <c r="AB169" i="1"/>
  <c r="AB170" i="1"/>
  <c r="AB171" i="1"/>
  <c r="AB172" i="1"/>
  <c r="AB173" i="1"/>
  <c r="AB174" i="1"/>
  <c r="AB175" i="1"/>
  <c r="AB176" i="1"/>
  <c r="AB177" i="1"/>
  <c r="AB178" i="1"/>
  <c r="AB179" i="1"/>
  <c r="AB180" i="1"/>
  <c r="AB181" i="1"/>
  <c r="AB182" i="1"/>
  <c r="AB183" i="1"/>
  <c r="AB184" i="1"/>
  <c r="AB185" i="1"/>
  <c r="AB186" i="1"/>
  <c r="AB187" i="1"/>
  <c r="AB188" i="1"/>
  <c r="AB189" i="1"/>
  <c r="AB190" i="1"/>
  <c r="AB191" i="1"/>
  <c r="AB192" i="1"/>
  <c r="AB193" i="1"/>
  <c r="AB194" i="1"/>
  <c r="AB195" i="1"/>
  <c r="AB196" i="1"/>
  <c r="AB197" i="1"/>
  <c r="AB198" i="1"/>
  <c r="AB199" i="1"/>
  <c r="AB200" i="1"/>
  <c r="AB201" i="1"/>
  <c r="AB202" i="1"/>
  <c r="AB203" i="1"/>
  <c r="AB204" i="1"/>
  <c r="AB205" i="1"/>
  <c r="AB206" i="1"/>
  <c r="AB207" i="1"/>
  <c r="AB208" i="1"/>
  <c r="AB209" i="1"/>
  <c r="AB210" i="1"/>
  <c r="AB211" i="1"/>
  <c r="AB212" i="1"/>
  <c r="AB213" i="1"/>
  <c r="AB214" i="1"/>
  <c r="AB215" i="1"/>
  <c r="AB216" i="1"/>
  <c r="AB217" i="1"/>
  <c r="AB218" i="1"/>
  <c r="AB219" i="1"/>
  <c r="AB220" i="1"/>
  <c r="AB221" i="1"/>
  <c r="AB222" i="1"/>
  <c r="AB223" i="1"/>
  <c r="AB224" i="1"/>
  <c r="AB225" i="1"/>
  <c r="AB226" i="1"/>
  <c r="AB227" i="1"/>
  <c r="AB228" i="1"/>
  <c r="AB229" i="1"/>
  <c r="AB230" i="1"/>
  <c r="AB231" i="1"/>
  <c r="AB232" i="1"/>
  <c r="AB233" i="1"/>
  <c r="AB234" i="1"/>
  <c r="AB235" i="1"/>
  <c r="AB236" i="1"/>
  <c r="AB237" i="1"/>
  <c r="AB238" i="1"/>
  <c r="AB239" i="1"/>
  <c r="AB240" i="1"/>
  <c r="AB241" i="1"/>
  <c r="AB242" i="1"/>
  <c r="AB243" i="1"/>
  <c r="AB244" i="1"/>
  <c r="AB245" i="1"/>
  <c r="AB246" i="1"/>
  <c r="AB247" i="1"/>
  <c r="AB248" i="1"/>
  <c r="AB249" i="1"/>
  <c r="AB250" i="1"/>
  <c r="AB251" i="1"/>
  <c r="AB252" i="1"/>
  <c r="AB253" i="1"/>
  <c r="AB254" i="1"/>
  <c r="AB255" i="1"/>
  <c r="AB256" i="1"/>
  <c r="AB257" i="1"/>
  <c r="AB258" i="1"/>
  <c r="AB259" i="1"/>
  <c r="AB260" i="1"/>
  <c r="AB261" i="1"/>
  <c r="AB262" i="1"/>
  <c r="AB263" i="1"/>
  <c r="AB264" i="1"/>
  <c r="AB265" i="1"/>
  <c r="AB266" i="1"/>
  <c r="AB267" i="1"/>
  <c r="AB268" i="1"/>
  <c r="AB269" i="1"/>
  <c r="AB270" i="1"/>
  <c r="AB271" i="1"/>
  <c r="AB272" i="1"/>
  <c r="AB273" i="1"/>
  <c r="AB274" i="1"/>
  <c r="AB275" i="1"/>
  <c r="AB276" i="1"/>
  <c r="AB277" i="1"/>
  <c r="AB278" i="1"/>
  <c r="AB279" i="1"/>
  <c r="AB280" i="1"/>
  <c r="AB281" i="1"/>
  <c r="AB282" i="1"/>
  <c r="AB283" i="1"/>
  <c r="AB284" i="1"/>
  <c r="AB285" i="1"/>
  <c r="AB286" i="1"/>
  <c r="AB287" i="1"/>
  <c r="AB288" i="1"/>
  <c r="AB289" i="1"/>
  <c r="AB290" i="1"/>
  <c r="AB291" i="1"/>
  <c r="AB292" i="1"/>
  <c r="AB293" i="1"/>
  <c r="AB294" i="1"/>
  <c r="AB295" i="1"/>
  <c r="AB296" i="1"/>
  <c r="AB297" i="1"/>
  <c r="AB298" i="1"/>
  <c r="AB299" i="1"/>
  <c r="AB300" i="1"/>
  <c r="AB301" i="1"/>
  <c r="AB302" i="1"/>
  <c r="AB303" i="1"/>
  <c r="AB304" i="1"/>
  <c r="AB305" i="1"/>
  <c r="AB306" i="1"/>
  <c r="AB307" i="1"/>
  <c r="AB308" i="1"/>
  <c r="AB309" i="1"/>
  <c r="AB310" i="1"/>
  <c r="AB311" i="1"/>
  <c r="AB312" i="1"/>
  <c r="AB313" i="1"/>
  <c r="AB314" i="1"/>
  <c r="AB315" i="1"/>
  <c r="AB316" i="1"/>
  <c r="AB317" i="1"/>
  <c r="AB318" i="1"/>
  <c r="AB319" i="1"/>
  <c r="AB320" i="1"/>
  <c r="AB321" i="1"/>
  <c r="AB322" i="1"/>
  <c r="AB323" i="1"/>
  <c r="AB324" i="1"/>
  <c r="AB325" i="1"/>
  <c r="AB326" i="1"/>
  <c r="AB327" i="1"/>
  <c r="AB328" i="1"/>
  <c r="AB329" i="1"/>
  <c r="AB330" i="1"/>
  <c r="AB331" i="1"/>
  <c r="AB332" i="1"/>
  <c r="AB333" i="1"/>
  <c r="AB334" i="1"/>
  <c r="AB335" i="1"/>
  <c r="AB336" i="1"/>
  <c r="AB337" i="1"/>
  <c r="AB338" i="1"/>
  <c r="AB339" i="1"/>
  <c r="AB340" i="1"/>
  <c r="AB341" i="1"/>
  <c r="AB342" i="1"/>
  <c r="AB343" i="1"/>
  <c r="AB344" i="1"/>
  <c r="AB345" i="1"/>
  <c r="AB346" i="1"/>
  <c r="AB347" i="1"/>
  <c r="AB348" i="1"/>
  <c r="AB349" i="1"/>
  <c r="AB350" i="1"/>
  <c r="AB351" i="1"/>
  <c r="AB352" i="1"/>
  <c r="AB353" i="1"/>
  <c r="AB354" i="1"/>
  <c r="AB355" i="1"/>
  <c r="AB356" i="1"/>
  <c r="AB357" i="1"/>
  <c r="AB358" i="1"/>
  <c r="AB359" i="1"/>
  <c r="AB360" i="1"/>
  <c r="AB361" i="1"/>
  <c r="AB362" i="1"/>
  <c r="AB363" i="1"/>
  <c r="AB364" i="1"/>
  <c r="AB365" i="1"/>
  <c r="AB366" i="1"/>
  <c r="AB367" i="1"/>
  <c r="AB368" i="1"/>
  <c r="AB369" i="1"/>
  <c r="AB370" i="1"/>
  <c r="AB371" i="1"/>
  <c r="AB372" i="1"/>
  <c r="AB373" i="1"/>
  <c r="AB374" i="1"/>
  <c r="AB375" i="1"/>
  <c r="AB376" i="1"/>
  <c r="AB377" i="1"/>
  <c r="AB378" i="1"/>
  <c r="AB379" i="1"/>
  <c r="AB380" i="1"/>
  <c r="AB381" i="1"/>
  <c r="AB382" i="1"/>
  <c r="AB383" i="1"/>
  <c r="AB384" i="1"/>
  <c r="AB385" i="1"/>
  <c r="AB386" i="1"/>
  <c r="AB387" i="1"/>
  <c r="AB388" i="1"/>
  <c r="AB389" i="1"/>
  <c r="AB390" i="1"/>
  <c r="AB391" i="1"/>
  <c r="AB392" i="1"/>
  <c r="AB393" i="1"/>
  <c r="AB394" i="1"/>
  <c r="AB395" i="1"/>
  <c r="AB396" i="1"/>
  <c r="AB397" i="1"/>
  <c r="AB398" i="1"/>
  <c r="AB399" i="1"/>
  <c r="AB400" i="1"/>
  <c r="AB401" i="1"/>
  <c r="AB402" i="1"/>
  <c r="AB403" i="1"/>
  <c r="AB404" i="1"/>
  <c r="AB405" i="1"/>
  <c r="AB406" i="1"/>
  <c r="AB407" i="1"/>
  <c r="AB408" i="1"/>
  <c r="AB409" i="1"/>
  <c r="AB410" i="1"/>
  <c r="AB411" i="1"/>
  <c r="AB412" i="1"/>
  <c r="AB413" i="1"/>
  <c r="AB414" i="1"/>
  <c r="AB415" i="1"/>
  <c r="AB416" i="1"/>
  <c r="AB417" i="1"/>
  <c r="AB418" i="1"/>
  <c r="AB419" i="1"/>
  <c r="AB420" i="1"/>
  <c r="AB421" i="1"/>
  <c r="AB422" i="1"/>
  <c r="AB423" i="1"/>
  <c r="AB424" i="1"/>
  <c r="AB425" i="1"/>
  <c r="AB426" i="1"/>
  <c r="AB427" i="1"/>
  <c r="AB428" i="1"/>
  <c r="AB429" i="1"/>
  <c r="AB430" i="1"/>
  <c r="AB431" i="1"/>
  <c r="AB432" i="1"/>
  <c r="AB433" i="1"/>
  <c r="AB434" i="1"/>
  <c r="AB435" i="1"/>
  <c r="AB436" i="1"/>
  <c r="AB437" i="1"/>
  <c r="AB438" i="1"/>
  <c r="AB439" i="1"/>
  <c r="AB440" i="1"/>
  <c r="AB441" i="1"/>
  <c r="AB442" i="1"/>
  <c r="AB443" i="1"/>
  <c r="AB444" i="1"/>
  <c r="AB445" i="1"/>
  <c r="AB446" i="1"/>
  <c r="AB447" i="1"/>
  <c r="AB448" i="1"/>
  <c r="AB449" i="1"/>
  <c r="AB450" i="1"/>
  <c r="AB451" i="1"/>
  <c r="AB452" i="1"/>
  <c r="AB453" i="1"/>
  <c r="AB454" i="1"/>
  <c r="AB455" i="1"/>
  <c r="AB456" i="1"/>
  <c r="AB457" i="1"/>
  <c r="AB458" i="1"/>
  <c r="AB459" i="1"/>
  <c r="AB460" i="1"/>
  <c r="AB461" i="1"/>
  <c r="AB462" i="1"/>
  <c r="AB463" i="1"/>
  <c r="AB464" i="1"/>
  <c r="AB465" i="1"/>
  <c r="AB466" i="1"/>
  <c r="AB467" i="1"/>
  <c r="AB468" i="1"/>
  <c r="AB469" i="1"/>
  <c r="AB470" i="1"/>
  <c r="AB471" i="1"/>
  <c r="AB472" i="1"/>
  <c r="AB473" i="1"/>
  <c r="AB474" i="1"/>
  <c r="AB475" i="1"/>
  <c r="AB476" i="1"/>
  <c r="AB477" i="1"/>
  <c r="AB478" i="1"/>
  <c r="AB479" i="1"/>
  <c r="AB480" i="1"/>
  <c r="AB481" i="1"/>
  <c r="AB482" i="1"/>
  <c r="AB483" i="1"/>
  <c r="AB484" i="1"/>
  <c r="AB485" i="1"/>
  <c r="AB486" i="1"/>
  <c r="AB487" i="1"/>
  <c r="AB488" i="1"/>
  <c r="AB489" i="1"/>
  <c r="AB490" i="1"/>
  <c r="AB491" i="1"/>
  <c r="AB492" i="1"/>
  <c r="AB493" i="1"/>
  <c r="AB494" i="1"/>
  <c r="AB495" i="1"/>
  <c r="AB496" i="1"/>
  <c r="AB497" i="1"/>
  <c r="AB498" i="1"/>
  <c r="AB499" i="1"/>
  <c r="AB500" i="1"/>
  <c r="AB501" i="1"/>
  <c r="AB502" i="1"/>
  <c r="AB503" i="1"/>
  <c r="AB504" i="1"/>
  <c r="AB505" i="1"/>
  <c r="AB506" i="1"/>
  <c r="AB507" i="1"/>
  <c r="AB508" i="1"/>
  <c r="AB509" i="1"/>
  <c r="AB510" i="1"/>
  <c r="AB511" i="1"/>
  <c r="AB512" i="1"/>
  <c r="AB513" i="1"/>
  <c r="AB514" i="1"/>
  <c r="AB515" i="1"/>
  <c r="AB516" i="1"/>
  <c r="AB517" i="1"/>
  <c r="AB518" i="1"/>
  <c r="AB519" i="1"/>
  <c r="AB520" i="1"/>
  <c r="AB521" i="1"/>
  <c r="AB522" i="1"/>
  <c r="AB523" i="1"/>
  <c r="AB524" i="1"/>
  <c r="AB525" i="1"/>
  <c r="AB526" i="1"/>
  <c r="AB527" i="1"/>
  <c r="AB528" i="1"/>
  <c r="AB529" i="1"/>
  <c r="AB530" i="1"/>
  <c r="AB531" i="1"/>
  <c r="AB532" i="1"/>
  <c r="AB533" i="1"/>
  <c r="AB534" i="1"/>
  <c r="AB535" i="1"/>
  <c r="AB536" i="1"/>
  <c r="AB537" i="1"/>
  <c r="AB538" i="1"/>
  <c r="AB539" i="1"/>
  <c r="AB540" i="1"/>
  <c r="AB541" i="1"/>
  <c r="AB542" i="1"/>
  <c r="AB543" i="1"/>
  <c r="AB544" i="1"/>
  <c r="AB545" i="1"/>
  <c r="AB546" i="1"/>
  <c r="AB547" i="1"/>
  <c r="AB548" i="1"/>
  <c r="AB549" i="1"/>
  <c r="AB550" i="1"/>
  <c r="AB551" i="1"/>
  <c r="AB552" i="1"/>
  <c r="AB553" i="1"/>
  <c r="AB554" i="1"/>
  <c r="AB555" i="1"/>
  <c r="AB556" i="1"/>
  <c r="AB557" i="1"/>
  <c r="AB558" i="1"/>
  <c r="AB559" i="1"/>
  <c r="AB560" i="1"/>
  <c r="AB561" i="1"/>
  <c r="AB562" i="1"/>
  <c r="AB563" i="1"/>
  <c r="AB564" i="1"/>
  <c r="AB565" i="1"/>
  <c r="AB566" i="1"/>
  <c r="AB567" i="1"/>
  <c r="AB568" i="1"/>
  <c r="AB569" i="1"/>
  <c r="AB570" i="1"/>
  <c r="AB571" i="1"/>
  <c r="AB572" i="1"/>
  <c r="AB573" i="1"/>
  <c r="AB574" i="1"/>
  <c r="AB575" i="1"/>
  <c r="AB576" i="1"/>
  <c r="AB577" i="1"/>
  <c r="AB578" i="1"/>
  <c r="AB579" i="1"/>
  <c r="AB580" i="1"/>
  <c r="AB581" i="1"/>
  <c r="AB582" i="1"/>
  <c r="AB583" i="1"/>
  <c r="AB584" i="1"/>
  <c r="AB585" i="1"/>
  <c r="AB586" i="1"/>
  <c r="AB587" i="1"/>
  <c r="AB588" i="1"/>
  <c r="AB589" i="1"/>
  <c r="AB590" i="1"/>
  <c r="AB591" i="1"/>
  <c r="AB592" i="1"/>
  <c r="AB593" i="1"/>
  <c r="AB594" i="1"/>
  <c r="AB595" i="1"/>
  <c r="AB596" i="1"/>
  <c r="AB597" i="1"/>
  <c r="AB598" i="1"/>
  <c r="AB599" i="1"/>
  <c r="AB600" i="1"/>
  <c r="AB601" i="1"/>
  <c r="AB602" i="1"/>
  <c r="AB603" i="1"/>
  <c r="AB604" i="1"/>
  <c r="AB605" i="1"/>
  <c r="AB606" i="1"/>
  <c r="AB607" i="1"/>
  <c r="AB608" i="1"/>
  <c r="AB609" i="1"/>
  <c r="AB610" i="1"/>
  <c r="AB611" i="1"/>
  <c r="AB612" i="1"/>
  <c r="AB613" i="1"/>
  <c r="AB614" i="1"/>
  <c r="AB615" i="1"/>
  <c r="AB616" i="1"/>
  <c r="AB617" i="1"/>
  <c r="AB618" i="1"/>
  <c r="AB619" i="1"/>
  <c r="AB620" i="1"/>
  <c r="AB621" i="1"/>
  <c r="AB622" i="1"/>
  <c r="AB623" i="1"/>
  <c r="AB624" i="1"/>
  <c r="AB625" i="1"/>
  <c r="AB626" i="1"/>
  <c r="AB627" i="1"/>
  <c r="AB628" i="1"/>
  <c r="AB629" i="1"/>
  <c r="AB630" i="1"/>
  <c r="AB631" i="1"/>
  <c r="AB632" i="1"/>
  <c r="AB633" i="1"/>
  <c r="AB634" i="1"/>
  <c r="AB635" i="1"/>
  <c r="AB636" i="1"/>
  <c r="AB637" i="1"/>
  <c r="AB638" i="1"/>
  <c r="AB639" i="1"/>
  <c r="AB640" i="1"/>
  <c r="AB641" i="1"/>
  <c r="AB642" i="1"/>
  <c r="AB643" i="1"/>
  <c r="AB644" i="1"/>
  <c r="AB645" i="1"/>
  <c r="AB646" i="1"/>
  <c r="AB647" i="1"/>
  <c r="AB648" i="1"/>
  <c r="AB649" i="1"/>
  <c r="AB650" i="1"/>
  <c r="AB651" i="1"/>
  <c r="AB652" i="1"/>
  <c r="AB653" i="1"/>
  <c r="AB654" i="1"/>
  <c r="AB655" i="1"/>
  <c r="AB656" i="1"/>
  <c r="AB657" i="1"/>
  <c r="AB658" i="1"/>
  <c r="AB659" i="1"/>
  <c r="AB660" i="1"/>
  <c r="AB661" i="1"/>
  <c r="AB662" i="1"/>
  <c r="AB663" i="1"/>
  <c r="AB664" i="1"/>
  <c r="AB665" i="1"/>
  <c r="AB666" i="1"/>
  <c r="AB667" i="1"/>
  <c r="AB668" i="1"/>
  <c r="AB669" i="1"/>
  <c r="AB670" i="1"/>
  <c r="AB671" i="1"/>
  <c r="AB672" i="1"/>
  <c r="AB673" i="1"/>
  <c r="AB674" i="1"/>
  <c r="AB675" i="1"/>
  <c r="AB676" i="1"/>
  <c r="AB677" i="1"/>
  <c r="AB678" i="1"/>
  <c r="AB679" i="1"/>
  <c r="AB680" i="1"/>
  <c r="AB681" i="1"/>
  <c r="AB682" i="1"/>
  <c r="AB683" i="1"/>
  <c r="AB684" i="1"/>
  <c r="AB685" i="1"/>
  <c r="AB686" i="1"/>
  <c r="AB687" i="1"/>
  <c r="AB688" i="1"/>
  <c r="AB689" i="1"/>
  <c r="AB690" i="1"/>
  <c r="AB691" i="1"/>
  <c r="AB692" i="1"/>
  <c r="AB693" i="1"/>
  <c r="AB694" i="1"/>
  <c r="AB695" i="1"/>
  <c r="AB696" i="1"/>
  <c r="AB697" i="1"/>
  <c r="AB698" i="1"/>
  <c r="AB699" i="1"/>
  <c r="AB700" i="1"/>
  <c r="AB701" i="1"/>
  <c r="AB702" i="1"/>
  <c r="AB703" i="1"/>
  <c r="AB704" i="1"/>
  <c r="AB705" i="1"/>
  <c r="AB706" i="1"/>
  <c r="AB707" i="1"/>
  <c r="AB708" i="1"/>
  <c r="AB709" i="1"/>
  <c r="AB710" i="1"/>
  <c r="AB711" i="1"/>
  <c r="AB712" i="1"/>
  <c r="AB713" i="1"/>
  <c r="AB714" i="1"/>
  <c r="AB715" i="1"/>
  <c r="AB716" i="1"/>
  <c r="AB717" i="1"/>
  <c r="AB718" i="1"/>
  <c r="AB719" i="1"/>
  <c r="AB720" i="1"/>
  <c r="AB721" i="1"/>
  <c r="AB722" i="1"/>
  <c r="AB723" i="1"/>
  <c r="AB724" i="1"/>
  <c r="AB725" i="1"/>
  <c r="AB726" i="1"/>
  <c r="AB727" i="1"/>
  <c r="AB728" i="1"/>
  <c r="AB729" i="1"/>
  <c r="AB730" i="1"/>
  <c r="AB731" i="1"/>
  <c r="AB732" i="1"/>
  <c r="AB733" i="1"/>
  <c r="AB734" i="1"/>
  <c r="AB735" i="1"/>
  <c r="AB736" i="1"/>
  <c r="AB737" i="1"/>
  <c r="AB738" i="1"/>
  <c r="AB739" i="1"/>
  <c r="AB740" i="1"/>
  <c r="AB741" i="1"/>
  <c r="AB742" i="1"/>
  <c r="AB743" i="1"/>
  <c r="AB744" i="1"/>
  <c r="AB745" i="1"/>
  <c r="AB746" i="1"/>
  <c r="AB747" i="1"/>
  <c r="AB748" i="1"/>
  <c r="AB749" i="1"/>
  <c r="AB750" i="1"/>
  <c r="AB751" i="1"/>
  <c r="AB752" i="1"/>
  <c r="AB753" i="1"/>
  <c r="AB754" i="1"/>
  <c r="AB755" i="1"/>
  <c r="AB756" i="1"/>
  <c r="AB757" i="1"/>
  <c r="AB758" i="1"/>
  <c r="AB759" i="1"/>
  <c r="AB760" i="1"/>
  <c r="AB761" i="1"/>
  <c r="AB762" i="1"/>
  <c r="AB763" i="1"/>
  <c r="AB764" i="1"/>
  <c r="AB765" i="1"/>
  <c r="AB766" i="1"/>
  <c r="AB767" i="1"/>
  <c r="AB768" i="1"/>
  <c r="AB769" i="1"/>
  <c r="AB770" i="1"/>
  <c r="AB771" i="1"/>
  <c r="AB772" i="1"/>
  <c r="AB773" i="1"/>
  <c r="AB774" i="1"/>
  <c r="AB775" i="1"/>
  <c r="AB776" i="1"/>
  <c r="AB777" i="1"/>
  <c r="AB778" i="1"/>
  <c r="AB779" i="1"/>
  <c r="AB780" i="1"/>
  <c r="AB781" i="1"/>
  <c r="AB782" i="1"/>
  <c r="AB783" i="1"/>
  <c r="AB784" i="1"/>
  <c r="AB785" i="1"/>
  <c r="AB786" i="1"/>
  <c r="AB787" i="1"/>
  <c r="AB788" i="1"/>
  <c r="AB789" i="1"/>
  <c r="AB790" i="1"/>
  <c r="AB791" i="1"/>
  <c r="AB792" i="1"/>
  <c r="AB793" i="1"/>
  <c r="AB794" i="1"/>
  <c r="AB795" i="1"/>
  <c r="AB796" i="1"/>
  <c r="AB797" i="1"/>
  <c r="AB798" i="1"/>
  <c r="AB799" i="1"/>
  <c r="AB800" i="1"/>
  <c r="AB801" i="1"/>
  <c r="AB802" i="1"/>
  <c r="AB803" i="1"/>
  <c r="AB804" i="1"/>
  <c r="AB805" i="1"/>
  <c r="AB806" i="1"/>
  <c r="AB807" i="1"/>
  <c r="AB808" i="1"/>
  <c r="AB809" i="1"/>
  <c r="AB810" i="1"/>
  <c r="AB811" i="1"/>
  <c r="AB812" i="1"/>
  <c r="AB813" i="1"/>
  <c r="AB814" i="1"/>
  <c r="AB815" i="1"/>
  <c r="AB816" i="1"/>
  <c r="AB817" i="1"/>
  <c r="AB818" i="1"/>
  <c r="AB819" i="1"/>
  <c r="AB820" i="1"/>
  <c r="AB821" i="1"/>
  <c r="AB822" i="1"/>
  <c r="AB823" i="1"/>
  <c r="AB824" i="1"/>
  <c r="AB825" i="1"/>
  <c r="AB826" i="1"/>
  <c r="AB827" i="1"/>
  <c r="AB828" i="1"/>
  <c r="AB829" i="1"/>
  <c r="AB830" i="1"/>
  <c r="AB831" i="1"/>
  <c r="AB832" i="1"/>
  <c r="AB833" i="1"/>
  <c r="AB834" i="1"/>
  <c r="AB835" i="1"/>
  <c r="AB836" i="1"/>
  <c r="AB837" i="1"/>
  <c r="AB838" i="1"/>
  <c r="AB839" i="1"/>
  <c r="AB840" i="1"/>
  <c r="AB841" i="1"/>
  <c r="AB842" i="1"/>
  <c r="AB843" i="1"/>
  <c r="AB844" i="1"/>
  <c r="AB845" i="1"/>
  <c r="AB846" i="1"/>
  <c r="AB847" i="1"/>
  <c r="AB848" i="1"/>
  <c r="AB849" i="1"/>
  <c r="AB850" i="1"/>
  <c r="AB851" i="1"/>
  <c r="AB852" i="1"/>
  <c r="AB853" i="1"/>
  <c r="AB854" i="1"/>
  <c r="AB855" i="1"/>
  <c r="AB856" i="1"/>
  <c r="AB857" i="1"/>
  <c r="AB858" i="1"/>
  <c r="AB859" i="1"/>
  <c r="AB860" i="1"/>
  <c r="AB861" i="1"/>
  <c r="AB862" i="1"/>
  <c r="AB863" i="1"/>
  <c r="AB864" i="1"/>
  <c r="AB865" i="1"/>
  <c r="AB866" i="1"/>
  <c r="AB867" i="1"/>
  <c r="AB868" i="1"/>
  <c r="AB869" i="1"/>
  <c r="AB870" i="1"/>
  <c r="AB871" i="1"/>
  <c r="AB872" i="1"/>
  <c r="AB873" i="1"/>
  <c r="AB874" i="1"/>
  <c r="AB875" i="1"/>
  <c r="AB876" i="1"/>
  <c r="AB877" i="1"/>
  <c r="AB878" i="1"/>
  <c r="AB879" i="1"/>
  <c r="AB880" i="1"/>
  <c r="AB881" i="1"/>
  <c r="AB882" i="1"/>
  <c r="AB883" i="1"/>
  <c r="AB884" i="1"/>
  <c r="AB885" i="1"/>
  <c r="AB886" i="1"/>
  <c r="AB887" i="1"/>
  <c r="AB888" i="1"/>
  <c r="AB889" i="1"/>
  <c r="AB890" i="1"/>
  <c r="AB891" i="1"/>
  <c r="AB892" i="1"/>
  <c r="AB893" i="1"/>
  <c r="AB894" i="1"/>
  <c r="AB895" i="1"/>
  <c r="AB896" i="1"/>
  <c r="AB897" i="1"/>
  <c r="AB898" i="1"/>
  <c r="AB899" i="1"/>
  <c r="AB900" i="1"/>
  <c r="AB901" i="1"/>
  <c r="AB902" i="1"/>
  <c r="AB903" i="1"/>
  <c r="AB904" i="1"/>
  <c r="AB905" i="1"/>
  <c r="AB906" i="1"/>
  <c r="AB907" i="1"/>
  <c r="AB908" i="1"/>
  <c r="AB909" i="1"/>
  <c r="AB910" i="1"/>
  <c r="AB911" i="1"/>
  <c r="AB912" i="1"/>
  <c r="AB913" i="1"/>
  <c r="AB914" i="1"/>
  <c r="AB915" i="1"/>
  <c r="AB916" i="1"/>
  <c r="AB917" i="1"/>
  <c r="AB918" i="1"/>
  <c r="AB919" i="1"/>
  <c r="AB920" i="1"/>
  <c r="AB921" i="1"/>
  <c r="AB922" i="1"/>
  <c r="AB923" i="1"/>
  <c r="AB924" i="1"/>
  <c r="AB925" i="1"/>
  <c r="AB926" i="1"/>
  <c r="AB927" i="1"/>
  <c r="AB928" i="1"/>
  <c r="AB929" i="1"/>
  <c r="AB930" i="1"/>
  <c r="AB931" i="1"/>
  <c r="AB932" i="1"/>
  <c r="AB933" i="1"/>
  <c r="AB934" i="1"/>
  <c r="AB935" i="1"/>
  <c r="AB936" i="1"/>
  <c r="AB937" i="1"/>
  <c r="AB938" i="1"/>
  <c r="AB939" i="1"/>
  <c r="AB940" i="1"/>
  <c r="AB941" i="1"/>
  <c r="AB942" i="1"/>
  <c r="AB943" i="1"/>
  <c r="AB944" i="1"/>
  <c r="AB945" i="1"/>
  <c r="AB946" i="1"/>
  <c r="AB947" i="1"/>
  <c r="AB948" i="1"/>
  <c r="AB949" i="1"/>
  <c r="AB950" i="1"/>
  <c r="AB951" i="1"/>
  <c r="AB952" i="1"/>
  <c r="AB953" i="1"/>
  <c r="AB954" i="1"/>
  <c r="AB955" i="1"/>
  <c r="AB956" i="1"/>
  <c r="AB957" i="1"/>
  <c r="AB958" i="1"/>
  <c r="AB959" i="1"/>
  <c r="AB960" i="1"/>
  <c r="AB961" i="1"/>
  <c r="AB962" i="1"/>
  <c r="AB963" i="1"/>
  <c r="AB964" i="1"/>
  <c r="AB965" i="1"/>
  <c r="AB966" i="1"/>
  <c r="AB967" i="1"/>
  <c r="AB968" i="1"/>
  <c r="AB969" i="1"/>
  <c r="AB970" i="1"/>
  <c r="AB971" i="1"/>
  <c r="AB972" i="1"/>
  <c r="AB973" i="1"/>
  <c r="AB974" i="1"/>
  <c r="AB975" i="1"/>
  <c r="AB976" i="1"/>
  <c r="AB977" i="1"/>
  <c r="AB978" i="1"/>
  <c r="AB979" i="1"/>
  <c r="AB980" i="1"/>
  <c r="AB981" i="1"/>
  <c r="AB982" i="1"/>
  <c r="AB983" i="1"/>
  <c r="AB984" i="1"/>
  <c r="AB985" i="1"/>
  <c r="AB986" i="1"/>
  <c r="AB987" i="1"/>
  <c r="AB988" i="1"/>
  <c r="AB989" i="1"/>
  <c r="AB990" i="1"/>
  <c r="AB991" i="1"/>
  <c r="AB992" i="1"/>
  <c r="AB993" i="1"/>
  <c r="AB994" i="1"/>
  <c r="AB995" i="1"/>
  <c r="AB996" i="1"/>
  <c r="AB997" i="1"/>
  <c r="AB998" i="1"/>
  <c r="AB999" i="1"/>
  <c r="AB1000" i="1"/>
  <c r="AB1001" i="1"/>
  <c r="AB1002" i="1"/>
  <c r="AB1003" i="1"/>
  <c r="AB1004" i="1"/>
  <c r="AB1005" i="1"/>
  <c r="AB1006" i="1"/>
  <c r="AB1007" i="1"/>
  <c r="AB1008" i="1"/>
  <c r="AB1009" i="1"/>
  <c r="AB1010" i="1"/>
  <c r="AB1011" i="1"/>
  <c r="AB1012" i="1"/>
  <c r="AB1013" i="1"/>
  <c r="AB1014" i="1"/>
  <c r="AB1015" i="1"/>
  <c r="AB1016" i="1"/>
  <c r="AB1017" i="1"/>
  <c r="AB1018" i="1"/>
  <c r="AB1019" i="1"/>
  <c r="AB1020" i="1"/>
  <c r="AB1021" i="1"/>
  <c r="AB1022" i="1"/>
  <c r="AB1023" i="1"/>
  <c r="AB1024" i="1"/>
  <c r="AB1025" i="1"/>
  <c r="AB1026" i="1"/>
  <c r="AB1027" i="1"/>
  <c r="AB1028" i="1"/>
  <c r="AB1029" i="1"/>
  <c r="AB1030" i="1"/>
  <c r="AB1031" i="1"/>
  <c r="AB1032" i="1"/>
  <c r="AB1033" i="1"/>
  <c r="AB1034" i="1"/>
  <c r="AB1035" i="1"/>
  <c r="AB1036" i="1"/>
  <c r="AB1037" i="1"/>
  <c r="AB1038" i="1"/>
  <c r="AB1039" i="1"/>
  <c r="AB1040" i="1"/>
  <c r="AB1041" i="1"/>
  <c r="AB1042" i="1"/>
  <c r="AB1043" i="1"/>
  <c r="AB1044" i="1"/>
  <c r="AB1045" i="1"/>
  <c r="AB1046" i="1"/>
  <c r="AB1047" i="1"/>
  <c r="AB1048" i="1"/>
  <c r="AB1049" i="1"/>
  <c r="AB1050" i="1"/>
  <c r="AB1051" i="1"/>
  <c r="AB1052" i="1"/>
  <c r="AB1053" i="1"/>
  <c r="AB1054" i="1"/>
  <c r="AB1055" i="1"/>
  <c r="AB1056" i="1"/>
  <c r="AB1057" i="1"/>
  <c r="AB1058" i="1"/>
  <c r="AB1059" i="1"/>
  <c r="AB1060" i="1"/>
  <c r="AB1061" i="1"/>
  <c r="AB1062" i="1"/>
  <c r="AB1063" i="1"/>
  <c r="AB1064" i="1"/>
  <c r="AB1065" i="1"/>
  <c r="AB1066" i="1"/>
  <c r="AB1067" i="1"/>
  <c r="AB1068" i="1"/>
  <c r="AB1069" i="1"/>
  <c r="AB1070" i="1"/>
  <c r="AB1071" i="1"/>
  <c r="AB1072" i="1"/>
  <c r="AB1073" i="1"/>
  <c r="AB1074" i="1"/>
  <c r="AB1075" i="1"/>
  <c r="AB1076" i="1"/>
  <c r="AB1077" i="1"/>
  <c r="AB1078" i="1"/>
  <c r="AB1079" i="1"/>
  <c r="AB1080" i="1"/>
  <c r="AB1081" i="1"/>
  <c r="AB1082" i="1"/>
  <c r="AB1083" i="1"/>
  <c r="AB1084" i="1"/>
  <c r="AB1085" i="1"/>
  <c r="AB1086" i="1"/>
  <c r="AB1087" i="1"/>
  <c r="AB1088" i="1"/>
  <c r="AB1089" i="1"/>
  <c r="AB1090" i="1"/>
  <c r="AB1091" i="1"/>
  <c r="AB1092" i="1"/>
  <c r="AB1093" i="1"/>
  <c r="AB1094" i="1"/>
  <c r="AB1095" i="1"/>
  <c r="AB1096" i="1"/>
  <c r="AB1097" i="1"/>
  <c r="AB1098" i="1"/>
  <c r="AB1099" i="1"/>
  <c r="AB1100" i="1"/>
  <c r="AB1101" i="1"/>
  <c r="AB1102" i="1"/>
  <c r="AB1103" i="1"/>
  <c r="AB1104" i="1"/>
  <c r="AB1105" i="1"/>
  <c r="AB1106" i="1"/>
  <c r="AB1107" i="1"/>
  <c r="AB1108" i="1"/>
  <c r="AB1109" i="1"/>
  <c r="AB1110" i="1"/>
  <c r="AB1111" i="1"/>
  <c r="AB1112" i="1"/>
  <c r="AB1113" i="1"/>
  <c r="AB1114" i="1"/>
  <c r="AB1115" i="1"/>
  <c r="AB1116" i="1"/>
  <c r="AB1117" i="1"/>
  <c r="AB1118" i="1"/>
  <c r="AB1119" i="1"/>
  <c r="AB1120" i="1"/>
  <c r="AB1121" i="1"/>
  <c r="AB1122" i="1"/>
  <c r="AB1123" i="1"/>
  <c r="AB1124" i="1"/>
  <c r="AB1125" i="1"/>
  <c r="AB1126" i="1"/>
  <c r="AB1127" i="1"/>
  <c r="AB1128" i="1"/>
  <c r="AB1129" i="1"/>
  <c r="AB1130" i="1"/>
  <c r="AB1131" i="1"/>
  <c r="AB1132" i="1"/>
  <c r="AB1133" i="1"/>
  <c r="AB1134" i="1"/>
  <c r="AB1135" i="1"/>
  <c r="AB1136" i="1"/>
  <c r="AB1137" i="1"/>
  <c r="AB1138" i="1"/>
  <c r="AB1139" i="1"/>
  <c r="AB1140" i="1"/>
  <c r="AB1141" i="1"/>
  <c r="AB1142" i="1"/>
  <c r="AB1143" i="1"/>
  <c r="AB1144" i="1"/>
  <c r="AB1145" i="1"/>
  <c r="AB1146" i="1"/>
  <c r="AB1147" i="1"/>
  <c r="AB1148" i="1"/>
  <c r="AB1149" i="1"/>
  <c r="AB1150" i="1"/>
  <c r="AB1151" i="1"/>
  <c r="AB1152" i="1"/>
  <c r="AB1153" i="1"/>
  <c r="AB1154" i="1"/>
  <c r="AB1155" i="1"/>
  <c r="AB1156" i="1"/>
  <c r="AB1157" i="1"/>
  <c r="AB1158" i="1"/>
  <c r="AB1159" i="1"/>
  <c r="AB1160" i="1"/>
  <c r="AB1161" i="1"/>
  <c r="AB1162" i="1"/>
  <c r="AB1163" i="1"/>
  <c r="AB1164" i="1"/>
  <c r="AB1165" i="1"/>
  <c r="AB1166" i="1"/>
  <c r="AB1167" i="1"/>
  <c r="AB1168" i="1"/>
  <c r="AB1169" i="1"/>
  <c r="AB1170" i="1"/>
  <c r="AB1171" i="1"/>
  <c r="AB1172" i="1"/>
  <c r="AB1173" i="1"/>
  <c r="AB1174" i="1"/>
  <c r="AB1175" i="1"/>
  <c r="AB1176" i="1"/>
  <c r="AB1177" i="1"/>
  <c r="AB1178" i="1"/>
  <c r="AB1179" i="1"/>
  <c r="AB1180" i="1"/>
  <c r="AB1181" i="1"/>
  <c r="AB1182" i="1"/>
  <c r="AB1183" i="1"/>
  <c r="AB1184" i="1"/>
  <c r="AB1185" i="1"/>
  <c r="AB1186" i="1"/>
  <c r="AB1187" i="1"/>
  <c r="AB1188" i="1"/>
  <c r="AB1189" i="1"/>
  <c r="AB1190" i="1"/>
  <c r="AB1191" i="1"/>
  <c r="AB1192" i="1"/>
  <c r="AB1193" i="1"/>
  <c r="AB1194" i="1"/>
  <c r="AB1195" i="1"/>
  <c r="AB1196" i="1"/>
  <c r="AB1197" i="1"/>
  <c r="AB1198" i="1"/>
  <c r="AB1199" i="1"/>
  <c r="AB1200" i="1"/>
  <c r="AB1201" i="1"/>
  <c r="AB1202" i="1"/>
  <c r="AB1203" i="1"/>
  <c r="AB1204" i="1"/>
  <c r="AB1205" i="1"/>
  <c r="AB1206" i="1"/>
  <c r="AB1207" i="1"/>
  <c r="AB1208" i="1"/>
  <c r="AB1209" i="1"/>
  <c r="AB1210" i="1"/>
  <c r="AB1211" i="1"/>
  <c r="AB1212" i="1"/>
  <c r="AB1213" i="1"/>
  <c r="AB1214" i="1"/>
  <c r="AB1215" i="1"/>
  <c r="AB1216" i="1"/>
  <c r="AB1217" i="1"/>
  <c r="AB1218" i="1"/>
  <c r="AB1219" i="1"/>
  <c r="AB1220" i="1"/>
  <c r="AB1221" i="1"/>
  <c r="AB1222" i="1"/>
  <c r="AB1223" i="1"/>
  <c r="AB1224" i="1"/>
  <c r="AB1225" i="1"/>
  <c r="AB1226" i="1"/>
  <c r="AB1227" i="1"/>
  <c r="AB1228" i="1"/>
  <c r="AB1229" i="1"/>
  <c r="AB1230" i="1"/>
  <c r="AB1231" i="1"/>
  <c r="AB1232" i="1"/>
  <c r="AB1233" i="1"/>
  <c r="AB1234" i="1"/>
  <c r="AB1235" i="1"/>
  <c r="AB1236" i="1"/>
  <c r="AB1237" i="1"/>
  <c r="AB1238" i="1"/>
  <c r="AB1239" i="1"/>
  <c r="AB1240" i="1"/>
  <c r="AB1241" i="1"/>
  <c r="AB1242" i="1"/>
  <c r="AB1243" i="1"/>
  <c r="AB1244" i="1"/>
  <c r="AB1245" i="1"/>
  <c r="AB1246" i="1"/>
  <c r="AB1247" i="1"/>
  <c r="AB1248" i="1"/>
  <c r="AB1249" i="1"/>
  <c r="AB1250" i="1"/>
  <c r="AB1251" i="1"/>
  <c r="AB1252" i="1"/>
  <c r="AB1253" i="1"/>
  <c r="AB1254" i="1"/>
  <c r="AB1255" i="1"/>
  <c r="AB1256" i="1"/>
  <c r="AB1257" i="1"/>
  <c r="AB1258" i="1"/>
  <c r="AB1259" i="1"/>
  <c r="AB1260" i="1"/>
  <c r="AB1261" i="1"/>
  <c r="AB1262" i="1"/>
  <c r="AB1263" i="1"/>
  <c r="AB1264" i="1"/>
  <c r="AB1265" i="1"/>
  <c r="AB1266" i="1"/>
  <c r="AB1267" i="1"/>
  <c r="AB1268" i="1"/>
  <c r="AB1269" i="1"/>
  <c r="AB1270" i="1"/>
  <c r="AB1271" i="1"/>
  <c r="AB1272" i="1"/>
  <c r="AB1273" i="1"/>
  <c r="AB1274" i="1"/>
  <c r="AB1275" i="1"/>
  <c r="AB1276" i="1"/>
  <c r="AB1277" i="1"/>
  <c r="AB1278" i="1"/>
  <c r="AB1279" i="1"/>
  <c r="AB1280" i="1"/>
  <c r="AB1281" i="1"/>
  <c r="AB1282" i="1"/>
  <c r="AB1283" i="1"/>
  <c r="AB1284" i="1"/>
  <c r="AB1285" i="1"/>
  <c r="AB1286" i="1"/>
  <c r="AB1287" i="1"/>
  <c r="AB1288" i="1"/>
  <c r="AB1289" i="1"/>
  <c r="AB1290" i="1"/>
  <c r="AB1291" i="1"/>
  <c r="AB1292" i="1"/>
  <c r="AB1293" i="1"/>
  <c r="AB1294" i="1"/>
  <c r="AB1295" i="1"/>
  <c r="AB1296" i="1"/>
  <c r="AB1297" i="1"/>
  <c r="AB1298" i="1"/>
  <c r="AB1299" i="1"/>
  <c r="AB1300" i="1"/>
  <c r="AB1301" i="1"/>
  <c r="AB1302" i="1"/>
  <c r="AB1303" i="1"/>
  <c r="AB1304" i="1"/>
  <c r="AB1305" i="1"/>
  <c r="AB1306" i="1"/>
  <c r="AB1307" i="1"/>
  <c r="AB1308" i="1"/>
  <c r="AB1309" i="1"/>
  <c r="AB1310" i="1"/>
  <c r="AB1311" i="1"/>
  <c r="AB1312" i="1"/>
  <c r="AB1313" i="1"/>
  <c r="AB1314" i="1"/>
  <c r="AB1315" i="1"/>
  <c r="AB1316" i="1"/>
  <c r="AB1317" i="1"/>
  <c r="AB1318" i="1"/>
  <c r="AB1319" i="1"/>
  <c r="AB1320" i="1"/>
  <c r="AB1321" i="1"/>
  <c r="AB1322" i="1"/>
  <c r="AB1323" i="1"/>
  <c r="AB1324" i="1"/>
  <c r="AB1325" i="1"/>
  <c r="AB1326" i="1"/>
  <c r="AB1327" i="1"/>
  <c r="AB1328" i="1"/>
  <c r="AB1329" i="1"/>
  <c r="AB1330" i="1"/>
  <c r="AB1331" i="1"/>
  <c r="AB1332" i="1"/>
  <c r="AB1333" i="1"/>
  <c r="AB1334" i="1"/>
  <c r="AB1335" i="1"/>
  <c r="AB1336" i="1"/>
  <c r="AB1337" i="1"/>
  <c r="AB1338" i="1"/>
  <c r="AB1339" i="1"/>
  <c r="AB1340" i="1"/>
  <c r="AB1341" i="1"/>
  <c r="AB1342" i="1"/>
  <c r="AB1343" i="1"/>
  <c r="AB1344" i="1"/>
  <c r="AB1345" i="1"/>
  <c r="AB1346" i="1"/>
  <c r="AB1347" i="1"/>
  <c r="AB1348" i="1"/>
  <c r="AB1349" i="1"/>
  <c r="AB1350" i="1"/>
  <c r="AB1351" i="1"/>
  <c r="AB1352" i="1"/>
  <c r="AB1353" i="1"/>
  <c r="AB1354" i="1"/>
  <c r="AB1355" i="1"/>
  <c r="AB1356" i="1"/>
  <c r="AB1357" i="1"/>
  <c r="AB1358" i="1"/>
  <c r="AB1359" i="1"/>
  <c r="AB1360" i="1"/>
  <c r="AB1361" i="1"/>
  <c r="AB1362" i="1"/>
  <c r="AB1363" i="1"/>
  <c r="AB1364" i="1"/>
  <c r="AB1365" i="1"/>
  <c r="AB1366" i="1"/>
  <c r="AB1367" i="1"/>
  <c r="AB1368" i="1"/>
  <c r="AB1369" i="1"/>
  <c r="AB1370" i="1"/>
  <c r="AB1371" i="1"/>
  <c r="AB1372" i="1"/>
  <c r="AB1373" i="1"/>
  <c r="AB1374" i="1"/>
  <c r="AB1375" i="1"/>
  <c r="AB1376" i="1"/>
  <c r="AB1377" i="1"/>
  <c r="AB1378" i="1"/>
  <c r="AB1379" i="1"/>
  <c r="AB1380" i="1"/>
  <c r="AB1381" i="1"/>
  <c r="AB1382" i="1"/>
  <c r="AB1383" i="1"/>
  <c r="AB1384" i="1"/>
  <c r="AB1385" i="1"/>
  <c r="AB1386" i="1"/>
  <c r="AB1387" i="1"/>
  <c r="AB1388" i="1"/>
  <c r="AB1389" i="1"/>
  <c r="AB1390" i="1"/>
  <c r="AB1391" i="1"/>
  <c r="AB1392" i="1"/>
  <c r="AB1393" i="1"/>
  <c r="AB1394" i="1"/>
  <c r="AB1395" i="1"/>
  <c r="AB1396" i="1"/>
  <c r="AB1397" i="1"/>
  <c r="AB1398" i="1"/>
  <c r="AB1399" i="1"/>
  <c r="AB1400" i="1"/>
  <c r="AB1401" i="1"/>
  <c r="AB1402" i="1"/>
  <c r="AB1403" i="1"/>
  <c r="AB1404" i="1"/>
  <c r="AB1405" i="1"/>
  <c r="AB1406" i="1"/>
  <c r="AB1407" i="1"/>
  <c r="AB1408" i="1"/>
  <c r="AB1409" i="1"/>
  <c r="AB1410" i="1"/>
  <c r="AB1411" i="1"/>
  <c r="AB1412" i="1"/>
  <c r="AB1413" i="1"/>
  <c r="AB1414" i="1"/>
  <c r="AB1415" i="1"/>
  <c r="AB1416" i="1"/>
  <c r="AB1417" i="1"/>
  <c r="AB1418" i="1"/>
  <c r="AB1419" i="1"/>
  <c r="AB1420" i="1"/>
  <c r="AB1421" i="1"/>
  <c r="AB1422" i="1"/>
  <c r="AB1423" i="1"/>
  <c r="AB1424" i="1"/>
  <c r="AB1425" i="1"/>
  <c r="AB1426" i="1"/>
  <c r="AB1427" i="1"/>
  <c r="AB1428" i="1"/>
  <c r="AB1429" i="1"/>
  <c r="AB1430" i="1"/>
  <c r="AB1431" i="1"/>
  <c r="AB1432" i="1"/>
  <c r="AB1433" i="1"/>
  <c r="AB1434" i="1"/>
  <c r="AB1435" i="1"/>
  <c r="AB1436" i="1"/>
  <c r="AB1437" i="1"/>
  <c r="AB1438" i="1"/>
  <c r="AB1439" i="1"/>
  <c r="AB1440" i="1"/>
  <c r="AB1441" i="1"/>
  <c r="AB1442" i="1"/>
  <c r="AB1443" i="1"/>
  <c r="AB1444" i="1"/>
  <c r="AB1445" i="1"/>
  <c r="AB1446" i="1"/>
  <c r="AB1447" i="1"/>
  <c r="AB1448" i="1"/>
  <c r="AB1449" i="1"/>
  <c r="AB1450" i="1"/>
  <c r="AB1451" i="1"/>
  <c r="AB1452" i="1"/>
  <c r="AB1453" i="1"/>
  <c r="AB1454" i="1"/>
  <c r="AB1455" i="1"/>
  <c r="AB1456" i="1"/>
  <c r="AB1457" i="1"/>
  <c r="AB1458" i="1"/>
  <c r="AB1459" i="1"/>
  <c r="AB1460" i="1"/>
  <c r="AB1461" i="1"/>
  <c r="AB1462" i="1"/>
  <c r="AB1463" i="1"/>
  <c r="AB1464" i="1"/>
  <c r="AB1465" i="1"/>
  <c r="AB1466" i="1"/>
  <c r="AB1467" i="1"/>
  <c r="AB1468" i="1"/>
  <c r="AB1469" i="1"/>
  <c r="AB1470" i="1"/>
  <c r="AB1471" i="1"/>
  <c r="AB1472" i="1"/>
  <c r="AB1473" i="1"/>
  <c r="AB1474" i="1"/>
  <c r="AB1475" i="1"/>
  <c r="AB1476" i="1"/>
  <c r="AB1477" i="1"/>
  <c r="AB1478" i="1"/>
  <c r="AB1479" i="1"/>
  <c r="AB1480" i="1"/>
  <c r="AB1481" i="1"/>
  <c r="AB1482" i="1"/>
  <c r="AB1483" i="1"/>
  <c r="AB1484" i="1"/>
  <c r="AB1485" i="1"/>
  <c r="AB1486" i="1"/>
  <c r="AB1487" i="1"/>
  <c r="AB1488" i="1"/>
  <c r="AB1489" i="1"/>
  <c r="AB1490" i="1"/>
  <c r="AB1491" i="1"/>
  <c r="AB1492" i="1"/>
  <c r="AB1493" i="1"/>
  <c r="AB1494" i="1"/>
  <c r="AB1495" i="1"/>
  <c r="AB1496" i="1"/>
  <c r="AB1497" i="1"/>
  <c r="AB1498" i="1"/>
  <c r="AB1499" i="1"/>
  <c r="AB1500" i="1"/>
  <c r="AB1501" i="1"/>
  <c r="AB1502" i="1"/>
  <c r="AB1503" i="1"/>
  <c r="AB1504" i="1"/>
  <c r="AB1505" i="1"/>
  <c r="AB1506" i="1"/>
  <c r="AB1507" i="1"/>
  <c r="AB1508" i="1"/>
  <c r="AB1509" i="1"/>
  <c r="AB1510" i="1"/>
  <c r="AB1511" i="1"/>
  <c r="AB1512" i="1"/>
  <c r="AB1513" i="1"/>
  <c r="AB1514" i="1"/>
  <c r="AB1515" i="1"/>
  <c r="AB1516" i="1"/>
  <c r="AB1517" i="1"/>
  <c r="AB1518" i="1"/>
  <c r="AB1519" i="1"/>
  <c r="AB1520" i="1"/>
  <c r="AB1521" i="1"/>
  <c r="AB1522" i="1"/>
  <c r="AB1523" i="1"/>
  <c r="AB1524" i="1"/>
  <c r="AB1525" i="1"/>
  <c r="AB1526" i="1"/>
  <c r="AB1527" i="1"/>
  <c r="AB1528" i="1"/>
  <c r="AB1529" i="1"/>
  <c r="AB1530" i="1"/>
  <c r="AB1531" i="1"/>
  <c r="AB1532" i="1"/>
  <c r="AB1533" i="1"/>
  <c r="AB1534" i="1"/>
  <c r="AB1535" i="1"/>
  <c r="AB1536" i="1"/>
  <c r="AB1537" i="1"/>
  <c r="AB1538" i="1"/>
  <c r="AB1539" i="1"/>
  <c r="AB1540" i="1"/>
  <c r="AB1541" i="1"/>
  <c r="AB1542" i="1"/>
  <c r="AB1543" i="1"/>
  <c r="AB1544" i="1"/>
  <c r="AB1545" i="1"/>
  <c r="AB1546" i="1"/>
  <c r="AB1547" i="1"/>
  <c r="AB1548" i="1"/>
  <c r="AB1549" i="1"/>
  <c r="AB1550" i="1"/>
  <c r="AB1551" i="1"/>
  <c r="AB1552" i="1"/>
  <c r="AB1553" i="1"/>
  <c r="AB1554" i="1"/>
  <c r="AB1555" i="1"/>
  <c r="AB1556" i="1"/>
  <c r="AB1557" i="1"/>
  <c r="AB1558" i="1"/>
  <c r="AB1559" i="1"/>
  <c r="AB1560" i="1"/>
  <c r="AB1561" i="1"/>
  <c r="AB1562" i="1"/>
  <c r="AB1563" i="1"/>
  <c r="AB1564" i="1"/>
  <c r="AB1565" i="1"/>
  <c r="AB1566" i="1"/>
  <c r="AB1567" i="1"/>
  <c r="AB1568" i="1"/>
  <c r="AB1569" i="1"/>
  <c r="AB1570" i="1"/>
  <c r="AB1571" i="1"/>
  <c r="AB1572" i="1"/>
  <c r="AB1573" i="1"/>
  <c r="AB1574" i="1"/>
  <c r="AB1575" i="1"/>
  <c r="AB1576" i="1"/>
  <c r="AB1577" i="1"/>
  <c r="AB1578" i="1"/>
  <c r="AB1579" i="1"/>
  <c r="AB1580" i="1"/>
  <c r="AB1581" i="1"/>
  <c r="AB1582" i="1"/>
  <c r="AB1583" i="1"/>
  <c r="AB1584" i="1"/>
  <c r="AB1585" i="1"/>
  <c r="AB1586" i="1"/>
  <c r="AB1587" i="1"/>
  <c r="AB1588" i="1"/>
  <c r="AB1589" i="1"/>
  <c r="AB1590" i="1"/>
  <c r="AB1591" i="1"/>
  <c r="AB1592" i="1"/>
  <c r="AB1593" i="1"/>
  <c r="AB1594" i="1"/>
  <c r="AB1595" i="1"/>
  <c r="AB1596" i="1"/>
  <c r="AB1597" i="1"/>
  <c r="AB1598" i="1"/>
  <c r="AB1599" i="1"/>
  <c r="AB1600" i="1"/>
  <c r="AB1601" i="1"/>
  <c r="AB1602" i="1"/>
  <c r="AB1603" i="1"/>
  <c r="AB1604" i="1"/>
  <c r="AB1605" i="1"/>
  <c r="AB1606" i="1"/>
  <c r="AB1607" i="1"/>
  <c r="AB1608" i="1"/>
  <c r="AB1609" i="1"/>
  <c r="AB1610" i="1"/>
  <c r="AB1611" i="1"/>
  <c r="AB1612" i="1"/>
  <c r="AB1613" i="1"/>
  <c r="AB1614" i="1"/>
  <c r="AB1615" i="1"/>
  <c r="AB1616" i="1"/>
  <c r="AB1617" i="1"/>
  <c r="AB1618" i="1"/>
  <c r="AB1619" i="1"/>
  <c r="AB1620" i="1"/>
  <c r="AB1621" i="1"/>
  <c r="AB1622" i="1"/>
  <c r="AB1623" i="1"/>
  <c r="AB1624" i="1"/>
  <c r="AB1625" i="1"/>
  <c r="AB1626" i="1"/>
  <c r="AB1627" i="1"/>
  <c r="AB1628" i="1"/>
  <c r="AB1629" i="1"/>
  <c r="AB1630" i="1"/>
  <c r="AB1631" i="1"/>
  <c r="AB1632" i="1"/>
  <c r="AB1633" i="1"/>
  <c r="AB1634" i="1"/>
  <c r="AB1635" i="1"/>
  <c r="AB1636" i="1"/>
  <c r="AB1637" i="1"/>
  <c r="AB1638" i="1"/>
  <c r="AB1639" i="1"/>
  <c r="AB1640" i="1"/>
  <c r="AB1641" i="1"/>
  <c r="AB1642" i="1"/>
  <c r="AB1643" i="1"/>
  <c r="AB1644" i="1"/>
  <c r="AB1645" i="1"/>
  <c r="AB1646" i="1"/>
  <c r="AB1647" i="1"/>
  <c r="AB1648" i="1"/>
  <c r="AB1649" i="1"/>
  <c r="AB1650" i="1"/>
  <c r="AB1651" i="1"/>
  <c r="AB1652" i="1"/>
  <c r="AB1653" i="1"/>
  <c r="AB1654" i="1"/>
  <c r="AB1655" i="1"/>
  <c r="AB1656" i="1"/>
  <c r="AB1657" i="1"/>
  <c r="AB1658" i="1"/>
  <c r="AB1659" i="1"/>
  <c r="AB1660" i="1"/>
  <c r="AB1661" i="1"/>
  <c r="AB1662" i="1"/>
  <c r="AB1663" i="1"/>
  <c r="AB1664" i="1"/>
  <c r="AB1665" i="1"/>
  <c r="AB1666" i="1"/>
  <c r="AB1667" i="1"/>
  <c r="AB1668" i="1"/>
  <c r="AB1669" i="1"/>
  <c r="AB1670" i="1"/>
  <c r="AB1671" i="1"/>
  <c r="AB1672" i="1"/>
  <c r="AB1673" i="1"/>
  <c r="AB1674" i="1"/>
  <c r="AB1675" i="1"/>
  <c r="AB1676" i="1"/>
  <c r="AB1677" i="1"/>
  <c r="AB1678" i="1"/>
  <c r="AB1679" i="1"/>
  <c r="AB1680" i="1"/>
  <c r="AB1681" i="1"/>
  <c r="AB1682" i="1"/>
  <c r="AB1683" i="1"/>
  <c r="AB1684" i="1"/>
  <c r="AB1685" i="1"/>
  <c r="AB1686" i="1"/>
  <c r="AB1687" i="1"/>
  <c r="AB1688" i="1"/>
  <c r="AB1689" i="1"/>
  <c r="AB1690" i="1"/>
  <c r="AB1691" i="1"/>
  <c r="AB1692" i="1"/>
  <c r="AB1693" i="1"/>
  <c r="AB1694" i="1"/>
  <c r="AB1695" i="1"/>
  <c r="AB1696" i="1"/>
  <c r="AB1697" i="1"/>
  <c r="AB1698" i="1"/>
  <c r="AB1699" i="1"/>
  <c r="AB1700" i="1"/>
  <c r="AB1701" i="1"/>
  <c r="AB1702" i="1"/>
  <c r="AB1703" i="1"/>
  <c r="AB1704" i="1"/>
  <c r="AB1705" i="1"/>
  <c r="AB1706" i="1"/>
  <c r="AB1707" i="1"/>
  <c r="AB1708" i="1"/>
  <c r="AB1709" i="1"/>
  <c r="AB1710" i="1"/>
  <c r="AB1711" i="1"/>
  <c r="AB1712" i="1"/>
  <c r="AB1713" i="1"/>
  <c r="AB1714" i="1"/>
  <c r="AB1715" i="1"/>
  <c r="AB1716" i="1"/>
  <c r="AB1717" i="1"/>
  <c r="AB1718" i="1"/>
  <c r="AB1719" i="1"/>
  <c r="AB1720" i="1"/>
  <c r="AB1721" i="1"/>
  <c r="AB1722" i="1"/>
  <c r="AB1723" i="1"/>
  <c r="AB1724" i="1"/>
  <c r="AB1725" i="1"/>
  <c r="AB1726" i="1"/>
  <c r="AB1727" i="1"/>
  <c r="AB1728" i="1"/>
  <c r="AB1729" i="1"/>
  <c r="AB1730" i="1"/>
  <c r="AB1731" i="1"/>
  <c r="AB1732" i="1"/>
  <c r="AB1733" i="1"/>
  <c r="AB1734" i="1"/>
  <c r="AB1735" i="1"/>
  <c r="AB1736" i="1"/>
  <c r="AB1737" i="1"/>
  <c r="AB1738" i="1"/>
  <c r="AB1739" i="1"/>
  <c r="AB1740" i="1"/>
  <c r="AB1741" i="1"/>
  <c r="AB1742" i="1"/>
  <c r="AB1743" i="1"/>
  <c r="AB1744" i="1"/>
  <c r="AB1745" i="1"/>
  <c r="AB1746" i="1"/>
  <c r="AB1747" i="1"/>
  <c r="AB1748" i="1"/>
  <c r="AB1749" i="1"/>
  <c r="AB1750" i="1"/>
  <c r="AB1751" i="1"/>
  <c r="AB1752" i="1"/>
  <c r="AB1753" i="1"/>
  <c r="AB1754" i="1"/>
  <c r="AB1755" i="1"/>
  <c r="AB1756" i="1"/>
  <c r="AB1757" i="1"/>
  <c r="AB1758" i="1"/>
  <c r="AB1759" i="1"/>
  <c r="AB1760" i="1"/>
  <c r="AB1761" i="1"/>
  <c r="AB1762" i="1"/>
  <c r="AB1763" i="1"/>
  <c r="AB1764" i="1"/>
  <c r="AB1765" i="1"/>
  <c r="AB1766" i="1"/>
  <c r="AB1767" i="1"/>
  <c r="AB1768" i="1"/>
  <c r="AB1769" i="1"/>
  <c r="AB1770" i="1"/>
  <c r="AB1771" i="1"/>
  <c r="AB1772" i="1"/>
  <c r="AB1773" i="1"/>
  <c r="AB1774" i="1"/>
  <c r="AB1775" i="1"/>
  <c r="AB1776" i="1"/>
  <c r="AB1777" i="1"/>
  <c r="AB1778" i="1"/>
  <c r="AB1779" i="1"/>
  <c r="AB1780" i="1"/>
  <c r="AB1781" i="1"/>
  <c r="AB1782" i="1"/>
  <c r="AB1783" i="1"/>
  <c r="AB1784" i="1"/>
  <c r="AB1785" i="1"/>
  <c r="AB1786" i="1"/>
  <c r="AB1787" i="1"/>
  <c r="AB1788" i="1"/>
  <c r="AB1789" i="1"/>
  <c r="AB1790" i="1"/>
  <c r="AB1791" i="1"/>
  <c r="AB1792" i="1"/>
  <c r="AB1793" i="1"/>
  <c r="AB1794" i="1"/>
  <c r="AB1795" i="1"/>
  <c r="AB1796" i="1"/>
  <c r="AB1797" i="1"/>
  <c r="AB1798" i="1"/>
  <c r="AB1799" i="1"/>
  <c r="AB1800" i="1"/>
  <c r="AB1801" i="1"/>
  <c r="AB1802" i="1"/>
  <c r="AB1803" i="1"/>
  <c r="AB1804" i="1"/>
  <c r="AB1805" i="1"/>
  <c r="AB1806" i="1"/>
  <c r="AB1807" i="1"/>
  <c r="AB1808" i="1"/>
  <c r="AB1809" i="1"/>
  <c r="AB1810" i="1"/>
  <c r="AB1811" i="1"/>
  <c r="AB1812" i="1"/>
  <c r="AB1813" i="1"/>
  <c r="AB1814" i="1"/>
  <c r="AB1815" i="1"/>
  <c r="AB1816" i="1"/>
  <c r="AB1817" i="1"/>
  <c r="AB1818" i="1"/>
  <c r="AB1819" i="1"/>
  <c r="AB1820" i="1"/>
  <c r="AB1821" i="1"/>
  <c r="AB1822" i="1"/>
  <c r="AB1823" i="1"/>
  <c r="AB1824" i="1"/>
  <c r="AB1825" i="1"/>
  <c r="AB1826" i="1"/>
  <c r="AB1827" i="1"/>
  <c r="AB1828" i="1"/>
  <c r="AB1829" i="1"/>
  <c r="AB1830" i="1"/>
  <c r="AB1831" i="1"/>
  <c r="AB1832" i="1"/>
  <c r="AB1833" i="1"/>
  <c r="AB1834" i="1"/>
  <c r="AB1835" i="1"/>
  <c r="AB1836" i="1"/>
  <c r="AB1837" i="1"/>
  <c r="AB1838" i="1"/>
  <c r="AB1839" i="1"/>
  <c r="AB1840" i="1"/>
  <c r="AB1841" i="1"/>
  <c r="AB1842" i="1"/>
  <c r="AB1843" i="1"/>
  <c r="AB1844" i="1"/>
  <c r="AB1845" i="1"/>
  <c r="AB1846" i="1"/>
  <c r="AB1847" i="1"/>
  <c r="AB1848" i="1"/>
  <c r="AB1849" i="1"/>
  <c r="AB1850" i="1"/>
  <c r="AB1851" i="1"/>
  <c r="AB1852" i="1"/>
  <c r="AB1853" i="1"/>
  <c r="AB1854" i="1"/>
  <c r="AB1855" i="1"/>
  <c r="AB1856" i="1"/>
  <c r="AB1857" i="1"/>
  <c r="AB1858" i="1"/>
  <c r="AB1859" i="1"/>
  <c r="AB1860" i="1"/>
  <c r="AB1861" i="1"/>
  <c r="AB1862" i="1"/>
  <c r="AB1863" i="1"/>
  <c r="AB1864" i="1"/>
  <c r="AB1865" i="1"/>
  <c r="AB1866" i="1"/>
  <c r="AB1867" i="1"/>
  <c r="AB1868" i="1"/>
  <c r="AB1869" i="1"/>
  <c r="AB1870" i="1"/>
  <c r="AB1871" i="1"/>
  <c r="AB1872" i="1"/>
  <c r="AB1873" i="1"/>
  <c r="AB1874" i="1"/>
  <c r="AB1875" i="1"/>
  <c r="AB1876" i="1"/>
  <c r="AB1877" i="1"/>
  <c r="AB1878" i="1"/>
  <c r="AB1879" i="1"/>
  <c r="AB1880" i="1"/>
  <c r="AB1881" i="1"/>
  <c r="AB1882" i="1"/>
  <c r="AB1883" i="1"/>
  <c r="AB1884" i="1"/>
  <c r="AB1885" i="1"/>
  <c r="AB1886" i="1"/>
  <c r="AB1887" i="1"/>
  <c r="AB1888" i="1"/>
  <c r="AB1889" i="1"/>
  <c r="AB1890" i="1"/>
  <c r="AB1891" i="1"/>
  <c r="AB1892" i="1"/>
  <c r="AB1893" i="1"/>
  <c r="AB1894" i="1"/>
  <c r="AB1895" i="1"/>
  <c r="AB1896" i="1"/>
  <c r="AB1897" i="1"/>
  <c r="AB1898" i="1"/>
  <c r="AB1899" i="1"/>
  <c r="AB1900" i="1"/>
  <c r="AB1901" i="1"/>
  <c r="AB1902" i="1"/>
  <c r="AB1903" i="1"/>
  <c r="AB1904" i="1"/>
  <c r="AB1905" i="1"/>
  <c r="AB1906" i="1"/>
  <c r="AB1907" i="1"/>
  <c r="AB1908" i="1"/>
  <c r="AB1909" i="1"/>
  <c r="AB1910" i="1"/>
  <c r="AB1911" i="1"/>
  <c r="AB1912" i="1"/>
  <c r="AB1913" i="1"/>
  <c r="AB1914" i="1"/>
  <c r="AB1915" i="1"/>
  <c r="AB1916" i="1"/>
  <c r="AB1917" i="1"/>
  <c r="AB1918" i="1"/>
  <c r="AB1919" i="1"/>
  <c r="AB1920" i="1"/>
  <c r="AB1921" i="1"/>
  <c r="AB1922" i="1"/>
  <c r="AB1923" i="1"/>
  <c r="AB1924" i="1"/>
  <c r="AB1925" i="1"/>
  <c r="AB1926" i="1"/>
  <c r="AB1927" i="1"/>
  <c r="AB1928" i="1"/>
  <c r="AB1929" i="1"/>
  <c r="AB1930" i="1"/>
  <c r="AB1931" i="1"/>
  <c r="AB1932" i="1"/>
  <c r="AB1933" i="1"/>
  <c r="AB1934" i="1"/>
  <c r="AB1935" i="1"/>
  <c r="AB1936" i="1"/>
  <c r="AB1937" i="1"/>
  <c r="AB1938" i="1"/>
  <c r="AB1939" i="1"/>
  <c r="AB1940" i="1"/>
  <c r="AB1941" i="1"/>
  <c r="AB1942" i="1"/>
  <c r="AB1943" i="1"/>
  <c r="AB1944" i="1"/>
  <c r="AB1945" i="1"/>
  <c r="AB1946" i="1"/>
  <c r="AB1947" i="1"/>
  <c r="AB1948" i="1"/>
  <c r="AB1949" i="1"/>
  <c r="AB1950" i="1"/>
  <c r="AB1951" i="1"/>
  <c r="AB1952" i="1"/>
  <c r="AB1953" i="1"/>
  <c r="AB1954" i="1"/>
  <c r="AB1955" i="1"/>
  <c r="AB1956" i="1"/>
  <c r="AB1957" i="1"/>
  <c r="AB1958" i="1"/>
  <c r="AB1959" i="1"/>
  <c r="AB1960" i="1"/>
  <c r="AB1961" i="1"/>
  <c r="AB1962" i="1"/>
  <c r="AB1963" i="1"/>
  <c r="AB1964" i="1"/>
  <c r="AB1965" i="1"/>
  <c r="AB1966" i="1"/>
  <c r="AB1967" i="1"/>
  <c r="AB1968" i="1"/>
  <c r="AB1969" i="1"/>
  <c r="AB1970" i="1"/>
  <c r="AB1971" i="1"/>
  <c r="AB1972" i="1"/>
  <c r="AB1973" i="1"/>
  <c r="AB1974" i="1"/>
  <c r="AB1975" i="1"/>
  <c r="AB1976" i="1"/>
  <c r="AB1977" i="1"/>
  <c r="AB1978" i="1"/>
  <c r="AB1979" i="1"/>
  <c r="AB1980" i="1"/>
  <c r="AB1981" i="1"/>
  <c r="AB1982" i="1"/>
  <c r="AB1983" i="1"/>
  <c r="AB1984" i="1"/>
  <c r="AB1985" i="1"/>
  <c r="AB1986" i="1"/>
  <c r="AB1987" i="1"/>
  <c r="AB1988" i="1"/>
  <c r="AB1989" i="1"/>
  <c r="AB1990" i="1"/>
  <c r="AB1991" i="1"/>
  <c r="AB1992" i="1"/>
  <c r="AB1993" i="1"/>
  <c r="AB1994" i="1"/>
  <c r="AB1995" i="1"/>
  <c r="AB1996" i="1"/>
  <c r="AB1997" i="1"/>
  <c r="AB1998" i="1"/>
  <c r="AB1999" i="1"/>
  <c r="AB2000" i="1"/>
  <c r="AB2001" i="1"/>
  <c r="AB2002" i="1"/>
  <c r="AB2003" i="1"/>
  <c r="AB2004" i="1"/>
  <c r="AB2005" i="1"/>
  <c r="AB2006" i="1"/>
  <c r="AB2007" i="1"/>
  <c r="AB2008" i="1"/>
  <c r="AB2009" i="1"/>
  <c r="AB2010" i="1"/>
  <c r="AB2011" i="1"/>
  <c r="AB2012" i="1"/>
  <c r="AB2013" i="1"/>
  <c r="AB2014" i="1"/>
  <c r="AB2015" i="1"/>
  <c r="AB2016" i="1"/>
  <c r="AB2017" i="1"/>
  <c r="AB2018" i="1"/>
  <c r="AB2019" i="1"/>
  <c r="AB2020" i="1"/>
  <c r="AB2021" i="1"/>
  <c r="AB2022" i="1"/>
  <c r="AB2023" i="1"/>
  <c r="AB2024" i="1"/>
  <c r="AB2025" i="1"/>
  <c r="AB2026" i="1"/>
  <c r="AB2027" i="1"/>
  <c r="AB2028" i="1"/>
  <c r="AB2029" i="1"/>
  <c r="AB2030" i="1"/>
  <c r="AB2031" i="1"/>
  <c r="AB2032" i="1"/>
  <c r="AB2033" i="1"/>
  <c r="AB2034" i="1"/>
  <c r="AB2035" i="1"/>
  <c r="AB2036" i="1"/>
  <c r="AB2037" i="1"/>
  <c r="AB2038" i="1"/>
  <c r="AB2039" i="1"/>
  <c r="AB2040" i="1"/>
  <c r="AB2041" i="1"/>
  <c r="AB2042" i="1"/>
  <c r="AB2043" i="1"/>
  <c r="AB2044" i="1"/>
  <c r="AB2045" i="1"/>
  <c r="AB2046" i="1"/>
  <c r="AB2047" i="1"/>
  <c r="AB2048" i="1"/>
  <c r="AB2049" i="1"/>
  <c r="AB2050" i="1"/>
  <c r="AB2051" i="1"/>
  <c r="AB2052" i="1"/>
  <c r="AB2053" i="1"/>
  <c r="AB2054" i="1"/>
  <c r="AB2055" i="1"/>
  <c r="AB2056" i="1"/>
  <c r="AB2" i="1"/>
  <c r="G3" i="1"/>
  <c r="G4" i="1"/>
  <c r="G5" i="1"/>
  <c r="G6" i="1"/>
  <c r="G7" i="1"/>
  <c r="G8" i="1"/>
  <c r="G9" i="1"/>
  <c r="G10" i="1"/>
  <c r="G11" i="1"/>
  <c r="G12" i="1"/>
  <c r="G13" i="1"/>
  <c r="G14" i="1"/>
  <c r="G15" i="1"/>
  <c r="G16" i="1"/>
  <c r="G17" i="1"/>
  <c r="G18" i="1"/>
  <c r="G19" i="1"/>
  <c r="G20" i="1"/>
  <c r="G21" i="1"/>
  <c r="G22" i="1"/>
  <c r="G23" i="1"/>
  <c r="G24" i="1"/>
  <c r="G25" i="1"/>
  <c r="G26" i="1"/>
  <c r="G27" i="1"/>
  <c r="G28" i="1"/>
  <c r="G29" i="1"/>
  <c r="G30" i="1"/>
  <c r="G31" i="1"/>
  <c r="G32" i="1"/>
  <c r="G33" i="1"/>
  <c r="G34" i="1"/>
  <c r="G35" i="1"/>
  <c r="G36" i="1"/>
  <c r="G37" i="1"/>
  <c r="G38" i="1"/>
  <c r="G39" i="1"/>
  <c r="G40" i="1"/>
  <c r="G41" i="1"/>
  <c r="G42" i="1"/>
  <c r="G43" i="1"/>
  <c r="G44" i="1"/>
  <c r="G45" i="1"/>
  <c r="G46" i="1"/>
  <c r="G47" i="1"/>
  <c r="G48" i="1"/>
  <c r="G49" i="1"/>
  <c r="G50" i="1"/>
  <c r="G51" i="1"/>
  <c r="G52" i="1"/>
  <c r="G53" i="1"/>
  <c r="G54" i="1"/>
  <c r="G55" i="1"/>
  <c r="G56" i="1"/>
  <c r="G57" i="1"/>
  <c r="G58" i="1"/>
  <c r="G59" i="1"/>
  <c r="G60" i="1"/>
  <c r="G61" i="1"/>
  <c r="G62" i="1"/>
  <c r="G63" i="1"/>
  <c r="G64" i="1"/>
  <c r="G65" i="1"/>
  <c r="G66" i="1"/>
  <c r="G67" i="1"/>
  <c r="G68" i="1"/>
  <c r="G69" i="1"/>
  <c r="G70" i="1"/>
  <c r="G71" i="1"/>
  <c r="G72" i="1"/>
  <c r="G73" i="1"/>
  <c r="G74" i="1"/>
  <c r="G75" i="1"/>
  <c r="G76" i="1"/>
  <c r="G77" i="1"/>
  <c r="G78" i="1"/>
  <c r="G79" i="1"/>
  <c r="G80" i="1"/>
  <c r="G81" i="1"/>
  <c r="G82" i="1"/>
  <c r="G83" i="1"/>
  <c r="G84" i="1"/>
  <c r="G85" i="1"/>
  <c r="G86" i="1"/>
  <c r="G87" i="1"/>
  <c r="G88" i="1"/>
  <c r="G89" i="1"/>
  <c r="G90" i="1"/>
  <c r="G91" i="1"/>
  <c r="G92" i="1"/>
  <c r="G93" i="1"/>
  <c r="G94" i="1"/>
  <c r="G95" i="1"/>
  <c r="G96" i="1"/>
  <c r="G97" i="1"/>
  <c r="G98" i="1"/>
  <c r="G99" i="1"/>
  <c r="G100" i="1"/>
  <c r="G101" i="1"/>
  <c r="G102" i="1"/>
  <c r="G103" i="1"/>
  <c r="G104" i="1"/>
  <c r="G105" i="1"/>
  <c r="G106" i="1"/>
  <c r="G107" i="1"/>
  <c r="G108" i="1"/>
  <c r="G109" i="1"/>
  <c r="G110" i="1"/>
  <c r="G111" i="1"/>
  <c r="G112" i="1"/>
  <c r="G113" i="1"/>
  <c r="G114" i="1"/>
  <c r="G115" i="1"/>
  <c r="G116" i="1"/>
  <c r="G117" i="1"/>
  <c r="G118" i="1"/>
  <c r="G119" i="1"/>
  <c r="G120" i="1"/>
  <c r="G121" i="1"/>
  <c r="G122" i="1"/>
  <c r="G123" i="1"/>
  <c r="G124" i="1"/>
  <c r="G125" i="1"/>
  <c r="G126" i="1"/>
  <c r="G127" i="1"/>
  <c r="G128" i="1"/>
  <c r="G129" i="1"/>
  <c r="G130" i="1"/>
  <c r="G131" i="1"/>
  <c r="G132" i="1"/>
  <c r="G133" i="1"/>
  <c r="G134" i="1"/>
  <c r="G135" i="1"/>
  <c r="G136" i="1"/>
  <c r="G137" i="1"/>
  <c r="G138" i="1"/>
  <c r="G139" i="1"/>
  <c r="G140" i="1"/>
  <c r="G141" i="1"/>
  <c r="G142" i="1"/>
  <c r="G143" i="1"/>
  <c r="G144" i="1"/>
  <c r="G145" i="1"/>
  <c r="G146" i="1"/>
  <c r="G147" i="1"/>
  <c r="G148" i="1"/>
  <c r="G149" i="1"/>
  <c r="G150" i="1"/>
  <c r="G151" i="1"/>
  <c r="G152" i="1"/>
  <c r="G153" i="1"/>
  <c r="G154" i="1"/>
  <c r="G155" i="1"/>
  <c r="G156" i="1"/>
  <c r="G157" i="1"/>
  <c r="G158" i="1"/>
  <c r="G159" i="1"/>
  <c r="G160" i="1"/>
  <c r="G161" i="1"/>
  <c r="G162" i="1"/>
  <c r="G163" i="1"/>
  <c r="G164" i="1"/>
  <c r="G165" i="1"/>
  <c r="G166" i="1"/>
  <c r="G167" i="1"/>
  <c r="G168" i="1"/>
  <c r="G169" i="1"/>
  <c r="G170" i="1"/>
  <c r="G171" i="1"/>
  <c r="G172" i="1"/>
  <c r="G173" i="1"/>
  <c r="G174" i="1"/>
  <c r="G175" i="1"/>
  <c r="G176" i="1"/>
  <c r="G177" i="1"/>
  <c r="G178" i="1"/>
  <c r="G179" i="1"/>
  <c r="G180" i="1"/>
  <c r="G181" i="1"/>
  <c r="G182" i="1"/>
  <c r="G183" i="1"/>
  <c r="G184" i="1"/>
  <c r="G185" i="1"/>
  <c r="G186" i="1"/>
  <c r="G187" i="1"/>
  <c r="G188" i="1"/>
  <c r="G189" i="1"/>
  <c r="G190" i="1"/>
  <c r="G191" i="1"/>
  <c r="G192" i="1"/>
  <c r="G193" i="1"/>
  <c r="G194" i="1"/>
  <c r="G195" i="1"/>
  <c r="G196" i="1"/>
  <c r="G197" i="1"/>
  <c r="G198" i="1"/>
  <c r="G199" i="1"/>
  <c r="G200" i="1"/>
  <c r="G201" i="1"/>
  <c r="G202" i="1"/>
  <c r="G203" i="1"/>
  <c r="G204" i="1"/>
  <c r="G205" i="1"/>
  <c r="G206" i="1"/>
  <c r="G207" i="1"/>
  <c r="G208" i="1"/>
  <c r="G209" i="1"/>
  <c r="G210" i="1"/>
  <c r="G211" i="1"/>
  <c r="G212" i="1"/>
  <c r="G213" i="1"/>
  <c r="G214" i="1"/>
  <c r="G215" i="1"/>
  <c r="G216" i="1"/>
  <c r="G217" i="1"/>
  <c r="G218" i="1"/>
  <c r="G219" i="1"/>
  <c r="G220" i="1"/>
  <c r="G221" i="1"/>
  <c r="G222" i="1"/>
  <c r="G223" i="1"/>
  <c r="G224" i="1"/>
  <c r="G225" i="1"/>
  <c r="G226" i="1"/>
  <c r="G227" i="1"/>
  <c r="G228" i="1"/>
  <c r="G229" i="1"/>
  <c r="G230" i="1"/>
  <c r="G231" i="1"/>
  <c r="G232" i="1"/>
  <c r="G233" i="1"/>
  <c r="G234" i="1"/>
  <c r="G235" i="1"/>
  <c r="G236" i="1"/>
  <c r="G237" i="1"/>
  <c r="G238" i="1"/>
  <c r="G239" i="1"/>
  <c r="G240" i="1"/>
  <c r="G241" i="1"/>
  <c r="G242" i="1"/>
  <c r="G243" i="1"/>
  <c r="G244" i="1"/>
  <c r="G245" i="1"/>
  <c r="G246" i="1"/>
  <c r="G247" i="1"/>
  <c r="G248" i="1"/>
  <c r="G249" i="1"/>
  <c r="G250" i="1"/>
  <c r="G251" i="1"/>
  <c r="G252" i="1"/>
  <c r="G253" i="1"/>
  <c r="G254" i="1"/>
  <c r="G255" i="1"/>
  <c r="G256" i="1"/>
  <c r="G257" i="1"/>
  <c r="G258" i="1"/>
  <c r="G259" i="1"/>
  <c r="G260" i="1"/>
  <c r="G261" i="1"/>
  <c r="G262" i="1"/>
  <c r="G263" i="1"/>
  <c r="G264" i="1"/>
  <c r="G265" i="1"/>
  <c r="G266" i="1"/>
  <c r="G267" i="1"/>
  <c r="G268" i="1"/>
  <c r="G269" i="1"/>
  <c r="G270" i="1"/>
  <c r="G271" i="1"/>
  <c r="G272" i="1"/>
  <c r="G273" i="1"/>
  <c r="G274" i="1"/>
  <c r="G275" i="1"/>
  <c r="G276" i="1"/>
  <c r="G277" i="1"/>
  <c r="G278" i="1"/>
  <c r="G279" i="1"/>
  <c r="G280" i="1"/>
  <c r="G281" i="1"/>
  <c r="G282" i="1"/>
  <c r="G283" i="1"/>
  <c r="G284" i="1"/>
  <c r="G285" i="1"/>
  <c r="G286" i="1"/>
  <c r="G287" i="1"/>
  <c r="G288" i="1"/>
  <c r="G289" i="1"/>
  <c r="G290" i="1"/>
  <c r="G291" i="1"/>
  <c r="G292" i="1"/>
  <c r="G293" i="1"/>
  <c r="G294" i="1"/>
  <c r="G295" i="1"/>
  <c r="G296" i="1"/>
  <c r="G297" i="1"/>
  <c r="G298" i="1"/>
  <c r="G299" i="1"/>
  <c r="G300" i="1"/>
  <c r="G301" i="1"/>
  <c r="G302" i="1"/>
  <c r="G303" i="1"/>
  <c r="G304" i="1"/>
  <c r="G305" i="1"/>
  <c r="G306" i="1"/>
  <c r="G307" i="1"/>
  <c r="G308" i="1"/>
  <c r="G309" i="1"/>
  <c r="G310" i="1"/>
  <c r="G311" i="1"/>
  <c r="G312" i="1"/>
  <c r="G313" i="1"/>
  <c r="G314" i="1"/>
  <c r="G315" i="1"/>
  <c r="G316" i="1"/>
  <c r="G317" i="1"/>
  <c r="G318" i="1"/>
  <c r="G319" i="1"/>
  <c r="G320" i="1"/>
  <c r="G321" i="1"/>
  <c r="G322" i="1"/>
  <c r="G323" i="1"/>
  <c r="G324" i="1"/>
  <c r="G325" i="1"/>
  <c r="G326" i="1"/>
  <c r="G327" i="1"/>
  <c r="G328" i="1"/>
  <c r="G329" i="1"/>
  <c r="G330" i="1"/>
  <c r="G331" i="1"/>
  <c r="G332" i="1"/>
  <c r="G333" i="1"/>
  <c r="G334" i="1"/>
  <c r="G335" i="1"/>
  <c r="G336" i="1"/>
  <c r="G337" i="1"/>
  <c r="G338" i="1"/>
  <c r="G339" i="1"/>
  <c r="G340" i="1"/>
  <c r="G341" i="1"/>
  <c r="G342" i="1"/>
  <c r="G343" i="1"/>
  <c r="G344" i="1"/>
  <c r="G345" i="1"/>
  <c r="G346" i="1"/>
  <c r="G347" i="1"/>
  <c r="G348" i="1"/>
  <c r="G349" i="1"/>
  <c r="G350" i="1"/>
  <c r="G351" i="1"/>
  <c r="G352" i="1"/>
  <c r="G353" i="1"/>
  <c r="G354" i="1"/>
  <c r="G355" i="1"/>
  <c r="G356" i="1"/>
  <c r="G357" i="1"/>
  <c r="G358" i="1"/>
  <c r="G359" i="1"/>
  <c r="G360" i="1"/>
  <c r="G361" i="1"/>
  <c r="G362" i="1"/>
  <c r="G363" i="1"/>
  <c r="G364" i="1"/>
  <c r="G365" i="1"/>
  <c r="G366" i="1"/>
  <c r="G367" i="1"/>
  <c r="G368" i="1"/>
  <c r="G369" i="1"/>
  <c r="G370" i="1"/>
  <c r="G371" i="1"/>
  <c r="G372" i="1"/>
  <c r="G373" i="1"/>
  <c r="G374" i="1"/>
  <c r="G375" i="1"/>
  <c r="G376" i="1"/>
  <c r="G377" i="1"/>
  <c r="G378" i="1"/>
  <c r="G379" i="1"/>
  <c r="G380" i="1"/>
  <c r="G381" i="1"/>
  <c r="G382" i="1"/>
  <c r="G383" i="1"/>
  <c r="G384" i="1"/>
  <c r="G385" i="1"/>
  <c r="G386" i="1"/>
  <c r="G387" i="1"/>
  <c r="G388" i="1"/>
  <c r="G389" i="1"/>
  <c r="G390" i="1"/>
  <c r="G391" i="1"/>
  <c r="G392" i="1"/>
  <c r="G393" i="1"/>
  <c r="G394" i="1"/>
  <c r="G395" i="1"/>
  <c r="G396" i="1"/>
  <c r="G397" i="1"/>
  <c r="G398" i="1"/>
  <c r="G399" i="1"/>
  <c r="G400" i="1"/>
  <c r="G401" i="1"/>
  <c r="G402" i="1"/>
  <c r="G403" i="1"/>
  <c r="G404" i="1"/>
  <c r="G405" i="1"/>
  <c r="G406" i="1"/>
  <c r="G407" i="1"/>
  <c r="G408" i="1"/>
  <c r="G409" i="1"/>
  <c r="G410" i="1"/>
  <c r="G411" i="1"/>
  <c r="G412" i="1"/>
  <c r="G413" i="1"/>
  <c r="G414" i="1"/>
  <c r="G415" i="1"/>
  <c r="G416" i="1"/>
  <c r="G417" i="1"/>
  <c r="G418" i="1"/>
  <c r="G419" i="1"/>
  <c r="G420" i="1"/>
  <c r="G421" i="1"/>
  <c r="G422" i="1"/>
  <c r="G423" i="1"/>
  <c r="G424" i="1"/>
  <c r="G425" i="1"/>
  <c r="G426" i="1"/>
  <c r="G427" i="1"/>
  <c r="G428" i="1"/>
  <c r="G429" i="1"/>
  <c r="G430" i="1"/>
  <c r="G431" i="1"/>
  <c r="G432" i="1"/>
  <c r="G433" i="1"/>
  <c r="G434" i="1"/>
  <c r="G435" i="1"/>
  <c r="G436" i="1"/>
  <c r="G437" i="1"/>
  <c r="G438" i="1"/>
  <c r="G439" i="1"/>
  <c r="G440" i="1"/>
  <c r="G441" i="1"/>
  <c r="G442" i="1"/>
  <c r="G443" i="1"/>
  <c r="G444" i="1"/>
  <c r="G445" i="1"/>
  <c r="G446" i="1"/>
  <c r="G447" i="1"/>
  <c r="G448" i="1"/>
  <c r="G449" i="1"/>
  <c r="G450" i="1"/>
  <c r="G451" i="1"/>
  <c r="G452" i="1"/>
  <c r="G453" i="1"/>
  <c r="G454" i="1"/>
  <c r="G455" i="1"/>
  <c r="G456" i="1"/>
  <c r="G457" i="1"/>
  <c r="G458" i="1"/>
  <c r="G459" i="1"/>
  <c r="G460" i="1"/>
  <c r="G461" i="1"/>
  <c r="G462" i="1"/>
  <c r="G463" i="1"/>
  <c r="G464" i="1"/>
  <c r="G465" i="1"/>
  <c r="G466" i="1"/>
  <c r="G467" i="1"/>
  <c r="G468" i="1"/>
  <c r="G469" i="1"/>
  <c r="G470" i="1"/>
  <c r="G471" i="1"/>
  <c r="G472" i="1"/>
  <c r="G473" i="1"/>
  <c r="G474" i="1"/>
  <c r="G475" i="1"/>
  <c r="G476" i="1"/>
  <c r="G477" i="1"/>
  <c r="G478" i="1"/>
  <c r="G479" i="1"/>
  <c r="G480" i="1"/>
  <c r="G481" i="1"/>
  <c r="G482" i="1"/>
  <c r="G483" i="1"/>
  <c r="G484" i="1"/>
  <c r="G485" i="1"/>
  <c r="G486" i="1"/>
  <c r="G487" i="1"/>
  <c r="G488" i="1"/>
  <c r="G489" i="1"/>
  <c r="G490" i="1"/>
  <c r="G491" i="1"/>
  <c r="G492" i="1"/>
  <c r="G493" i="1"/>
  <c r="G494" i="1"/>
  <c r="G495" i="1"/>
  <c r="G496" i="1"/>
  <c r="G497" i="1"/>
  <c r="G498" i="1"/>
  <c r="G499" i="1"/>
  <c r="G500" i="1"/>
  <c r="G501" i="1"/>
  <c r="G502" i="1"/>
  <c r="G503" i="1"/>
  <c r="G504" i="1"/>
  <c r="G505" i="1"/>
  <c r="G506" i="1"/>
  <c r="G507" i="1"/>
  <c r="G508" i="1"/>
  <c r="G509" i="1"/>
  <c r="G510" i="1"/>
  <c r="G511" i="1"/>
  <c r="G512" i="1"/>
  <c r="G513" i="1"/>
  <c r="G514" i="1"/>
  <c r="G515" i="1"/>
  <c r="G516" i="1"/>
  <c r="G517" i="1"/>
  <c r="G518" i="1"/>
  <c r="G519" i="1"/>
  <c r="G520" i="1"/>
  <c r="G521" i="1"/>
  <c r="G522" i="1"/>
  <c r="G523" i="1"/>
  <c r="G524" i="1"/>
  <c r="G525" i="1"/>
  <c r="G526" i="1"/>
  <c r="G527" i="1"/>
  <c r="G528" i="1"/>
  <c r="G529" i="1"/>
  <c r="G530" i="1"/>
  <c r="G531" i="1"/>
  <c r="G532" i="1"/>
  <c r="G533" i="1"/>
  <c r="G534" i="1"/>
  <c r="G535" i="1"/>
  <c r="G536" i="1"/>
  <c r="G537" i="1"/>
  <c r="G538" i="1"/>
  <c r="G539" i="1"/>
  <c r="G540" i="1"/>
  <c r="G541" i="1"/>
  <c r="G542" i="1"/>
  <c r="G543" i="1"/>
  <c r="G544" i="1"/>
  <c r="G545" i="1"/>
  <c r="G546" i="1"/>
  <c r="G547" i="1"/>
  <c r="G548" i="1"/>
  <c r="G549" i="1"/>
  <c r="G550" i="1"/>
  <c r="G551" i="1"/>
  <c r="G552" i="1"/>
  <c r="G553" i="1"/>
  <c r="G554" i="1"/>
  <c r="G555" i="1"/>
  <c r="G556" i="1"/>
  <c r="G557" i="1"/>
  <c r="G558" i="1"/>
  <c r="G559" i="1"/>
  <c r="G560" i="1"/>
  <c r="G561" i="1"/>
  <c r="G562" i="1"/>
  <c r="G563" i="1"/>
  <c r="G564" i="1"/>
  <c r="G565" i="1"/>
  <c r="G566" i="1"/>
  <c r="G567" i="1"/>
  <c r="G568" i="1"/>
  <c r="G569" i="1"/>
  <c r="G570" i="1"/>
  <c r="G571" i="1"/>
  <c r="G572" i="1"/>
  <c r="G573" i="1"/>
  <c r="G574" i="1"/>
  <c r="G575" i="1"/>
  <c r="G576" i="1"/>
  <c r="G577" i="1"/>
  <c r="G578" i="1"/>
  <c r="G579" i="1"/>
  <c r="G580" i="1"/>
  <c r="G581" i="1"/>
  <c r="G582" i="1"/>
  <c r="G583" i="1"/>
  <c r="G584" i="1"/>
  <c r="G585" i="1"/>
  <c r="G586" i="1"/>
  <c r="G587" i="1"/>
  <c r="G588" i="1"/>
  <c r="G589" i="1"/>
  <c r="G590" i="1"/>
  <c r="G591" i="1"/>
  <c r="G592" i="1"/>
  <c r="G593" i="1"/>
  <c r="G594" i="1"/>
  <c r="G595" i="1"/>
  <c r="G596" i="1"/>
  <c r="G597" i="1"/>
  <c r="G598" i="1"/>
  <c r="G599" i="1"/>
  <c r="G600" i="1"/>
  <c r="G601" i="1"/>
  <c r="G602" i="1"/>
  <c r="G603" i="1"/>
  <c r="G604" i="1"/>
  <c r="G605" i="1"/>
  <c r="G606" i="1"/>
  <c r="G607" i="1"/>
  <c r="G608" i="1"/>
  <c r="G609" i="1"/>
  <c r="G610" i="1"/>
  <c r="G611" i="1"/>
  <c r="G612" i="1"/>
  <c r="G613" i="1"/>
  <c r="G614" i="1"/>
  <c r="G615" i="1"/>
  <c r="G616" i="1"/>
  <c r="G617" i="1"/>
  <c r="G618" i="1"/>
  <c r="G619" i="1"/>
  <c r="G620" i="1"/>
  <c r="G621" i="1"/>
  <c r="G622" i="1"/>
  <c r="G623" i="1"/>
  <c r="G624" i="1"/>
  <c r="G625" i="1"/>
  <c r="G626" i="1"/>
  <c r="G627" i="1"/>
  <c r="G628" i="1"/>
  <c r="G629" i="1"/>
  <c r="G630" i="1"/>
  <c r="G631" i="1"/>
  <c r="G632" i="1"/>
  <c r="G633" i="1"/>
  <c r="G634" i="1"/>
  <c r="G635" i="1"/>
  <c r="G636" i="1"/>
  <c r="G637" i="1"/>
  <c r="G638" i="1"/>
  <c r="G639" i="1"/>
  <c r="G640" i="1"/>
  <c r="G641" i="1"/>
  <c r="G642" i="1"/>
  <c r="G643" i="1"/>
  <c r="G644" i="1"/>
  <c r="G645" i="1"/>
  <c r="G646" i="1"/>
  <c r="G647" i="1"/>
  <c r="G648" i="1"/>
  <c r="G649" i="1"/>
  <c r="G650" i="1"/>
  <c r="G651" i="1"/>
  <c r="G652" i="1"/>
  <c r="G653" i="1"/>
  <c r="G654" i="1"/>
  <c r="G655" i="1"/>
  <c r="G656" i="1"/>
  <c r="G657" i="1"/>
  <c r="G658" i="1"/>
  <c r="G659" i="1"/>
  <c r="G660" i="1"/>
  <c r="G661" i="1"/>
  <c r="G662" i="1"/>
  <c r="G663" i="1"/>
  <c r="G664" i="1"/>
  <c r="G665" i="1"/>
  <c r="G666" i="1"/>
  <c r="G667" i="1"/>
  <c r="G668" i="1"/>
  <c r="G669" i="1"/>
  <c r="G670" i="1"/>
  <c r="G671" i="1"/>
  <c r="G672" i="1"/>
  <c r="G673" i="1"/>
  <c r="G674" i="1"/>
  <c r="G675" i="1"/>
  <c r="G676" i="1"/>
  <c r="G677" i="1"/>
  <c r="G678" i="1"/>
  <c r="G679" i="1"/>
  <c r="G680" i="1"/>
  <c r="G681" i="1"/>
  <c r="G682" i="1"/>
  <c r="G683" i="1"/>
  <c r="G684" i="1"/>
  <c r="G685" i="1"/>
  <c r="G686" i="1"/>
  <c r="G687" i="1"/>
  <c r="G688" i="1"/>
  <c r="G689" i="1"/>
  <c r="G690" i="1"/>
  <c r="G691" i="1"/>
  <c r="G692" i="1"/>
  <c r="G693" i="1"/>
  <c r="G694" i="1"/>
  <c r="G695" i="1"/>
  <c r="G696" i="1"/>
  <c r="G697" i="1"/>
  <c r="G698" i="1"/>
  <c r="G699" i="1"/>
  <c r="G700" i="1"/>
  <c r="G701" i="1"/>
  <c r="G702" i="1"/>
  <c r="G703" i="1"/>
  <c r="G704" i="1"/>
  <c r="G705" i="1"/>
  <c r="G706" i="1"/>
  <c r="G707" i="1"/>
  <c r="G708" i="1"/>
  <c r="G709" i="1"/>
  <c r="G710" i="1"/>
  <c r="G711" i="1"/>
  <c r="G712" i="1"/>
  <c r="G713" i="1"/>
  <c r="G714" i="1"/>
  <c r="G715" i="1"/>
  <c r="G716" i="1"/>
  <c r="G717" i="1"/>
  <c r="G718" i="1"/>
  <c r="G719" i="1"/>
  <c r="G720" i="1"/>
  <c r="G721" i="1"/>
  <c r="G722" i="1"/>
  <c r="G723" i="1"/>
  <c r="G724" i="1"/>
  <c r="G725" i="1"/>
  <c r="G726" i="1"/>
  <c r="G727" i="1"/>
  <c r="G728" i="1"/>
  <c r="G729" i="1"/>
  <c r="G730" i="1"/>
  <c r="G731" i="1"/>
  <c r="G732" i="1"/>
  <c r="G733" i="1"/>
  <c r="G734" i="1"/>
  <c r="G735" i="1"/>
  <c r="G736" i="1"/>
  <c r="G737" i="1"/>
  <c r="G738" i="1"/>
  <c r="G739" i="1"/>
  <c r="G740" i="1"/>
  <c r="G741" i="1"/>
  <c r="G742" i="1"/>
  <c r="G743" i="1"/>
  <c r="G744" i="1"/>
  <c r="G745" i="1"/>
  <c r="G746" i="1"/>
  <c r="G747" i="1"/>
  <c r="G748" i="1"/>
  <c r="G749" i="1"/>
  <c r="G750" i="1"/>
  <c r="G751" i="1"/>
  <c r="G752" i="1"/>
  <c r="G753" i="1"/>
  <c r="G754" i="1"/>
  <c r="G755" i="1"/>
  <c r="G756" i="1"/>
  <c r="G757" i="1"/>
  <c r="G758" i="1"/>
  <c r="G759" i="1"/>
  <c r="G760" i="1"/>
  <c r="G761" i="1"/>
  <c r="G762" i="1"/>
  <c r="G763" i="1"/>
  <c r="G764" i="1"/>
  <c r="G765" i="1"/>
  <c r="G766" i="1"/>
  <c r="G767" i="1"/>
  <c r="G768" i="1"/>
  <c r="G769" i="1"/>
  <c r="G770" i="1"/>
  <c r="G771" i="1"/>
  <c r="G772" i="1"/>
  <c r="G773" i="1"/>
  <c r="G774" i="1"/>
  <c r="G775" i="1"/>
  <c r="G776" i="1"/>
  <c r="G777" i="1"/>
  <c r="G778" i="1"/>
  <c r="G779" i="1"/>
  <c r="G780" i="1"/>
  <c r="G781" i="1"/>
  <c r="G782" i="1"/>
  <c r="G783" i="1"/>
  <c r="G784" i="1"/>
  <c r="G785" i="1"/>
  <c r="G786" i="1"/>
  <c r="G787" i="1"/>
  <c r="G788" i="1"/>
  <c r="G789" i="1"/>
  <c r="G790" i="1"/>
  <c r="G791" i="1"/>
  <c r="G792" i="1"/>
  <c r="G793" i="1"/>
  <c r="G794" i="1"/>
  <c r="G795" i="1"/>
  <c r="G796" i="1"/>
  <c r="G797" i="1"/>
  <c r="G798" i="1"/>
  <c r="G799" i="1"/>
  <c r="G800" i="1"/>
  <c r="G801" i="1"/>
  <c r="G802" i="1"/>
  <c r="G803" i="1"/>
  <c r="G804" i="1"/>
  <c r="G805" i="1"/>
  <c r="G806" i="1"/>
  <c r="G807" i="1"/>
  <c r="G808" i="1"/>
  <c r="G809" i="1"/>
  <c r="G810" i="1"/>
  <c r="G811" i="1"/>
  <c r="G812" i="1"/>
  <c r="G813" i="1"/>
  <c r="G814" i="1"/>
  <c r="G815" i="1"/>
  <c r="G816" i="1"/>
  <c r="G817" i="1"/>
  <c r="G818" i="1"/>
  <c r="G819" i="1"/>
  <c r="G820" i="1"/>
  <c r="G821" i="1"/>
  <c r="G822" i="1"/>
  <c r="G823" i="1"/>
  <c r="G824" i="1"/>
  <c r="G825" i="1"/>
  <c r="G826" i="1"/>
  <c r="G827" i="1"/>
  <c r="G828" i="1"/>
  <c r="G829" i="1"/>
  <c r="G830" i="1"/>
  <c r="G831" i="1"/>
  <c r="G832" i="1"/>
  <c r="G833" i="1"/>
  <c r="G834" i="1"/>
  <c r="G835" i="1"/>
  <c r="G836" i="1"/>
  <c r="G837" i="1"/>
  <c r="G838" i="1"/>
  <c r="G839" i="1"/>
  <c r="G840" i="1"/>
  <c r="G841" i="1"/>
  <c r="G842" i="1"/>
  <c r="G843" i="1"/>
  <c r="G844" i="1"/>
  <c r="G845" i="1"/>
  <c r="G846" i="1"/>
  <c r="G847" i="1"/>
  <c r="G848" i="1"/>
  <c r="G849" i="1"/>
  <c r="G850" i="1"/>
  <c r="G851" i="1"/>
  <c r="G852" i="1"/>
  <c r="G853" i="1"/>
  <c r="G854" i="1"/>
  <c r="G855" i="1"/>
  <c r="G856" i="1"/>
  <c r="G857" i="1"/>
  <c r="G858" i="1"/>
  <c r="G859" i="1"/>
  <c r="G860" i="1"/>
  <c r="G861" i="1"/>
  <c r="G862" i="1"/>
  <c r="G863" i="1"/>
  <c r="G864" i="1"/>
  <c r="G865" i="1"/>
  <c r="G866" i="1"/>
  <c r="G867" i="1"/>
  <c r="G868" i="1"/>
  <c r="G869" i="1"/>
  <c r="G870" i="1"/>
  <c r="G871" i="1"/>
  <c r="G872" i="1"/>
  <c r="G873" i="1"/>
  <c r="G874" i="1"/>
  <c r="G875" i="1"/>
  <c r="G876" i="1"/>
  <c r="G877" i="1"/>
  <c r="G878" i="1"/>
  <c r="G879" i="1"/>
  <c r="G880" i="1"/>
  <c r="G881" i="1"/>
  <c r="G882" i="1"/>
  <c r="G883" i="1"/>
  <c r="G884" i="1"/>
  <c r="G885" i="1"/>
  <c r="G886" i="1"/>
  <c r="G887" i="1"/>
  <c r="G888" i="1"/>
  <c r="G889" i="1"/>
  <c r="G890" i="1"/>
  <c r="G891" i="1"/>
  <c r="G892" i="1"/>
  <c r="G893" i="1"/>
  <c r="G894" i="1"/>
  <c r="G895" i="1"/>
  <c r="G896" i="1"/>
  <c r="G897" i="1"/>
  <c r="G898" i="1"/>
  <c r="G899" i="1"/>
  <c r="G900" i="1"/>
  <c r="G901" i="1"/>
  <c r="G902" i="1"/>
  <c r="G903" i="1"/>
  <c r="G904" i="1"/>
  <c r="G905" i="1"/>
  <c r="G906" i="1"/>
  <c r="G907" i="1"/>
  <c r="G908" i="1"/>
  <c r="G909" i="1"/>
  <c r="G910" i="1"/>
  <c r="G911" i="1"/>
  <c r="G912" i="1"/>
  <c r="G913" i="1"/>
  <c r="G914" i="1"/>
  <c r="G915" i="1"/>
  <c r="G916" i="1"/>
  <c r="G917" i="1"/>
  <c r="G918" i="1"/>
  <c r="G919" i="1"/>
  <c r="G920" i="1"/>
  <c r="G921" i="1"/>
  <c r="G922" i="1"/>
  <c r="G923" i="1"/>
  <c r="G924" i="1"/>
  <c r="G925" i="1"/>
  <c r="G926" i="1"/>
  <c r="G927" i="1"/>
  <c r="G928" i="1"/>
  <c r="G929" i="1"/>
  <c r="G930" i="1"/>
  <c r="G931" i="1"/>
  <c r="G932" i="1"/>
  <c r="G933" i="1"/>
  <c r="G934" i="1"/>
  <c r="G935" i="1"/>
  <c r="G936" i="1"/>
  <c r="G937" i="1"/>
  <c r="G938" i="1"/>
  <c r="G939" i="1"/>
  <c r="G940" i="1"/>
  <c r="G941" i="1"/>
  <c r="G942" i="1"/>
  <c r="G943" i="1"/>
  <c r="G944" i="1"/>
  <c r="G945" i="1"/>
  <c r="G946" i="1"/>
  <c r="G947" i="1"/>
  <c r="G948" i="1"/>
  <c r="G949" i="1"/>
  <c r="G950" i="1"/>
  <c r="G951" i="1"/>
  <c r="G952" i="1"/>
  <c r="G953" i="1"/>
  <c r="G954" i="1"/>
  <c r="G955" i="1"/>
  <c r="G956" i="1"/>
  <c r="G957" i="1"/>
  <c r="G958" i="1"/>
  <c r="G959" i="1"/>
  <c r="G960" i="1"/>
  <c r="G961" i="1"/>
  <c r="G962" i="1"/>
  <c r="G963" i="1"/>
  <c r="G964" i="1"/>
  <c r="G965" i="1"/>
  <c r="G966" i="1"/>
  <c r="G967" i="1"/>
  <c r="G968" i="1"/>
  <c r="G969" i="1"/>
  <c r="G970" i="1"/>
  <c r="G971" i="1"/>
  <c r="G972" i="1"/>
  <c r="G973" i="1"/>
  <c r="G974" i="1"/>
  <c r="G975" i="1"/>
  <c r="G976" i="1"/>
  <c r="G977" i="1"/>
  <c r="G978" i="1"/>
  <c r="G979" i="1"/>
  <c r="G980" i="1"/>
  <c r="G981" i="1"/>
  <c r="G982" i="1"/>
  <c r="G983" i="1"/>
  <c r="G984" i="1"/>
  <c r="G985" i="1"/>
  <c r="G986" i="1"/>
  <c r="G987" i="1"/>
  <c r="G988" i="1"/>
  <c r="G989" i="1"/>
  <c r="G990" i="1"/>
  <c r="G991" i="1"/>
  <c r="G992" i="1"/>
  <c r="G993" i="1"/>
  <c r="G994" i="1"/>
  <c r="G995" i="1"/>
  <c r="G996" i="1"/>
  <c r="G997" i="1"/>
  <c r="G998" i="1"/>
  <c r="G999" i="1"/>
  <c r="G1000" i="1"/>
  <c r="G1001" i="1"/>
  <c r="G1002" i="1"/>
  <c r="G1003" i="1"/>
  <c r="G1004" i="1"/>
  <c r="G1005" i="1"/>
  <c r="G1006" i="1"/>
  <c r="G1007" i="1"/>
  <c r="G1008" i="1"/>
  <c r="G1009" i="1"/>
  <c r="G1010" i="1"/>
  <c r="G1011" i="1"/>
  <c r="G1012" i="1"/>
  <c r="G1013" i="1"/>
  <c r="G1014" i="1"/>
  <c r="G1015" i="1"/>
  <c r="G1016" i="1"/>
  <c r="G1017" i="1"/>
  <c r="G1018" i="1"/>
  <c r="G1019" i="1"/>
  <c r="G1020" i="1"/>
  <c r="G1021" i="1"/>
  <c r="G1022" i="1"/>
  <c r="G1023" i="1"/>
  <c r="G1024" i="1"/>
  <c r="G1025" i="1"/>
  <c r="G1026" i="1"/>
  <c r="G1027" i="1"/>
  <c r="G1028" i="1"/>
  <c r="G1029" i="1"/>
  <c r="G1030" i="1"/>
  <c r="G1031" i="1"/>
  <c r="G1032" i="1"/>
  <c r="G1033" i="1"/>
  <c r="G1034" i="1"/>
  <c r="G1035" i="1"/>
  <c r="G1036" i="1"/>
  <c r="G1037" i="1"/>
  <c r="G1038" i="1"/>
  <c r="G1039" i="1"/>
  <c r="G1040" i="1"/>
  <c r="G1041" i="1"/>
  <c r="G1042" i="1"/>
  <c r="G1043" i="1"/>
  <c r="G1044" i="1"/>
  <c r="G1045" i="1"/>
  <c r="G1046" i="1"/>
  <c r="G1047" i="1"/>
  <c r="G1048" i="1"/>
  <c r="G1049" i="1"/>
  <c r="G1050" i="1"/>
  <c r="G1051" i="1"/>
  <c r="G1052" i="1"/>
  <c r="G1053" i="1"/>
  <c r="G1054" i="1"/>
  <c r="G1055" i="1"/>
  <c r="G1056" i="1"/>
  <c r="G1057" i="1"/>
  <c r="G1058" i="1"/>
  <c r="G1059" i="1"/>
  <c r="G1060" i="1"/>
  <c r="G1061" i="1"/>
  <c r="G1062" i="1"/>
  <c r="G1063" i="1"/>
  <c r="G1064" i="1"/>
  <c r="G1065" i="1"/>
  <c r="G1066" i="1"/>
  <c r="G1067" i="1"/>
  <c r="G1068" i="1"/>
  <c r="G1069" i="1"/>
  <c r="G1070" i="1"/>
  <c r="G1071" i="1"/>
  <c r="G1072" i="1"/>
  <c r="G1073" i="1"/>
  <c r="G1074" i="1"/>
  <c r="G1075" i="1"/>
  <c r="G1076" i="1"/>
  <c r="G1077" i="1"/>
  <c r="G1078" i="1"/>
  <c r="G1079" i="1"/>
  <c r="G1080" i="1"/>
  <c r="G1081" i="1"/>
  <c r="G1082" i="1"/>
  <c r="G1083" i="1"/>
  <c r="G1084" i="1"/>
  <c r="G1085" i="1"/>
  <c r="G1086" i="1"/>
  <c r="G1087" i="1"/>
  <c r="G1088" i="1"/>
  <c r="G1089" i="1"/>
  <c r="G1090" i="1"/>
  <c r="G1091" i="1"/>
  <c r="G1092" i="1"/>
  <c r="G1093" i="1"/>
  <c r="G1094" i="1"/>
  <c r="G1095" i="1"/>
  <c r="G1096" i="1"/>
  <c r="G1097" i="1"/>
  <c r="G1098" i="1"/>
  <c r="G1099" i="1"/>
  <c r="G1100" i="1"/>
  <c r="G1101" i="1"/>
  <c r="G1102" i="1"/>
  <c r="G1103" i="1"/>
  <c r="G1104" i="1"/>
  <c r="G1105" i="1"/>
  <c r="G1106" i="1"/>
  <c r="G1107" i="1"/>
  <c r="G1108" i="1"/>
  <c r="G1109" i="1"/>
  <c r="G1110" i="1"/>
  <c r="G1111" i="1"/>
  <c r="G1112" i="1"/>
  <c r="G1113" i="1"/>
  <c r="G1114" i="1"/>
  <c r="G1115" i="1"/>
  <c r="G1116" i="1"/>
  <c r="G1117" i="1"/>
  <c r="G1118" i="1"/>
  <c r="G1119" i="1"/>
  <c r="G1120" i="1"/>
  <c r="G1121" i="1"/>
  <c r="G1122" i="1"/>
  <c r="G1123" i="1"/>
  <c r="G1124" i="1"/>
  <c r="G1125" i="1"/>
  <c r="G1126" i="1"/>
  <c r="G1127" i="1"/>
  <c r="G1128" i="1"/>
  <c r="G1129" i="1"/>
  <c r="G1130" i="1"/>
  <c r="G1131" i="1"/>
  <c r="G1132" i="1"/>
  <c r="G1133" i="1"/>
  <c r="G1134" i="1"/>
  <c r="G1135" i="1"/>
  <c r="G1136" i="1"/>
  <c r="G1137" i="1"/>
  <c r="G1138" i="1"/>
  <c r="G1139" i="1"/>
  <c r="G1140" i="1"/>
  <c r="G1141" i="1"/>
  <c r="G1142" i="1"/>
  <c r="G1143" i="1"/>
  <c r="G1144" i="1"/>
  <c r="G1145" i="1"/>
  <c r="G1146" i="1"/>
  <c r="G1147" i="1"/>
  <c r="G1148" i="1"/>
  <c r="G1149" i="1"/>
  <c r="G1150" i="1"/>
  <c r="G1151" i="1"/>
  <c r="G1152" i="1"/>
  <c r="G1153" i="1"/>
  <c r="G1154" i="1"/>
  <c r="G1155" i="1"/>
  <c r="G1156" i="1"/>
  <c r="G1157" i="1"/>
  <c r="G1158" i="1"/>
  <c r="G1159" i="1"/>
  <c r="G1160" i="1"/>
  <c r="G1161" i="1"/>
  <c r="G1162" i="1"/>
  <c r="G1163" i="1"/>
  <c r="G1164" i="1"/>
  <c r="G1165" i="1"/>
  <c r="G1166" i="1"/>
  <c r="G1167" i="1"/>
  <c r="G1168" i="1"/>
  <c r="G1169" i="1"/>
  <c r="G1170" i="1"/>
  <c r="G1171" i="1"/>
  <c r="G1172" i="1"/>
  <c r="G1173" i="1"/>
  <c r="G1174" i="1"/>
  <c r="G1175" i="1"/>
  <c r="G1176" i="1"/>
  <c r="G1177" i="1"/>
  <c r="G1178" i="1"/>
  <c r="G1179" i="1"/>
  <c r="G1180" i="1"/>
  <c r="G1181" i="1"/>
  <c r="G1182" i="1"/>
  <c r="G1183" i="1"/>
  <c r="G1184" i="1"/>
  <c r="G1185" i="1"/>
  <c r="G1186" i="1"/>
  <c r="G1187" i="1"/>
  <c r="G1188" i="1"/>
  <c r="G1189" i="1"/>
  <c r="G1190" i="1"/>
  <c r="G1191" i="1"/>
  <c r="G1192" i="1"/>
  <c r="G1193" i="1"/>
  <c r="G1194" i="1"/>
  <c r="G1195" i="1"/>
  <c r="G1196" i="1"/>
  <c r="G1197" i="1"/>
  <c r="G1198" i="1"/>
  <c r="G1199" i="1"/>
  <c r="G1200" i="1"/>
  <c r="G1201" i="1"/>
  <c r="G1202" i="1"/>
  <c r="G1203" i="1"/>
  <c r="G1204" i="1"/>
  <c r="G1205" i="1"/>
  <c r="G1206" i="1"/>
  <c r="G1207" i="1"/>
  <c r="G1208" i="1"/>
  <c r="G1209" i="1"/>
  <c r="G1210" i="1"/>
  <c r="G1211" i="1"/>
  <c r="G1212" i="1"/>
  <c r="G1213" i="1"/>
  <c r="G1214" i="1"/>
  <c r="G1215" i="1"/>
  <c r="G1216" i="1"/>
  <c r="G1217" i="1"/>
  <c r="G1218" i="1"/>
  <c r="G1219" i="1"/>
  <c r="G1220" i="1"/>
  <c r="G1221" i="1"/>
  <c r="G1222" i="1"/>
  <c r="G1223" i="1"/>
  <c r="G1224" i="1"/>
  <c r="G1225" i="1"/>
  <c r="G1226" i="1"/>
  <c r="G1227" i="1"/>
  <c r="G1228" i="1"/>
  <c r="G1229" i="1"/>
  <c r="G1230" i="1"/>
  <c r="G1231" i="1"/>
  <c r="G1232" i="1"/>
  <c r="G1233" i="1"/>
  <c r="G1234" i="1"/>
  <c r="G1235" i="1"/>
  <c r="G1236" i="1"/>
  <c r="G1237" i="1"/>
  <c r="G1238" i="1"/>
  <c r="G1239" i="1"/>
  <c r="G1240" i="1"/>
  <c r="G1241" i="1"/>
  <c r="G1242" i="1"/>
  <c r="G1243" i="1"/>
  <c r="G1244" i="1"/>
  <c r="G1245" i="1"/>
  <c r="G1246" i="1"/>
  <c r="G1247" i="1"/>
  <c r="G1248" i="1"/>
  <c r="G1249" i="1"/>
  <c r="G1250" i="1"/>
  <c r="G1251" i="1"/>
  <c r="G1252" i="1"/>
  <c r="G1253" i="1"/>
  <c r="G1254" i="1"/>
  <c r="G1255" i="1"/>
  <c r="G1256" i="1"/>
  <c r="G1257" i="1"/>
  <c r="G1258" i="1"/>
  <c r="G1259" i="1"/>
  <c r="G1260" i="1"/>
  <c r="G1261" i="1"/>
  <c r="G1262" i="1"/>
  <c r="G1263" i="1"/>
  <c r="G1264" i="1"/>
  <c r="G1265" i="1"/>
  <c r="G1266" i="1"/>
  <c r="G1267" i="1"/>
  <c r="G1268" i="1"/>
  <c r="G1269" i="1"/>
  <c r="G1270" i="1"/>
  <c r="G1271" i="1"/>
  <c r="G1272" i="1"/>
  <c r="G1273" i="1"/>
  <c r="G1274" i="1"/>
  <c r="G1275" i="1"/>
  <c r="G1276" i="1"/>
  <c r="G1277" i="1"/>
  <c r="G1278" i="1"/>
  <c r="G1279" i="1"/>
  <c r="G1280" i="1"/>
  <c r="G1281" i="1"/>
  <c r="G1282" i="1"/>
  <c r="G1283" i="1"/>
  <c r="G1284" i="1"/>
  <c r="G1285" i="1"/>
  <c r="G1286" i="1"/>
  <c r="G1287" i="1"/>
  <c r="G1288" i="1"/>
  <c r="G1289" i="1"/>
  <c r="G1290" i="1"/>
  <c r="G1291" i="1"/>
  <c r="G1292" i="1"/>
  <c r="G1293" i="1"/>
  <c r="G1294" i="1"/>
  <c r="G1295" i="1"/>
  <c r="G1296" i="1"/>
  <c r="G1297" i="1"/>
  <c r="G1298" i="1"/>
  <c r="G1299" i="1"/>
  <c r="G1300" i="1"/>
  <c r="G1301" i="1"/>
  <c r="G1302" i="1"/>
  <c r="G1303" i="1"/>
  <c r="G1304" i="1"/>
  <c r="G1305" i="1"/>
  <c r="G1306" i="1"/>
  <c r="G1307" i="1"/>
  <c r="G1308" i="1"/>
  <c r="G1309" i="1"/>
  <c r="G1310" i="1"/>
  <c r="G1311" i="1"/>
  <c r="G1312" i="1"/>
  <c r="G1313" i="1"/>
  <c r="G1314" i="1"/>
  <c r="G1315" i="1"/>
  <c r="G1316" i="1"/>
  <c r="G1317" i="1"/>
  <c r="G1318" i="1"/>
  <c r="G1319" i="1"/>
  <c r="G1320" i="1"/>
  <c r="G1321" i="1"/>
  <c r="G1322" i="1"/>
  <c r="G1323" i="1"/>
  <c r="G1324" i="1"/>
  <c r="G1325" i="1"/>
  <c r="G1326" i="1"/>
  <c r="G1327" i="1"/>
  <c r="G1328" i="1"/>
  <c r="G1329" i="1"/>
  <c r="G1330" i="1"/>
  <c r="G1331" i="1"/>
  <c r="G1332" i="1"/>
  <c r="G1333" i="1"/>
  <c r="G1334" i="1"/>
  <c r="G1335" i="1"/>
  <c r="G1336" i="1"/>
  <c r="G1337" i="1"/>
  <c r="G1338" i="1"/>
  <c r="G1339" i="1"/>
  <c r="G1340" i="1"/>
  <c r="G1341" i="1"/>
  <c r="G1342" i="1"/>
  <c r="G1343" i="1"/>
  <c r="G1344" i="1"/>
  <c r="G1345" i="1"/>
  <c r="G1346" i="1"/>
  <c r="G1347" i="1"/>
  <c r="G1348" i="1"/>
  <c r="G1349" i="1"/>
  <c r="G1350" i="1"/>
  <c r="G1351" i="1"/>
  <c r="G1352" i="1"/>
  <c r="G1353" i="1"/>
  <c r="G1354" i="1"/>
  <c r="G1355" i="1"/>
  <c r="G1356" i="1"/>
  <c r="G1357" i="1"/>
  <c r="G1358" i="1"/>
  <c r="G1359" i="1"/>
  <c r="G1360" i="1"/>
  <c r="G1361" i="1"/>
  <c r="G1362" i="1"/>
  <c r="G1363" i="1"/>
  <c r="G1364" i="1"/>
  <c r="G1365" i="1"/>
  <c r="G1366" i="1"/>
  <c r="G1367" i="1"/>
  <c r="G1368" i="1"/>
  <c r="G1369" i="1"/>
  <c r="G1370" i="1"/>
  <c r="G1371" i="1"/>
  <c r="G1372" i="1"/>
  <c r="G1373" i="1"/>
  <c r="G1374" i="1"/>
  <c r="G1375" i="1"/>
  <c r="G1376" i="1"/>
  <c r="G1377" i="1"/>
  <c r="G1378" i="1"/>
  <c r="G1379" i="1"/>
  <c r="G1380" i="1"/>
  <c r="G1381" i="1"/>
  <c r="G1382" i="1"/>
  <c r="G1383" i="1"/>
  <c r="G1384" i="1"/>
  <c r="G1385" i="1"/>
  <c r="G1386" i="1"/>
  <c r="G1387" i="1"/>
  <c r="G1388" i="1"/>
  <c r="G1389" i="1"/>
  <c r="G1390" i="1"/>
  <c r="G1391" i="1"/>
  <c r="G1392" i="1"/>
  <c r="G1393" i="1"/>
  <c r="G1394" i="1"/>
  <c r="G1395" i="1"/>
  <c r="G1396" i="1"/>
  <c r="G1397" i="1"/>
  <c r="G1398" i="1"/>
  <c r="G1399" i="1"/>
  <c r="G1400" i="1"/>
  <c r="G1401" i="1"/>
  <c r="G1402" i="1"/>
  <c r="G1403" i="1"/>
  <c r="G1404" i="1"/>
  <c r="G1405" i="1"/>
  <c r="G1406" i="1"/>
  <c r="G1407" i="1"/>
  <c r="G1408" i="1"/>
  <c r="G1409" i="1"/>
  <c r="G1410" i="1"/>
  <c r="G1411" i="1"/>
  <c r="G1412" i="1"/>
  <c r="G1413" i="1"/>
  <c r="G1414" i="1"/>
  <c r="G1415" i="1"/>
  <c r="G1416" i="1"/>
  <c r="G1417" i="1"/>
  <c r="G1418" i="1"/>
  <c r="G1419" i="1"/>
  <c r="G1420" i="1"/>
  <c r="G1421" i="1"/>
  <c r="G1422" i="1"/>
  <c r="G1423" i="1"/>
  <c r="G1424" i="1"/>
  <c r="G1425" i="1"/>
  <c r="G1426" i="1"/>
  <c r="G1427" i="1"/>
  <c r="G1428" i="1"/>
  <c r="G1429" i="1"/>
  <c r="G1430" i="1"/>
  <c r="G1431" i="1"/>
  <c r="G1432" i="1"/>
  <c r="G1433" i="1"/>
  <c r="G1434" i="1"/>
  <c r="G1435" i="1"/>
  <c r="G1436" i="1"/>
  <c r="G1437" i="1"/>
  <c r="G1438" i="1"/>
  <c r="G1439" i="1"/>
  <c r="G1440" i="1"/>
  <c r="G1441" i="1"/>
  <c r="G1442" i="1"/>
  <c r="G1443" i="1"/>
  <c r="G1444" i="1"/>
  <c r="G1445" i="1"/>
  <c r="G1446" i="1"/>
  <c r="G1447" i="1"/>
  <c r="G1448" i="1"/>
  <c r="G1449" i="1"/>
  <c r="G1450" i="1"/>
  <c r="G1451" i="1"/>
  <c r="G1452" i="1"/>
  <c r="G1453" i="1"/>
  <c r="G1454" i="1"/>
  <c r="G1455" i="1"/>
  <c r="G1456" i="1"/>
  <c r="G1457" i="1"/>
  <c r="G1458" i="1"/>
  <c r="G1459" i="1"/>
  <c r="G1460" i="1"/>
  <c r="G1461" i="1"/>
  <c r="G1462" i="1"/>
  <c r="G1463" i="1"/>
  <c r="G1464" i="1"/>
  <c r="G1465" i="1"/>
  <c r="G1466" i="1"/>
  <c r="G1467" i="1"/>
  <c r="G1468" i="1"/>
  <c r="G1469" i="1"/>
  <c r="G1470" i="1"/>
  <c r="G1471" i="1"/>
  <c r="G1472" i="1"/>
  <c r="G1473" i="1"/>
  <c r="G1474" i="1"/>
  <c r="G1475" i="1"/>
  <c r="G1476" i="1"/>
  <c r="G1477" i="1"/>
  <c r="G1478" i="1"/>
  <c r="G1479" i="1"/>
  <c r="G1480" i="1"/>
  <c r="G1481" i="1"/>
  <c r="G1482" i="1"/>
  <c r="G1483" i="1"/>
  <c r="G1484" i="1"/>
  <c r="G1485" i="1"/>
  <c r="G1486" i="1"/>
  <c r="G1487" i="1"/>
  <c r="G1488" i="1"/>
  <c r="G1489" i="1"/>
  <c r="G1490" i="1"/>
  <c r="G1491" i="1"/>
  <c r="G1492" i="1"/>
  <c r="G1493" i="1"/>
  <c r="G1494" i="1"/>
  <c r="G1495" i="1"/>
  <c r="G1496" i="1"/>
  <c r="G1497" i="1"/>
  <c r="G1498" i="1"/>
  <c r="G1499" i="1"/>
  <c r="G1500" i="1"/>
  <c r="G1501" i="1"/>
  <c r="G1502" i="1"/>
  <c r="G1503" i="1"/>
  <c r="G1504" i="1"/>
  <c r="G1505" i="1"/>
  <c r="G1506" i="1"/>
  <c r="G1507" i="1"/>
  <c r="G1508" i="1"/>
  <c r="G1509" i="1"/>
  <c r="G1510" i="1"/>
  <c r="G1511" i="1"/>
  <c r="G1512" i="1"/>
  <c r="G1513" i="1"/>
  <c r="G1514" i="1"/>
  <c r="G1515" i="1"/>
  <c r="G1516" i="1"/>
  <c r="G1517" i="1"/>
  <c r="G1518" i="1"/>
  <c r="G1519" i="1"/>
  <c r="G1520" i="1"/>
  <c r="G1521" i="1"/>
  <c r="G1522" i="1"/>
  <c r="G1523" i="1"/>
  <c r="G1524" i="1"/>
  <c r="G1525" i="1"/>
  <c r="G1526" i="1"/>
  <c r="G1527" i="1"/>
  <c r="G1528" i="1"/>
  <c r="G1529" i="1"/>
  <c r="G1530" i="1"/>
  <c r="G1531" i="1"/>
  <c r="G1532" i="1"/>
  <c r="G1533" i="1"/>
  <c r="G1534" i="1"/>
  <c r="G1535" i="1"/>
  <c r="G1536" i="1"/>
  <c r="G1537" i="1"/>
  <c r="G1538" i="1"/>
  <c r="G1539" i="1"/>
  <c r="G1540" i="1"/>
  <c r="G1541" i="1"/>
  <c r="G1542" i="1"/>
  <c r="G1543" i="1"/>
  <c r="G1544" i="1"/>
  <c r="G1545" i="1"/>
  <c r="G1546" i="1"/>
  <c r="G1547" i="1"/>
  <c r="G1548" i="1"/>
  <c r="G1549" i="1"/>
  <c r="G1550" i="1"/>
  <c r="G1551" i="1"/>
  <c r="G1552" i="1"/>
  <c r="G1553" i="1"/>
  <c r="G1554" i="1"/>
  <c r="G1555" i="1"/>
  <c r="G1556" i="1"/>
  <c r="G1557" i="1"/>
  <c r="G1558" i="1"/>
  <c r="G1559" i="1"/>
  <c r="G1560" i="1"/>
  <c r="G1561" i="1"/>
  <c r="G1562" i="1"/>
  <c r="G1563" i="1"/>
  <c r="G1564" i="1"/>
  <c r="G1565" i="1"/>
  <c r="G1566" i="1"/>
  <c r="G1567" i="1"/>
  <c r="G1568" i="1"/>
  <c r="G1569" i="1"/>
  <c r="G1570" i="1"/>
  <c r="G1571" i="1"/>
  <c r="G1572" i="1"/>
  <c r="G1573" i="1"/>
  <c r="G1574" i="1"/>
  <c r="G1575" i="1"/>
  <c r="G1576" i="1"/>
  <c r="G1577" i="1"/>
  <c r="G1578" i="1"/>
  <c r="G1579" i="1"/>
  <c r="G1580" i="1"/>
  <c r="G1581" i="1"/>
  <c r="G1582" i="1"/>
  <c r="G1583" i="1"/>
  <c r="G1584" i="1"/>
  <c r="G1585" i="1"/>
  <c r="G1586" i="1"/>
  <c r="G1587" i="1"/>
  <c r="G1588" i="1"/>
  <c r="G1589" i="1"/>
  <c r="G1590" i="1"/>
  <c r="G1591" i="1"/>
  <c r="G1592" i="1"/>
  <c r="G1593" i="1"/>
  <c r="G1594" i="1"/>
  <c r="G1595" i="1"/>
  <c r="G1596" i="1"/>
  <c r="G1597" i="1"/>
  <c r="G1598" i="1"/>
  <c r="G1599" i="1"/>
  <c r="G1600" i="1"/>
  <c r="G1601" i="1"/>
  <c r="G1602" i="1"/>
  <c r="G1603" i="1"/>
  <c r="G1604" i="1"/>
  <c r="G1605" i="1"/>
  <c r="G1606" i="1"/>
  <c r="G1607" i="1"/>
  <c r="G1608" i="1"/>
  <c r="G1609" i="1"/>
  <c r="G1610" i="1"/>
  <c r="G1611" i="1"/>
  <c r="G1612" i="1"/>
  <c r="G1613" i="1"/>
  <c r="G1614" i="1"/>
  <c r="G1615" i="1"/>
  <c r="G1616" i="1"/>
  <c r="G1617" i="1"/>
  <c r="G1618" i="1"/>
  <c r="G1619" i="1"/>
  <c r="G1620" i="1"/>
  <c r="G1621" i="1"/>
  <c r="G1622" i="1"/>
  <c r="G1623" i="1"/>
  <c r="G1624" i="1"/>
  <c r="G1625" i="1"/>
  <c r="G1626" i="1"/>
  <c r="G1627" i="1"/>
  <c r="G1628" i="1"/>
  <c r="G1629" i="1"/>
  <c r="G1630" i="1"/>
  <c r="G1631" i="1"/>
  <c r="G1632" i="1"/>
  <c r="G1633" i="1"/>
  <c r="G1634" i="1"/>
  <c r="G1635" i="1"/>
  <c r="G1636" i="1"/>
  <c r="G1637" i="1"/>
  <c r="G1638" i="1"/>
  <c r="G1639" i="1"/>
  <c r="G1640" i="1"/>
  <c r="G1641" i="1"/>
  <c r="G1642" i="1"/>
  <c r="G1643" i="1"/>
  <c r="G1644" i="1"/>
  <c r="G1645" i="1"/>
  <c r="G1646" i="1"/>
  <c r="G1647" i="1"/>
  <c r="G1648" i="1"/>
  <c r="G1649" i="1"/>
  <c r="G1650" i="1"/>
  <c r="G1651" i="1"/>
  <c r="G1652" i="1"/>
  <c r="G1653" i="1"/>
  <c r="G1654" i="1"/>
  <c r="G1655" i="1"/>
  <c r="G1656" i="1"/>
  <c r="G1657" i="1"/>
  <c r="G1658" i="1"/>
  <c r="G1659" i="1"/>
  <c r="G1660" i="1"/>
  <c r="G1661" i="1"/>
  <c r="G1662" i="1"/>
  <c r="G1663" i="1"/>
  <c r="G1664" i="1"/>
  <c r="G1665" i="1"/>
  <c r="G1666" i="1"/>
  <c r="G1667" i="1"/>
  <c r="G1668" i="1"/>
  <c r="G1669" i="1"/>
  <c r="G1670" i="1"/>
  <c r="G1671" i="1"/>
  <c r="G1672" i="1"/>
  <c r="G1673" i="1"/>
  <c r="G1674" i="1"/>
  <c r="G1675" i="1"/>
  <c r="G1676" i="1"/>
  <c r="G1677" i="1"/>
  <c r="G1678" i="1"/>
  <c r="G1679" i="1"/>
  <c r="G1680" i="1"/>
  <c r="G1681" i="1"/>
  <c r="G1682" i="1"/>
  <c r="G1683" i="1"/>
  <c r="G1684" i="1"/>
  <c r="G1685" i="1"/>
  <c r="G1686" i="1"/>
  <c r="G1687" i="1"/>
  <c r="G1688" i="1"/>
  <c r="G1689" i="1"/>
  <c r="G1690" i="1"/>
  <c r="G1691" i="1"/>
  <c r="G1692" i="1"/>
  <c r="G1693" i="1"/>
  <c r="G1694" i="1"/>
  <c r="G1695" i="1"/>
  <c r="G1696" i="1"/>
  <c r="G1697" i="1"/>
  <c r="G1698" i="1"/>
  <c r="G1699" i="1"/>
  <c r="G1700" i="1"/>
  <c r="G1701" i="1"/>
  <c r="G1702" i="1"/>
  <c r="G1703" i="1"/>
  <c r="G1704" i="1"/>
  <c r="G1705" i="1"/>
  <c r="G1706" i="1"/>
  <c r="G1707" i="1"/>
  <c r="G1708" i="1"/>
  <c r="G1709" i="1"/>
  <c r="G1710" i="1"/>
  <c r="G1711" i="1"/>
  <c r="G1712" i="1"/>
  <c r="G1713" i="1"/>
  <c r="G1714" i="1"/>
  <c r="G1715" i="1"/>
  <c r="G1716" i="1"/>
  <c r="G1717" i="1"/>
  <c r="G1718" i="1"/>
  <c r="G1719" i="1"/>
  <c r="G1720" i="1"/>
  <c r="G1721" i="1"/>
  <c r="G1722" i="1"/>
  <c r="G1723" i="1"/>
  <c r="G1724" i="1"/>
  <c r="G1725" i="1"/>
  <c r="G1726" i="1"/>
  <c r="G1727" i="1"/>
  <c r="G1728" i="1"/>
  <c r="G1729" i="1"/>
  <c r="G1730" i="1"/>
  <c r="G1731" i="1"/>
  <c r="G1732" i="1"/>
  <c r="G1733" i="1"/>
  <c r="G1734" i="1"/>
  <c r="G1735" i="1"/>
  <c r="G1736" i="1"/>
  <c r="G1737" i="1"/>
  <c r="G1738" i="1"/>
  <c r="G1739" i="1"/>
  <c r="G1740" i="1"/>
  <c r="G1741" i="1"/>
  <c r="G1742" i="1"/>
  <c r="G1743" i="1"/>
  <c r="G1744" i="1"/>
  <c r="G1745" i="1"/>
  <c r="G1746" i="1"/>
  <c r="G1747" i="1"/>
  <c r="G1748" i="1"/>
  <c r="G1749" i="1"/>
  <c r="G1750" i="1"/>
  <c r="G1751" i="1"/>
  <c r="G1752" i="1"/>
  <c r="G1753" i="1"/>
  <c r="G1754" i="1"/>
  <c r="G1755" i="1"/>
  <c r="G1756" i="1"/>
  <c r="G1757" i="1"/>
  <c r="G1758" i="1"/>
  <c r="G1759" i="1"/>
  <c r="G1760" i="1"/>
  <c r="G1761" i="1"/>
  <c r="G1762" i="1"/>
  <c r="G1763" i="1"/>
  <c r="G1764" i="1"/>
  <c r="G1765" i="1"/>
  <c r="G1766" i="1"/>
  <c r="G1767" i="1"/>
  <c r="G1768" i="1"/>
  <c r="G1769" i="1"/>
  <c r="G1770" i="1"/>
  <c r="G1771" i="1"/>
  <c r="G1772" i="1"/>
  <c r="G1773" i="1"/>
  <c r="G1774" i="1"/>
  <c r="G1775" i="1"/>
  <c r="G1776" i="1"/>
  <c r="G1777" i="1"/>
  <c r="G1778" i="1"/>
  <c r="G1779" i="1"/>
  <c r="G1780" i="1"/>
  <c r="G1781" i="1"/>
  <c r="G1782" i="1"/>
  <c r="G1783" i="1"/>
  <c r="G1784" i="1"/>
  <c r="G1785" i="1"/>
  <c r="G1786" i="1"/>
  <c r="G1787" i="1"/>
  <c r="G1788" i="1"/>
  <c r="G1789" i="1"/>
  <c r="G1790" i="1"/>
  <c r="G1791" i="1"/>
  <c r="G1792" i="1"/>
  <c r="G1793" i="1"/>
  <c r="G1794" i="1"/>
  <c r="G1795" i="1"/>
  <c r="G1796" i="1"/>
  <c r="G1797" i="1"/>
  <c r="G1798" i="1"/>
  <c r="G1799" i="1"/>
  <c r="G1800" i="1"/>
  <c r="G1801" i="1"/>
  <c r="G1802" i="1"/>
  <c r="G1803" i="1"/>
  <c r="G1804" i="1"/>
  <c r="G1805" i="1"/>
  <c r="G1806" i="1"/>
  <c r="G1807" i="1"/>
  <c r="G1808" i="1"/>
  <c r="G1809" i="1"/>
  <c r="G1810" i="1"/>
  <c r="G1811" i="1"/>
  <c r="G1812" i="1"/>
  <c r="G1813" i="1"/>
  <c r="G1814" i="1"/>
  <c r="G1815" i="1"/>
  <c r="G1816" i="1"/>
  <c r="G1817" i="1"/>
  <c r="G1818" i="1"/>
  <c r="G1819" i="1"/>
  <c r="G1820" i="1"/>
  <c r="G1821" i="1"/>
  <c r="G1822" i="1"/>
  <c r="G1823" i="1"/>
  <c r="G1824" i="1"/>
  <c r="G1825" i="1"/>
  <c r="G1826" i="1"/>
  <c r="G1827" i="1"/>
  <c r="G1828" i="1"/>
  <c r="G1829" i="1"/>
  <c r="G1830" i="1"/>
  <c r="G1831" i="1"/>
  <c r="G1832" i="1"/>
  <c r="G1833" i="1"/>
  <c r="G1834" i="1"/>
  <c r="G1835" i="1"/>
  <c r="G1836" i="1"/>
  <c r="G1837" i="1"/>
  <c r="G1838" i="1"/>
  <c r="G1839" i="1"/>
  <c r="G1840" i="1"/>
  <c r="G1841" i="1"/>
  <c r="G1842" i="1"/>
  <c r="G1843" i="1"/>
  <c r="G1844" i="1"/>
  <c r="G1845" i="1"/>
  <c r="G1846" i="1"/>
  <c r="G1847" i="1"/>
  <c r="G1848" i="1"/>
  <c r="G1849" i="1"/>
  <c r="G1850" i="1"/>
  <c r="G1851" i="1"/>
  <c r="G1852" i="1"/>
  <c r="G1853" i="1"/>
  <c r="G1854" i="1"/>
  <c r="G1855" i="1"/>
  <c r="G1856" i="1"/>
  <c r="G1857" i="1"/>
  <c r="G1858" i="1"/>
  <c r="G1859" i="1"/>
  <c r="G1860" i="1"/>
  <c r="G1861" i="1"/>
  <c r="G1862" i="1"/>
  <c r="G1863" i="1"/>
  <c r="G1864" i="1"/>
  <c r="G1865" i="1"/>
  <c r="G1866" i="1"/>
  <c r="G1867" i="1"/>
  <c r="G1868" i="1"/>
  <c r="G1869" i="1"/>
  <c r="G1870" i="1"/>
  <c r="G1871" i="1"/>
  <c r="G1872" i="1"/>
  <c r="G1873" i="1"/>
  <c r="G1874" i="1"/>
  <c r="G1875" i="1"/>
  <c r="G1876" i="1"/>
  <c r="G1877" i="1"/>
  <c r="G1878" i="1"/>
  <c r="G1879" i="1"/>
  <c r="G1880" i="1"/>
  <c r="G1881" i="1"/>
  <c r="G1882" i="1"/>
  <c r="G1883" i="1"/>
  <c r="G1884" i="1"/>
  <c r="G1885" i="1"/>
  <c r="G1886" i="1"/>
  <c r="G1887" i="1"/>
  <c r="G1888" i="1"/>
  <c r="G1889" i="1"/>
  <c r="G1890" i="1"/>
  <c r="G1891" i="1"/>
  <c r="G1892" i="1"/>
  <c r="G1893" i="1"/>
  <c r="G1894" i="1"/>
  <c r="G1895" i="1"/>
  <c r="G1896" i="1"/>
  <c r="G1897" i="1"/>
  <c r="G1898" i="1"/>
  <c r="G1899" i="1"/>
  <c r="G1900" i="1"/>
  <c r="G1901" i="1"/>
  <c r="G1902" i="1"/>
  <c r="G1903" i="1"/>
  <c r="G1904" i="1"/>
  <c r="G1905" i="1"/>
  <c r="G1906" i="1"/>
  <c r="G1907" i="1"/>
  <c r="G1908" i="1"/>
  <c r="G1909" i="1"/>
  <c r="G1910" i="1"/>
  <c r="G1911" i="1"/>
  <c r="G1912" i="1"/>
  <c r="G1913" i="1"/>
  <c r="G1914" i="1"/>
  <c r="G1915" i="1"/>
  <c r="G1916" i="1"/>
  <c r="G1917" i="1"/>
  <c r="G1918" i="1"/>
  <c r="G1919" i="1"/>
  <c r="G1920" i="1"/>
  <c r="G1921" i="1"/>
  <c r="G1922" i="1"/>
  <c r="G1923" i="1"/>
  <c r="G1924" i="1"/>
  <c r="G1925" i="1"/>
  <c r="G1926" i="1"/>
  <c r="G1927" i="1"/>
  <c r="G1928" i="1"/>
  <c r="G1929" i="1"/>
  <c r="G1930" i="1"/>
  <c r="G1931" i="1"/>
  <c r="G1932" i="1"/>
  <c r="G1933" i="1"/>
  <c r="G1934" i="1"/>
  <c r="G1935" i="1"/>
  <c r="G1936" i="1"/>
  <c r="G1937" i="1"/>
  <c r="G1938" i="1"/>
  <c r="G1939" i="1"/>
  <c r="G1940" i="1"/>
  <c r="G1941" i="1"/>
  <c r="G1942" i="1"/>
  <c r="G1943" i="1"/>
  <c r="G1944" i="1"/>
  <c r="G1945" i="1"/>
  <c r="G1946" i="1"/>
  <c r="G1947" i="1"/>
  <c r="G1948" i="1"/>
  <c r="G1949" i="1"/>
  <c r="G1950" i="1"/>
  <c r="G1951" i="1"/>
  <c r="G1952" i="1"/>
  <c r="G1953" i="1"/>
  <c r="G1954" i="1"/>
  <c r="G1955" i="1"/>
  <c r="G1956" i="1"/>
  <c r="G1957" i="1"/>
  <c r="G1958" i="1"/>
  <c r="G1959" i="1"/>
  <c r="G1960" i="1"/>
  <c r="G1961" i="1"/>
  <c r="G1962" i="1"/>
  <c r="G1963" i="1"/>
  <c r="G1964" i="1"/>
  <c r="G1965" i="1"/>
  <c r="G1966" i="1"/>
  <c r="G1967" i="1"/>
  <c r="G1968" i="1"/>
  <c r="G1969" i="1"/>
  <c r="G1970" i="1"/>
  <c r="G1971" i="1"/>
  <c r="G1972" i="1"/>
  <c r="G1973" i="1"/>
  <c r="G1974" i="1"/>
  <c r="G1975" i="1"/>
  <c r="G1976" i="1"/>
  <c r="G1977" i="1"/>
  <c r="G1978" i="1"/>
  <c r="G1979" i="1"/>
  <c r="G1980" i="1"/>
  <c r="G1981" i="1"/>
  <c r="G1982" i="1"/>
  <c r="G1983" i="1"/>
  <c r="G1984" i="1"/>
  <c r="G1985" i="1"/>
  <c r="G1986" i="1"/>
  <c r="G1987" i="1"/>
  <c r="G1988" i="1"/>
  <c r="G1989" i="1"/>
  <c r="G1990" i="1"/>
  <c r="G1991" i="1"/>
  <c r="G1992" i="1"/>
  <c r="G1993" i="1"/>
  <c r="G1994" i="1"/>
  <c r="G1995" i="1"/>
  <c r="G1996" i="1"/>
  <c r="G1997" i="1"/>
  <c r="G1998" i="1"/>
  <c r="G1999" i="1"/>
  <c r="G2000" i="1"/>
  <c r="G2001" i="1"/>
  <c r="G2002" i="1"/>
  <c r="G2003" i="1"/>
  <c r="G2004" i="1"/>
  <c r="G2005" i="1"/>
  <c r="G2006" i="1"/>
  <c r="G2007" i="1"/>
  <c r="G2008" i="1"/>
  <c r="G2009" i="1"/>
  <c r="G2010" i="1"/>
  <c r="G2011" i="1"/>
  <c r="G2012" i="1"/>
  <c r="G2013" i="1"/>
  <c r="G2014" i="1"/>
  <c r="G2015" i="1"/>
  <c r="G2016" i="1"/>
  <c r="G2017" i="1"/>
  <c r="G2018" i="1"/>
  <c r="G2019" i="1"/>
  <c r="G2020" i="1"/>
  <c r="G2021" i="1"/>
  <c r="G2022" i="1"/>
  <c r="G2023" i="1"/>
  <c r="G2024" i="1"/>
  <c r="G2025" i="1"/>
  <c r="G2026" i="1"/>
  <c r="G2027" i="1"/>
  <c r="G2028" i="1"/>
  <c r="G2029" i="1"/>
  <c r="G2030" i="1"/>
  <c r="G2031" i="1"/>
  <c r="G2032" i="1"/>
  <c r="G2033" i="1"/>
  <c r="G2034" i="1"/>
  <c r="G2035" i="1"/>
  <c r="G2036" i="1"/>
  <c r="G2037" i="1"/>
  <c r="G2038" i="1"/>
  <c r="G2039" i="1"/>
  <c r="G2040" i="1"/>
  <c r="G2041" i="1"/>
  <c r="G2042" i="1"/>
  <c r="G2043" i="1"/>
  <c r="G2044" i="1"/>
  <c r="G2045" i="1"/>
  <c r="G2046" i="1"/>
  <c r="G2047" i="1"/>
  <c r="G2048" i="1"/>
  <c r="G2049" i="1"/>
  <c r="G2050" i="1"/>
  <c r="G2051" i="1"/>
  <c r="G2052" i="1"/>
  <c r="G2053" i="1"/>
  <c r="G2054" i="1"/>
  <c r="G2055" i="1"/>
  <c r="G2056" i="1"/>
</calcChain>
</file>

<file path=xl/sharedStrings.xml><?xml version="1.0" encoding="utf-8"?>
<sst xmlns="http://schemas.openxmlformats.org/spreadsheetml/2006/main" count="6342" uniqueCount="77">
  <si>
    <t>ID</t>
  </si>
  <si>
    <t>Year_Birth</t>
  </si>
  <si>
    <t>Age</t>
  </si>
  <si>
    <t>Education</t>
  </si>
  <si>
    <t>Marital_Status</t>
  </si>
  <si>
    <t>Income</t>
  </si>
  <si>
    <t>Kidhome</t>
  </si>
  <si>
    <t>Teenhome</t>
  </si>
  <si>
    <t>Totalchildren</t>
  </si>
  <si>
    <t>Dt_Customer</t>
  </si>
  <si>
    <t>Recency</t>
  </si>
  <si>
    <t>Complain</t>
  </si>
  <si>
    <t>MntWines</t>
  </si>
  <si>
    <t>MntFruits</t>
  </si>
  <si>
    <t>MntMeatProducts</t>
  </si>
  <si>
    <t>MntFishProducts</t>
  </si>
  <si>
    <t>MntSweetProducts</t>
  </si>
  <si>
    <t>MntGoldProds</t>
  </si>
  <si>
    <t>Total</t>
  </si>
  <si>
    <t>NumDealsPurchases</t>
  </si>
  <si>
    <t>NumWebPurchases</t>
  </si>
  <si>
    <t>NumCatalogPurchases</t>
  </si>
  <si>
    <t>NumStorePurchases</t>
  </si>
  <si>
    <t>TotalPurchases</t>
  </si>
  <si>
    <t>NumWebVisitsMonth</t>
  </si>
  <si>
    <t>80+</t>
  </si>
  <si>
    <t>Graduation</t>
  </si>
  <si>
    <t>Single</t>
  </si>
  <si>
    <t>51-60</t>
  </si>
  <si>
    <t>Together</t>
  </si>
  <si>
    <t>0-40</t>
  </si>
  <si>
    <t>41-50</t>
  </si>
  <si>
    <t>PhD</t>
  </si>
  <si>
    <t>Married</t>
  </si>
  <si>
    <t>Master</t>
  </si>
  <si>
    <t>Divorced</t>
  </si>
  <si>
    <t>71-80</t>
  </si>
  <si>
    <t>Basic</t>
  </si>
  <si>
    <t>Widow</t>
  </si>
  <si>
    <t>61-70</t>
  </si>
  <si>
    <t>Row Labels</t>
  </si>
  <si>
    <t>Grand Total</t>
  </si>
  <si>
    <t>Average of MntWines</t>
  </si>
  <si>
    <t>Average of MntFruits</t>
  </si>
  <si>
    <t>Average of MntGoldProds</t>
  </si>
  <si>
    <t>Average of MntSweetProducts</t>
  </si>
  <si>
    <t>Average of MntFishProducts</t>
  </si>
  <si>
    <t>Average of MntMeatProducts</t>
  </si>
  <si>
    <t>Average of NumStorePurchases</t>
  </si>
  <si>
    <t>Average of NumCatalogPurchases</t>
  </si>
  <si>
    <t>Average of NumWebPurchases</t>
  </si>
  <si>
    <t xml:space="preserve"> </t>
  </si>
  <si>
    <t>Average of Total</t>
  </si>
  <si>
    <t>Average of TotalPurchases</t>
  </si>
  <si>
    <t>Average of NumWebVisitsMonth</t>
  </si>
  <si>
    <t>Count of Age</t>
  </si>
  <si>
    <t>Average of Income</t>
  </si>
  <si>
    <t>Customer type</t>
  </si>
  <si>
    <t>Activity</t>
  </si>
  <si>
    <t>Above average customer</t>
  </si>
  <si>
    <t>Below average customer</t>
  </si>
  <si>
    <t>Count of Customer type</t>
  </si>
  <si>
    <t>Active</t>
  </si>
  <si>
    <t>Inactive</t>
  </si>
  <si>
    <t>Sum of Complain</t>
  </si>
  <si>
    <t>Sum of NumDealsPurchases</t>
  </si>
  <si>
    <t>Count of Education</t>
  </si>
  <si>
    <t>Count of Totalchildren</t>
  </si>
  <si>
    <t>High</t>
  </si>
  <si>
    <t>Low</t>
  </si>
  <si>
    <t>Mid-high</t>
  </si>
  <si>
    <t>Mid-low</t>
  </si>
  <si>
    <t>Income bracket</t>
  </si>
  <si>
    <t>CUSTOMER INFO DASHBOARD</t>
  </si>
  <si>
    <t>PURCHASES INFO DASHBOARD</t>
  </si>
  <si>
    <t>CUSTOMER INCOME ANALYSIS</t>
  </si>
  <si>
    <t>Masters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</si>
</sst>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_-[$$-409]* #,##0.00_ ;_-[$$-409]* \-#,##0.00\ ;_-[$$-409]* &quot;-&quot;??_ ;_-@_ "/>
  </numFmts>
  <fonts count="19"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48"/>
      <color theme="1"/>
      <name val="Calibri"/>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4">
    <xf numFmtId="0" fontId="0" fillId="0" borderId="0" xfId="0"/>
    <xf numFmtId="14" fontId="0" fillId="0" borderId="0" xfId="0" applyNumberFormat="1"/>
    <xf numFmtId="0" fontId="0" fillId="33" borderId="0" xfId="0" applyFill="1"/>
    <xf numFmtId="0" fontId="0" fillId="0" borderId="0" xfId="0" pivotButton="1"/>
    <xf numFmtId="0" fontId="0" fillId="0" borderId="0" xfId="0" applyAlignment="1">
      <alignment horizontal="left"/>
    </xf>
    <xf numFmtId="2" fontId="0" fillId="0" borderId="0" xfId="0" pivotButton="1" applyNumberFormat="1"/>
    <xf numFmtId="2" fontId="0" fillId="0" borderId="0" xfId="0" applyNumberFormat="1"/>
    <xf numFmtId="2" fontId="0" fillId="0" borderId="0" xfId="0" applyNumberFormat="1" applyAlignment="1">
      <alignment horizontal="left"/>
    </xf>
    <xf numFmtId="1" fontId="0" fillId="0" borderId="0" xfId="0" applyNumberFormat="1"/>
    <xf numFmtId="164" fontId="0" fillId="0" borderId="0" xfId="0" applyNumberFormat="1"/>
    <xf numFmtId="1" fontId="0" fillId="0" borderId="0" xfId="0" applyNumberFormat="1" applyAlignment="1">
      <alignment horizontal="left"/>
    </xf>
    <xf numFmtId="0" fontId="18" fillId="0" borderId="0" xfId="0" applyFont="1" applyAlignment="1">
      <alignment horizontal="center"/>
    </xf>
    <xf numFmtId="0" fontId="0" fillId="0" borderId="0" xfId="0" applyAlignment="1">
      <alignment horizontal="center"/>
    </xf>
    <xf numFmtId="0"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37">
    <dxf>
      <numFmt numFmtId="2" formatCode="0.00"/>
    </dxf>
    <dxf>
      <numFmt numFmtId="1" formatCode="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64" formatCode="_-[$$-409]* #,##0.00_ ;_-[$$-409]* \-#,##0.00\ ;_-[$$-409]* &quot;-&quot;??_ ;_-@_ "/>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64" formatCode="_-[$$-409]* #,##0.00_ ;_-[$$-409]* \-#,##0.00\ ;_-[$$-409]* &quot;-&quot;??_ ;_-@_ "/>
    </dxf>
    <dxf>
      <numFmt numFmtId="1" formatCode="0"/>
    </dxf>
    <dxf>
      <numFmt numFmtId="2" formatCode="0.00"/>
    </dxf>
    <dxf>
      <numFmt numFmtId="2" formatCode="0.00"/>
    </dxf>
    <dxf>
      <numFmt numFmtId="2" formatCode="0.00"/>
    </dxf>
    <dxf>
      <numFmt numFmtId="2" formatCode="0.00"/>
    </dxf>
    <dxf>
      <numFmt numFmtId="2" formatCode="0.00"/>
    </dxf>
    <dxf>
      <font>
        <sz val="11"/>
        <color theme="0"/>
      </font>
      <fill>
        <patternFill patternType="solid">
          <bgColor rgb="FFFF6600"/>
        </patternFill>
      </fill>
      <border>
        <vertical/>
        <horizontal/>
      </border>
    </dxf>
    <dxf>
      <font>
        <color theme="1"/>
      </font>
      <border>
        <left style="thin">
          <color theme="7"/>
        </left>
        <right style="thin">
          <color theme="7"/>
        </right>
        <top style="thin">
          <color theme="7"/>
        </top>
        <bottom style="thin">
          <color theme="7"/>
        </bottom>
        <vertical/>
        <horizontal/>
      </border>
    </dxf>
    <dxf>
      <font>
        <color theme="0"/>
      </font>
      <fill>
        <patternFill patternType="darkGray">
          <fgColor theme="5" tint="-0.24994659260841701"/>
          <bgColor rgb="FFFF9966"/>
        </patternFill>
      </fill>
      <border>
        <bottom style="thin">
          <color theme="5"/>
        </bottom>
        <vertical/>
        <horizontal/>
      </border>
    </dxf>
    <dxf>
      <font>
        <b/>
        <color theme="1"/>
      </font>
      <fill>
        <patternFill patternType="darkGray">
          <fgColor theme="5" tint="0.59996337778862885"/>
        </patternFill>
      </fill>
      <border>
        <bottom style="thin">
          <color theme="5"/>
        </bottom>
        <vertical/>
        <horizontal/>
      </border>
    </dxf>
    <dxf>
      <font>
        <color theme="1"/>
      </font>
      <fill>
        <gradientFill degree="90">
          <stop position="0">
            <color theme="5" tint="0.80001220740379042"/>
          </stop>
          <stop position="1">
            <color theme="5" tint="0.40000610370189521"/>
          </stop>
        </gradientFill>
      </fill>
      <border>
        <vertical/>
        <horizontal/>
      </border>
    </dxf>
  </dxfs>
  <tableStyles count="3" defaultTableStyle="TableStyleMedium2" defaultPivotStyle="PivotStyleLight16">
    <tableStyle name="Orange Custom1" pivot="0" table="0" count="10" xr9:uid="{CF708BB2-6DD3-4757-826C-FE6737154219}">
      <tableStyleElement type="wholeTable" dxfId="36"/>
      <tableStyleElement type="headerRow" dxfId="35"/>
    </tableStyle>
    <tableStyle name="Orange dark Custom1" pivot="0" table="0" count="9" xr9:uid="{9266C92D-D95C-4C4B-800A-5AD940BA56EE}">
      <tableStyleElement type="headerRow" dxfId="34"/>
    </tableStyle>
    <tableStyle name="Orange timeline Custom1" pivot="0" table="0" count="9" xr9:uid="{81E39BBB-A7C7-41B9-B71C-1E7759A2D73E}">
      <tableStyleElement type="wholeTable" dxfId="33"/>
      <tableStyleElement type="headerRow" dxfId="32"/>
    </tableStyle>
  </tableStyles>
  <colors>
    <mruColors>
      <color rgb="FFFF6600"/>
      <color rgb="FFFF9966"/>
    </mruColors>
  </color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5" tint="-0.249977111117893"/>
          </font>
          <fill>
            <patternFill patternType="solid">
              <fgColor theme="5" tint="0.59999389629810485"/>
              <bgColor theme="5" tint="0.59999389629810485"/>
            </patternFill>
          </fill>
          <border>
            <left style="thin">
              <color theme="5" tint="0.59999389629810485"/>
            </left>
            <right style="thin">
              <color theme="5" tint="0.59999389629810485"/>
            </right>
            <top style="thin">
              <color theme="5" tint="0.59999389629810485"/>
            </top>
            <bottom style="thin">
              <color theme="5" tint="0.59999389629810485"/>
            </bottom>
            <vertical/>
            <horizontal/>
          </border>
        </dxf>
        <dxf>
          <font>
            <color theme="0"/>
          </font>
          <fill>
            <patternFill patternType="solid">
              <fgColor theme="5"/>
              <bgColor theme="5"/>
            </patternFill>
          </fill>
          <border>
            <left style="thin">
              <color theme="5"/>
            </left>
            <right style="thin">
              <color theme="5"/>
            </right>
            <top style="thin">
              <color theme="5"/>
            </top>
            <bottom style="thin">
              <color theme="5"/>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5" tint="0.79998168889431442"/>
              <bgColor theme="5"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darkGray">
              <fgColor theme="5" tint="0.59999389629810485"/>
              <bgColor theme="5"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0"/>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Orange Custom1">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Orange dark Custom1">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7" tint="0.39997558519241921"/>
              <bgColor theme="7" tint="0.39997558519241921"/>
            </patternFill>
          </fill>
          <border>
            <vertical/>
            <horizontal/>
          </border>
        </dxf>
        <dxf>
          <fill>
            <gradientFill degree="90">
              <stop position="0">
                <color theme="0" tint="-0.249977111117893"/>
              </stop>
              <stop position="1">
                <color theme="0" tint="-0.249977111117893"/>
              </stop>
            </gradientFill>
          </fill>
          <border>
            <vertical/>
            <horizontal/>
          </border>
        </dxf>
        <dxf>
          <fill>
            <gradientFill degree="90">
              <stop position="0">
                <color theme="7"/>
              </stop>
              <stop position="1">
                <color theme="7" tint="-0.499984740745262"/>
              </stop>
            </gradient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7"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Orange timeline Custom1">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8" Type="http://schemas.microsoft.com/office/2011/relationships/timelineCache" Target="timelineCaches/timelineCache1.xml"/><Relationship Id="rId13"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haredStrings" Target="sharedStrings.xml"/><Relationship Id="rId5" Type="http://schemas.openxmlformats.org/officeDocument/2006/relationships/pivotCacheDefinition" Target="pivotCache/pivotCacheDefinition1.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2.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3.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4.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5.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6.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7.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8.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9.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[ibam_dashboard.xlsm]Tables!Count of customer type</c:name>
    <c:fmtId val="2"/>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sz="1800" b="1" i="0" baseline="0">
                <a:effectLst/>
              </a:rPr>
              <a:t>Customer Behaviour: Below or Above Average?</a:t>
            </a:r>
            <a:endParaRPr lang="en-IN">
              <a:effectLst/>
            </a:endParaRP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spPr>
          <a:solidFill>
            <a:schemeClr val="accent2"/>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5"/>
        <c:spPr>
          <a:solidFill>
            <a:schemeClr val="accent2">
              <a:shade val="76000"/>
            </a:schemeClr>
          </a:solidFill>
          <a:ln>
            <a:noFill/>
          </a:ln>
          <a:effectLst>
            <a:outerShdw blurRad="254000" sx="102000" sy="102000" algn="ctr" rotWithShape="0">
              <a:prstClr val="black">
                <a:alpha val="20000"/>
              </a:prstClr>
            </a:outerShdw>
          </a:effectLst>
        </c:spPr>
        <c:dLbl>
          <c:idx val="0"/>
          <c:layout>
            <c:manualLayout>
              <c:x val="0.12412695744302364"/>
              <c:y val="0.2924748843501682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6"/>
        <c:spPr>
          <a:solidFill>
            <a:schemeClr val="accent2">
              <a:tint val="77000"/>
            </a:schemeClr>
          </a:solidFill>
          <a:ln>
            <a:noFill/>
          </a:ln>
          <a:effectLst>
            <a:outerShdw blurRad="254000" sx="102000" sy="102000" algn="ctr" rotWithShape="0">
              <a:prstClr val="black">
                <a:alpha val="20000"/>
              </a:prstClr>
            </a:outerShdw>
          </a:effectLst>
        </c:spPr>
        <c:dLbl>
          <c:idx val="0"/>
          <c:layout>
            <c:manualLayout>
              <c:x val="-0.1347664109381401"/>
              <c:y val="-4.3560089158535695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s>
    <c:plotArea>
      <c:layout/>
      <c:pieChart>
        <c:varyColors val="1"/>
        <c:ser>
          <c:idx val="0"/>
          <c:order val="0"/>
          <c:tx>
            <c:strRef>
              <c:f>Tables!$G$3</c:f>
              <c:strCache>
                <c:ptCount val="1"/>
                <c:pt idx="0">
                  <c:v>Total</c:v>
                </c:pt>
              </c:strCache>
            </c:strRef>
          </c:tx>
          <c:dPt>
            <c:idx val="0"/>
            <c:bubble3D val="0"/>
            <c:spPr>
              <a:solidFill>
                <a:schemeClr val="accent2">
                  <a:shade val="76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2ABF-4821-B426-F0275B159EF7}"/>
              </c:ext>
            </c:extLst>
          </c:dPt>
          <c:dPt>
            <c:idx val="1"/>
            <c:bubble3D val="0"/>
            <c:spPr>
              <a:solidFill>
                <a:schemeClr val="accent2">
                  <a:tint val="77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2ABF-4821-B426-F0275B159EF7}"/>
              </c:ext>
            </c:extLst>
          </c:dPt>
          <c:dLbls>
            <c:dLbl>
              <c:idx val="0"/>
              <c:layout>
                <c:manualLayout>
                  <c:x val="0.12412695744302364"/>
                  <c:y val="0.2924748843501682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ABF-4821-B426-F0275B159EF7}"/>
                </c:ext>
              </c:extLst>
            </c:dLbl>
            <c:dLbl>
              <c:idx val="1"/>
              <c:layout>
                <c:manualLayout>
                  <c:x val="-0.1347664109381401"/>
                  <c:y val="-4.3560089158535695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2ABF-4821-B426-F0275B159EF7}"/>
                </c:ext>
              </c:extLst>
            </c:dLbl>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outEnd"/>
            <c:showLegendKey val="0"/>
            <c:showVal val="0"/>
            <c:showCatName val="1"/>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Tables!$F$4:$F$6</c:f>
              <c:strCache>
                <c:ptCount val="2"/>
                <c:pt idx="0">
                  <c:v>Above average customer</c:v>
                </c:pt>
                <c:pt idx="1">
                  <c:v>Below average customer</c:v>
                </c:pt>
              </c:strCache>
            </c:strRef>
          </c:cat>
          <c:val>
            <c:numRef>
              <c:f>Tables!$G$4:$G$6</c:f>
              <c:numCache>
                <c:formatCode>General</c:formatCode>
                <c:ptCount val="2"/>
                <c:pt idx="0">
                  <c:v>365</c:v>
                </c:pt>
                <c:pt idx="1">
                  <c:v>1690</c:v>
                </c:pt>
              </c:numCache>
            </c:numRef>
          </c:val>
          <c:extLst>
            <c:ext xmlns:c16="http://schemas.microsoft.com/office/drawing/2014/chart" uri="{C3380CC4-5D6E-409C-BE32-E72D297353CC}">
              <c16:uniqueId val="{00000004-2ABF-4821-B426-F0275B159EF7}"/>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[ibam_dashboard.xlsm]Tables!Customers count by age</c:name>
    <c:fmtId val="2"/>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Customer Age</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pivotFmt>
      <c:pivotFmt>
        <c:idx val="7"/>
      </c:pivotFmt>
      <c:pivotFmt>
        <c:idx val="8"/>
        <c:spPr>
          <a:solidFill>
            <a:schemeClr val="accent2"/>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2"/>
          </a:solidFill>
          <a:ln>
            <a:noFill/>
          </a:ln>
          <a:effectLst>
            <a:outerShdw blurRad="254000" sx="102000" sy="102000" algn="ctr" rotWithShape="0">
              <a:prstClr val="black">
                <a:alpha val="20000"/>
              </a:prstClr>
            </a:outerShdw>
          </a:effectLst>
        </c:spPr>
      </c:pivotFmt>
      <c:pivotFmt>
        <c:idx val="10"/>
        <c:spPr>
          <a:solidFill>
            <a:schemeClr val="accent2"/>
          </a:solidFill>
          <a:ln>
            <a:noFill/>
          </a:ln>
          <a:effectLst>
            <a:outerShdw blurRad="254000" sx="102000" sy="102000" algn="ctr" rotWithShape="0">
              <a:prstClr val="black">
                <a:alpha val="20000"/>
              </a:prstClr>
            </a:outerShdw>
          </a:effectLst>
        </c:spPr>
      </c:pivotFmt>
      <c:pivotFmt>
        <c:idx val="11"/>
        <c:spPr>
          <a:solidFill>
            <a:schemeClr val="accent2"/>
          </a:solidFill>
          <a:ln>
            <a:noFill/>
          </a:ln>
          <a:effectLst>
            <a:outerShdw blurRad="254000" sx="102000" sy="102000" algn="ctr" rotWithShape="0">
              <a:prstClr val="black">
                <a:alpha val="20000"/>
              </a:prstClr>
            </a:outerShdw>
          </a:effectLst>
        </c:spPr>
      </c:pivotFmt>
      <c:pivotFmt>
        <c:idx val="12"/>
        <c:spPr>
          <a:solidFill>
            <a:schemeClr val="accent2"/>
          </a:solidFill>
          <a:ln>
            <a:noFill/>
          </a:ln>
          <a:effectLst>
            <a:outerShdw blurRad="254000" sx="102000" sy="102000" algn="ctr" rotWithShape="0">
              <a:prstClr val="black">
                <a:alpha val="20000"/>
              </a:prstClr>
            </a:outerShdw>
          </a:effectLst>
        </c:spPr>
      </c:pivotFmt>
      <c:pivotFmt>
        <c:idx val="13"/>
        <c:spPr>
          <a:solidFill>
            <a:schemeClr val="accent2"/>
          </a:solidFill>
          <a:ln>
            <a:noFill/>
          </a:ln>
          <a:effectLst>
            <a:outerShdw blurRad="254000" sx="102000" sy="102000" algn="ctr" rotWithShape="0">
              <a:prstClr val="black">
                <a:alpha val="20000"/>
              </a:prstClr>
            </a:outerShdw>
          </a:effectLst>
        </c:spPr>
      </c:pivotFmt>
      <c:pivotFmt>
        <c:idx val="14"/>
        <c:spPr>
          <a:solidFill>
            <a:schemeClr val="accent2"/>
          </a:solidFill>
          <a:ln>
            <a:noFill/>
          </a:ln>
          <a:effectLst>
            <a:outerShdw blurRad="254000" sx="102000" sy="102000" algn="ctr" rotWithShape="0">
              <a:prstClr val="black">
                <a:alpha val="20000"/>
              </a:prstClr>
            </a:outerShdw>
          </a:effectLst>
        </c:spPr>
      </c:pivotFmt>
    </c:pivotFmts>
    <c:plotArea>
      <c:layout/>
      <c:barChart>
        <c:barDir val="bar"/>
        <c:grouping val="clustered"/>
        <c:varyColors val="0"/>
        <c:ser>
          <c:idx val="0"/>
          <c:order val="0"/>
          <c:tx>
            <c:strRef>
              <c:f>Tables!$B$44</c:f>
              <c:strCache>
                <c:ptCount val="1"/>
                <c:pt idx="0">
                  <c:v>Total</c:v>
                </c:pt>
              </c:strCache>
            </c:strRef>
          </c:tx>
          <c:spPr>
            <a:solidFill>
              <a:schemeClr val="accent2"/>
            </a:solidFill>
            <a:ln>
              <a:noFill/>
            </a:ln>
            <a:effectLst>
              <a:outerShdw blurRad="254000" sx="102000" sy="102000" algn="ctr" rotWithShape="0">
                <a:prstClr val="black">
                  <a:alpha val="20000"/>
                </a:prstClr>
              </a:outerShdw>
            </a:effectLst>
          </c:spPr>
          <c:invertIfNegative val="0"/>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Tables!$A$45:$A$51</c:f>
              <c:strCache>
                <c:ptCount val="6"/>
                <c:pt idx="0">
                  <c:v>0-40</c:v>
                </c:pt>
                <c:pt idx="1">
                  <c:v>41-50</c:v>
                </c:pt>
                <c:pt idx="2">
                  <c:v>51-60</c:v>
                </c:pt>
                <c:pt idx="3">
                  <c:v>61-70</c:v>
                </c:pt>
                <c:pt idx="4">
                  <c:v>71-80</c:v>
                </c:pt>
                <c:pt idx="5">
                  <c:v>80+</c:v>
                </c:pt>
              </c:strCache>
            </c:strRef>
          </c:cat>
          <c:val>
            <c:numRef>
              <c:f>Tables!$B$45:$B$51</c:f>
              <c:numCache>
                <c:formatCode>General</c:formatCode>
                <c:ptCount val="6"/>
                <c:pt idx="0">
                  <c:v>272</c:v>
                </c:pt>
                <c:pt idx="1">
                  <c:v>573</c:v>
                </c:pt>
                <c:pt idx="2">
                  <c:v>566</c:v>
                </c:pt>
                <c:pt idx="3">
                  <c:v>3</c:v>
                </c:pt>
                <c:pt idx="4">
                  <c:v>208</c:v>
                </c:pt>
                <c:pt idx="5">
                  <c:v>433</c:v>
                </c:pt>
              </c:numCache>
            </c:numRef>
          </c:val>
          <c:extLst>
            <c:ext xmlns:c16="http://schemas.microsoft.com/office/drawing/2014/chart" uri="{C3380CC4-5D6E-409C-BE32-E72D297353CC}">
              <c16:uniqueId val="{0000000C-8039-4DAE-8D5C-5969F2604A24}"/>
            </c:ext>
          </c:extLst>
        </c:ser>
        <c:dLbls>
          <c:showLegendKey val="0"/>
          <c:showVal val="0"/>
          <c:showCatName val="0"/>
          <c:showSerName val="0"/>
          <c:showPercent val="0"/>
          <c:showBubbleSize val="0"/>
        </c:dLbls>
        <c:gapWidth val="100"/>
        <c:axId val="889146344"/>
        <c:axId val="889147064"/>
      </c:barChart>
      <c:catAx>
        <c:axId val="889146344"/>
        <c:scaling>
          <c:orientation val="minMax"/>
        </c:scaling>
        <c:delete val="0"/>
        <c:axPos val="l"/>
        <c:numFmt formatCode="General" sourceLinked="1"/>
        <c:majorTickMark val="out"/>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889147064"/>
        <c:crosses val="autoZero"/>
        <c:auto val="1"/>
        <c:lblAlgn val="ctr"/>
        <c:lblOffset val="100"/>
        <c:noMultiLvlLbl val="0"/>
      </c:catAx>
      <c:valAx>
        <c:axId val="889147064"/>
        <c:scaling>
          <c:orientation val="minMax"/>
        </c:scaling>
        <c:delete val="0"/>
        <c:axPos val="b"/>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889146344"/>
        <c:crosses val="autoZero"/>
        <c:crossBetween val="between"/>
      </c:valAx>
      <c:spPr>
        <a:noFill/>
        <a:ln cap="sq">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[ibam_dashboard.xlsm]Tables!Customer education</c:name>
    <c:fmtId val="2"/>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Customer Education</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pivotFmt>
      <c:pivotFmt>
        <c:idx val="7"/>
        <c:spPr>
          <a:solidFill>
            <a:schemeClr val="accent2"/>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8"/>
        <c:dLbl>
          <c:idx val="0"/>
          <c:layout>
            <c:manualLayout>
              <c:x val="0.22545410945190233"/>
              <c:y val="-6.2042103627899768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9"/>
        <c:spPr>
          <a:solidFill>
            <a:schemeClr val="accent2">
              <a:shade val="58000"/>
            </a:schemeClr>
          </a:solidFill>
          <a:ln>
            <a:noFill/>
          </a:ln>
          <a:effectLst>
            <a:outerShdw blurRad="254000" sx="102000" sy="102000" algn="ctr" rotWithShape="0">
              <a:prstClr val="black">
                <a:alpha val="20000"/>
              </a:prstClr>
            </a:outerShdw>
          </a:effectLst>
        </c:spPr>
        <c:dLbl>
          <c:idx val="0"/>
          <c:layout>
            <c:manualLayout>
              <c:x val="0.21436620242967763"/>
              <c:y val="0.14890104870695944"/>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10"/>
        <c:spPr>
          <a:solidFill>
            <a:schemeClr val="accent2">
              <a:shade val="86000"/>
            </a:schemeClr>
          </a:solidFill>
          <a:ln>
            <a:noFill/>
          </a:ln>
          <a:effectLst>
            <a:outerShdw blurRad="254000" sx="102000" sy="102000" algn="ctr" rotWithShape="0">
              <a:prstClr val="black">
                <a:alpha val="20000"/>
              </a:prstClr>
            </a:outerShdw>
          </a:effectLst>
        </c:spPr>
        <c:dLbl>
          <c:idx val="0"/>
          <c:layout>
            <c:manualLayout>
              <c:x val="0.18849441937781986"/>
              <c:y val="8.065473471626973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11"/>
        <c:spPr>
          <a:solidFill>
            <a:schemeClr val="accent2">
              <a:tint val="86000"/>
            </a:schemeClr>
          </a:solidFill>
          <a:ln>
            <a:noFill/>
          </a:ln>
          <a:effectLst>
            <a:outerShdw blurRad="254000" sx="102000" sy="102000" algn="ctr" rotWithShape="0">
              <a:prstClr val="black">
                <a:alpha val="20000"/>
              </a:prstClr>
            </a:outerShdw>
          </a:effectLst>
        </c:spPr>
        <c:dLbl>
          <c:idx val="0"/>
          <c:layout>
            <c:manualLayout>
              <c:x val="-0.17740651235559529"/>
              <c:y val="0.11167578653021963"/>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12"/>
        <c:spPr>
          <a:solidFill>
            <a:schemeClr val="accent2">
              <a:tint val="58000"/>
            </a:schemeClr>
          </a:solidFill>
          <a:ln>
            <a:noFill/>
          </a:ln>
          <a:effectLst>
            <a:outerShdw blurRad="254000" sx="102000" sy="102000" algn="ctr" rotWithShape="0">
              <a:prstClr val="black">
                <a:alpha val="20000"/>
              </a:prstClr>
            </a:outerShdw>
          </a:effectLst>
        </c:spPr>
        <c:dLbl>
          <c:idx val="0"/>
          <c:layout>
            <c:manualLayout>
              <c:x val="-0.18479845037041179"/>
              <c:y val="-9.3063155441849746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s>
    <c:plotArea>
      <c:layout/>
      <c:doughnutChart>
        <c:varyColors val="1"/>
        <c:ser>
          <c:idx val="0"/>
          <c:order val="0"/>
          <c:tx>
            <c:strRef>
              <c:f>Tables!$B$53</c:f>
              <c:strCache>
                <c:ptCount val="1"/>
                <c:pt idx="0">
                  <c:v>Total</c:v>
                </c:pt>
              </c:strCache>
            </c:strRef>
          </c:tx>
          <c:dPt>
            <c:idx val="0"/>
            <c:bubble3D val="0"/>
            <c:spPr>
              <a:solidFill>
                <a:schemeClr val="accent2">
                  <a:shade val="58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FB71-4C34-B7EC-703393CD29AE}"/>
              </c:ext>
            </c:extLst>
          </c:dPt>
          <c:dPt>
            <c:idx val="1"/>
            <c:bubble3D val="0"/>
            <c:spPr>
              <a:solidFill>
                <a:schemeClr val="accent2">
                  <a:shade val="86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FB71-4C34-B7EC-703393CD29AE}"/>
              </c:ext>
            </c:extLst>
          </c:dPt>
          <c:dPt>
            <c:idx val="2"/>
            <c:bubble3D val="0"/>
            <c:spPr>
              <a:solidFill>
                <a:schemeClr val="accent2">
                  <a:tint val="86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FB71-4C34-B7EC-703393CD29AE}"/>
              </c:ext>
            </c:extLst>
          </c:dPt>
          <c:dPt>
            <c:idx val="3"/>
            <c:bubble3D val="0"/>
            <c:spPr>
              <a:solidFill>
                <a:schemeClr val="accent2">
                  <a:tint val="58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FB71-4C34-B7EC-703393CD29AE}"/>
              </c:ext>
            </c:extLst>
          </c:dPt>
          <c:dPt>
            <c:idx val="4"/>
            <c:bubble3D val="0"/>
            <c:spPr>
              <a:solidFill>
                <a:schemeClr val="accent2">
                  <a:tint val="3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FB71-4C34-B7EC-703393CD29AE}"/>
              </c:ext>
            </c:extLst>
          </c:dPt>
          <c:dLbls>
            <c:dLbl>
              <c:idx val="0"/>
              <c:layout>
                <c:manualLayout>
                  <c:x val="0.21436620242967763"/>
                  <c:y val="0.14890104870695944"/>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1-FB71-4C34-B7EC-703393CD29AE}"/>
                </c:ext>
              </c:extLst>
            </c:dLbl>
            <c:dLbl>
              <c:idx val="1"/>
              <c:layout>
                <c:manualLayout>
                  <c:x val="0.18849441937781986"/>
                  <c:y val="8.065473471626973E-2"/>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3-FB71-4C34-B7EC-703393CD29AE}"/>
                </c:ext>
              </c:extLst>
            </c:dLbl>
            <c:dLbl>
              <c:idx val="2"/>
              <c:layout>
                <c:manualLayout>
                  <c:x val="-0.17740651235559529"/>
                  <c:y val="0.11167578653021963"/>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5-FB71-4C34-B7EC-703393CD29AE}"/>
                </c:ext>
              </c:extLst>
            </c:dLbl>
            <c:dLbl>
              <c:idx val="3"/>
              <c:layout>
                <c:manualLayout>
                  <c:x val="-0.18479845037041179"/>
                  <c:y val="-9.3063155441849746E-2"/>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7-FB71-4C34-B7EC-703393CD29AE}"/>
                </c:ext>
              </c:extLst>
            </c:dLbl>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1"/>
            <c:showSerName val="0"/>
            <c:showPercent val="0"/>
            <c:showBubbleSize val="0"/>
            <c:separator>
</c:separator>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Tables!$A$54:$A$58</c:f>
              <c:strCache>
                <c:ptCount val="4"/>
                <c:pt idx="0">
                  <c:v>Basic</c:v>
                </c:pt>
                <c:pt idx="1">
                  <c:v>Graduation</c:v>
                </c:pt>
                <c:pt idx="2">
                  <c:v>Master</c:v>
                </c:pt>
                <c:pt idx="3">
                  <c:v>PhD</c:v>
                </c:pt>
              </c:strCache>
            </c:strRef>
          </c:cat>
          <c:val>
            <c:numRef>
              <c:f>Tables!$B$54:$B$58</c:f>
              <c:numCache>
                <c:formatCode>General</c:formatCode>
                <c:ptCount val="4"/>
                <c:pt idx="0">
                  <c:v>49</c:v>
                </c:pt>
                <c:pt idx="1">
                  <c:v>1029</c:v>
                </c:pt>
                <c:pt idx="2">
                  <c:v>529</c:v>
                </c:pt>
                <c:pt idx="3">
                  <c:v>448</c:v>
                </c:pt>
              </c:numCache>
            </c:numRef>
          </c:val>
          <c:extLst>
            <c:ext xmlns:c16="http://schemas.microsoft.com/office/drawing/2014/chart" uri="{C3380CC4-5D6E-409C-BE32-E72D297353CC}">
              <c16:uniqueId val="{0000000A-FB71-4C34-B7EC-703393CD29AE}"/>
            </c:ext>
          </c:extLst>
        </c:ser>
        <c:dLbls>
          <c:showLegendKey val="0"/>
          <c:showVal val="0"/>
          <c:showCatName val="0"/>
          <c:showSerName val="0"/>
          <c:showPercent val="1"/>
          <c:showBubbleSize val="0"/>
          <c:showLeaderLines val="1"/>
        </c:dLbls>
        <c:firstSliceAng val="0"/>
        <c:holeSize val="5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[ibam_dashboard.xlsm]Tables!Customer kids</c:name>
    <c:fmtId val="8"/>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Customer Children</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2"/>
          </a:solidFill>
          <a:ln>
            <a:noFill/>
          </a:ln>
          <a:effectLst>
            <a:outerShdw blurRad="254000" sx="102000" sy="102000" algn="ctr" rotWithShape="0">
              <a:prstClr val="black">
                <a:alpha val="20000"/>
              </a:prstClr>
            </a:outerShdw>
          </a:effectLst>
        </c:spPr>
        <c:marker>
          <c:symbol val="circle"/>
          <c:size val="6"/>
          <c:spPr>
            <a:solidFill>
              <a:schemeClr val="accent2">
                <a:alpha val="85000"/>
              </a:schemeClr>
            </a:solidFill>
            <a:ln>
              <a:noFill/>
            </a:ln>
            <a:effectLst/>
          </c:spPr>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Tables!$B$61</c:f>
              <c:strCache>
                <c:ptCount val="1"/>
                <c:pt idx="0">
                  <c:v>Total</c:v>
                </c:pt>
              </c:strCache>
            </c:strRef>
          </c:tx>
          <c:spPr>
            <a:solidFill>
              <a:schemeClr val="accent2"/>
            </a:solidFill>
            <a:ln>
              <a:noFill/>
            </a:ln>
            <a:effectLst>
              <a:outerShdw blurRad="254000" sx="102000" sy="102000" algn="ctr" rotWithShape="0">
                <a:prstClr val="black">
                  <a:alpha val="20000"/>
                </a:prstClr>
              </a:outerShdw>
            </a:effectLst>
          </c:spPr>
          <c:invertIfNegative val="0"/>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Tables!$A$62:$A$66</c:f>
              <c:strCache>
                <c:ptCount val="4"/>
                <c:pt idx="0">
                  <c:v>0</c:v>
                </c:pt>
                <c:pt idx="1">
                  <c:v>1</c:v>
                </c:pt>
                <c:pt idx="2">
                  <c:v>2</c:v>
                </c:pt>
                <c:pt idx="3">
                  <c:v>3</c:v>
                </c:pt>
              </c:strCache>
            </c:strRef>
          </c:cat>
          <c:val>
            <c:numRef>
              <c:f>Tables!$B$62:$B$66</c:f>
              <c:numCache>
                <c:formatCode>General</c:formatCode>
                <c:ptCount val="4"/>
                <c:pt idx="0">
                  <c:v>577</c:v>
                </c:pt>
                <c:pt idx="1">
                  <c:v>1043</c:v>
                </c:pt>
                <c:pt idx="2">
                  <c:v>387</c:v>
                </c:pt>
                <c:pt idx="3">
                  <c:v>48</c:v>
                </c:pt>
              </c:numCache>
            </c:numRef>
          </c:val>
          <c:extLst>
            <c:ext xmlns:c16="http://schemas.microsoft.com/office/drawing/2014/chart" uri="{C3380CC4-5D6E-409C-BE32-E72D297353CC}">
              <c16:uniqueId val="{00000000-7D05-4596-9BF7-CF0CBE502F6D}"/>
            </c:ext>
          </c:extLst>
        </c:ser>
        <c:dLbls>
          <c:showLegendKey val="0"/>
          <c:showVal val="0"/>
          <c:showCatName val="0"/>
          <c:showSerName val="0"/>
          <c:showPercent val="0"/>
          <c:showBubbleSize val="0"/>
        </c:dLbls>
        <c:gapWidth val="150"/>
        <c:axId val="269674311"/>
        <c:axId val="269673591"/>
      </c:barChart>
      <c:catAx>
        <c:axId val="269674311"/>
        <c:scaling>
          <c:orientation val="minMax"/>
        </c:scaling>
        <c:delete val="0"/>
        <c:axPos val="b"/>
        <c:numFmt formatCode="General" sourceLinked="1"/>
        <c:majorTickMark val="out"/>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269673591"/>
        <c:crosses val="autoZero"/>
        <c:auto val="1"/>
        <c:lblAlgn val="ctr"/>
        <c:lblOffset val="100"/>
        <c:noMultiLvlLbl val="0"/>
      </c:catAx>
      <c:valAx>
        <c:axId val="269673591"/>
        <c:scaling>
          <c:orientation val="minMax"/>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26967431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sz="1800" b="1" i="0" baseline="0">
                <a:effectLst>
                  <a:outerShdw blurRad="50800" dist="38100" dir="5400000" algn="t" rotWithShape="0">
                    <a:srgbClr val="000000">
                      <a:alpha val="40000"/>
                    </a:srgbClr>
                  </a:outerShdw>
                </a:effectLst>
              </a:rPr>
              <a:t>Income and Expenditure Proportionality and Forecast by Education levels</a:t>
            </a:r>
            <a:endParaRPr lang="en-IN">
              <a:effectLst/>
            </a:endParaRP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scatterChart>
        <c:scatterStyle val="smoothMarker"/>
        <c:varyColors val="0"/>
        <c:ser>
          <c:idx val="1"/>
          <c:order val="1"/>
          <c:tx>
            <c:strRef>
              <c:f>Tables!$J$19</c:f>
              <c:strCache>
                <c:ptCount val="1"/>
                <c:pt idx="0">
                  <c:v>Average of Total</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trendline>
            <c:spPr>
              <a:ln w="19050" cap="rnd">
                <a:solidFill>
                  <a:schemeClr val="accent2"/>
                </a:solidFill>
              </a:ln>
              <a:effectLst/>
            </c:spPr>
            <c:trendlineType val="linear"/>
            <c:forward val="2"/>
            <c:dispRSqr val="0"/>
            <c:dispEq val="0"/>
          </c:trendline>
          <c:xVal>
            <c:strRef>
              <c:f>Tables!$H$20:$H$23</c:f>
              <c:strCache>
                <c:ptCount val="4"/>
                <c:pt idx="0">
                  <c:v>Basic</c:v>
                </c:pt>
                <c:pt idx="1">
                  <c:v>Graduation</c:v>
                </c:pt>
                <c:pt idx="2">
                  <c:v>Master</c:v>
                </c:pt>
                <c:pt idx="3">
                  <c:v>PhD</c:v>
                </c:pt>
              </c:strCache>
            </c:strRef>
          </c:xVal>
          <c:yVal>
            <c:numRef>
              <c:f>Tables!$J$20:$J$23</c:f>
              <c:numCache>
                <c:formatCode>_-[$$-409]* #,##0.00_ ;_-[$$-409]* \-#,##0.00\ ;_-[$$-409]* "-"??_ ;_-@_ </c:formatCode>
                <c:ptCount val="4"/>
                <c:pt idx="0">
                  <c:v>83.91836734693878</c:v>
                </c:pt>
                <c:pt idx="1">
                  <c:v>621.9436345966958</c:v>
                </c:pt>
                <c:pt idx="2">
                  <c:v>576.57277882797734</c:v>
                </c:pt>
                <c:pt idx="3">
                  <c:v>664.86383928571433</c:v>
                </c:pt>
              </c:numCache>
            </c:numRef>
          </c:yVal>
          <c:smooth val="1"/>
          <c:extLst>
            <c:ext xmlns:c16="http://schemas.microsoft.com/office/drawing/2014/chart" uri="{C3380CC4-5D6E-409C-BE32-E72D297353CC}">
              <c16:uniqueId val="{00000001-1941-4310-A043-5C47225766CF}"/>
            </c:ext>
          </c:extLst>
        </c:ser>
        <c:dLbls>
          <c:showLegendKey val="0"/>
          <c:showVal val="0"/>
          <c:showCatName val="0"/>
          <c:showSerName val="0"/>
          <c:showPercent val="0"/>
          <c:showBubbleSize val="0"/>
        </c:dLbls>
        <c:axId val="623897408"/>
        <c:axId val="623895248"/>
      </c:scatterChart>
      <c:scatterChart>
        <c:scatterStyle val="smoothMarker"/>
        <c:varyColors val="0"/>
        <c:ser>
          <c:idx val="0"/>
          <c:order val="0"/>
          <c:tx>
            <c:strRef>
              <c:f>Tables!$I$19</c:f>
              <c:strCache>
                <c:ptCount val="1"/>
                <c:pt idx="0">
                  <c:v>Average of Income</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trendline>
            <c:spPr>
              <a:ln w="19050" cap="rnd">
                <a:solidFill>
                  <a:schemeClr val="accent1"/>
                </a:solidFill>
              </a:ln>
              <a:effectLst/>
            </c:spPr>
            <c:trendlineType val="linear"/>
            <c:forward val="2"/>
            <c:dispRSqr val="0"/>
            <c:dispEq val="0"/>
          </c:trendline>
          <c:xVal>
            <c:strRef>
              <c:f>Tables!$H$20:$H$23</c:f>
              <c:strCache>
                <c:ptCount val="4"/>
                <c:pt idx="0">
                  <c:v>Basic</c:v>
                </c:pt>
                <c:pt idx="1">
                  <c:v>Graduation</c:v>
                </c:pt>
                <c:pt idx="2">
                  <c:v>Master</c:v>
                </c:pt>
                <c:pt idx="3">
                  <c:v>PhD</c:v>
                </c:pt>
              </c:strCache>
            </c:strRef>
          </c:xVal>
          <c:yVal>
            <c:numRef>
              <c:f>Tables!$I$20:$I$23</c:f>
              <c:numCache>
                <c:formatCode>_-[$$-409]* #,##0.00_ ;_-[$$-409]* \-#,##0.00\ ;_-[$$-409]* "-"??_ ;_-@_ </c:formatCode>
                <c:ptCount val="4"/>
                <c:pt idx="0">
                  <c:v>19913.34693877551</c:v>
                </c:pt>
                <c:pt idx="1">
                  <c:v>52957.523575638508</c:v>
                </c:pt>
                <c:pt idx="2">
                  <c:v>51194.794625719769</c:v>
                </c:pt>
                <c:pt idx="3">
                  <c:v>55984.808126410833</c:v>
                </c:pt>
              </c:numCache>
            </c:numRef>
          </c:yVal>
          <c:smooth val="1"/>
          <c:extLst>
            <c:ext xmlns:c16="http://schemas.microsoft.com/office/drawing/2014/chart" uri="{C3380CC4-5D6E-409C-BE32-E72D297353CC}">
              <c16:uniqueId val="{00000003-1941-4310-A043-5C47225766CF}"/>
            </c:ext>
          </c:extLst>
        </c:ser>
        <c:dLbls>
          <c:showLegendKey val="0"/>
          <c:showVal val="0"/>
          <c:showCatName val="0"/>
          <c:showSerName val="0"/>
          <c:showPercent val="0"/>
          <c:showBubbleSize val="0"/>
        </c:dLbls>
        <c:axId val="273450839"/>
        <c:axId val="273454439"/>
      </c:scatterChart>
      <c:valAx>
        <c:axId val="623897408"/>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23895248"/>
        <c:crosses val="autoZero"/>
        <c:crossBetween val="midCat"/>
      </c:valAx>
      <c:valAx>
        <c:axId val="623895248"/>
        <c:scaling>
          <c:orientation val="minMax"/>
        </c:scaling>
        <c:delete val="0"/>
        <c:axPos val="l"/>
        <c:majorGridlines>
          <c:spPr>
            <a:ln w="9525" cap="flat" cmpd="sng" algn="ctr">
              <a:solidFill>
                <a:schemeClr val="lt1">
                  <a:lumMod val="95000"/>
                  <a:alpha val="10000"/>
                </a:schemeClr>
              </a:solidFill>
              <a:round/>
            </a:ln>
            <a:effectLst/>
          </c:spPr>
        </c:majorGridlines>
        <c:numFmt formatCode="_-[$$-409]* #,##0.00_ ;_-[$$-409]* \-#,##0.00\ ;_-[$$-409]* &quot;-&quot;??_ ;_-@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23897408"/>
        <c:crosses val="autoZero"/>
        <c:crossBetween val="midCat"/>
      </c:valAx>
      <c:valAx>
        <c:axId val="273454439"/>
        <c:scaling>
          <c:orientation val="minMax"/>
        </c:scaling>
        <c:delete val="0"/>
        <c:axPos val="r"/>
        <c:numFmt formatCode="_-[$$-409]* #,##0.00_ ;_-[$$-409]* \-#,##0.00\ ;_-[$$-409]* &quot;-&quot;??_ ;_-@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73450839"/>
        <c:crosses val="max"/>
        <c:crossBetween val="midCat"/>
      </c:valAx>
      <c:valAx>
        <c:axId val="273450839"/>
        <c:scaling>
          <c:orientation val="minMax"/>
        </c:scaling>
        <c:delete val="0"/>
        <c:axPos val="t"/>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73454439"/>
        <c:crosses val="max"/>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[ibam_dashboard.xlsm]Tables!Purchases in detail by age</c:name>
    <c:fmtId val="4"/>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IN"/>
              <a:t>Amount spent on products and Number of Purchases by Age</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2"/>
          </a:solidFill>
          <a:ln>
            <a:noFill/>
          </a:ln>
          <a:effectLst>
            <a:outerShdw blurRad="254000" sx="102000" sy="102000" algn="ctr" rotWithShape="0">
              <a:prstClr val="black">
                <a:alpha val="20000"/>
              </a:prstClr>
            </a:outerShdw>
          </a:effectLst>
        </c:spPr>
        <c:marker>
          <c:symbol val="circle"/>
          <c:size val="6"/>
          <c:spPr>
            <a:solidFill>
              <a:schemeClr val="accent2">
                <a:shade val="65000"/>
                <a:alpha val="85000"/>
              </a:schemeClr>
            </a:solidFill>
            <a:ln>
              <a:noFill/>
            </a:ln>
            <a:effectLst/>
          </c:spPr>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2"/>
          </a:solidFill>
          <a:ln>
            <a:noFill/>
          </a:ln>
          <a:effectLst>
            <a:outerShdw blurRad="254000" sx="102000" sy="102000" algn="ctr" rotWithShape="0">
              <a:prstClr val="black">
                <a:alpha val="20000"/>
              </a:prstClr>
            </a:outerShdw>
          </a:effectLst>
        </c:spPr>
        <c:marker>
          <c:symbol val="circle"/>
          <c:size val="6"/>
          <c:spPr>
            <a:solidFill>
              <a:schemeClr val="accent2">
                <a:shade val="82000"/>
                <a:alpha val="85000"/>
              </a:schemeClr>
            </a:solidFill>
            <a:ln>
              <a:noFill/>
            </a:ln>
            <a:effectLst/>
          </c:spPr>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2"/>
          </a:solidFill>
          <a:ln>
            <a:noFill/>
          </a:ln>
          <a:effectLst>
            <a:outerShdw blurRad="254000" sx="102000" sy="102000" algn="ctr" rotWithShape="0">
              <a:prstClr val="black">
                <a:alpha val="20000"/>
              </a:prstClr>
            </a:outerShdw>
          </a:effectLst>
        </c:spPr>
        <c:marker>
          <c:symbol val="circle"/>
          <c:size val="6"/>
          <c:spPr>
            <a:solidFill>
              <a:schemeClr val="accent2">
                <a:alpha val="85000"/>
              </a:schemeClr>
            </a:solidFill>
            <a:ln>
              <a:noFill/>
            </a:ln>
            <a:effectLst/>
          </c:spPr>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2"/>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2"/>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2"/>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2"/>
          </a:solidFill>
          <a:ln w="31750" cap="rnd">
            <a:solidFill>
              <a:schemeClr val="accent2">
                <a:alpha val="85000"/>
              </a:schemeClr>
            </a:solidFill>
            <a:round/>
          </a:ln>
          <a:effectLst/>
        </c:spPr>
        <c:marker>
          <c:symbol val="circle"/>
          <c:size val="6"/>
          <c:spPr>
            <a:solidFill>
              <a:schemeClr val="accent2">
                <a:shade val="47000"/>
                <a:alpha val="85000"/>
              </a:schemeClr>
            </a:solidFill>
            <a:ln>
              <a:noFill/>
            </a:ln>
            <a:effectLst/>
          </c:spPr>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2"/>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2"/>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2"/>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2"/>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2"/>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2"/>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2"/>
          </a:solidFill>
          <a:ln w="31750" cap="rnd">
            <a:solidFill>
              <a:schemeClr val="accent2">
                <a:alpha val="85000"/>
              </a:schemeClr>
            </a:solidFill>
            <a:round/>
          </a:ln>
          <a:effectLst/>
        </c:spPr>
        <c:marker>
          <c:symbol val="circle"/>
          <c:size val="6"/>
          <c:spPr>
            <a:solidFill>
              <a:schemeClr val="accent2">
                <a:shade val="47000"/>
                <a:alpha val="85000"/>
              </a:schemeClr>
            </a:solidFill>
            <a:ln>
              <a:noFill/>
            </a:ln>
            <a:effectLst/>
          </c:spPr>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2"/>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2"/>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2"/>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2"/>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2"/>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2"/>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ln w="31750" cap="rnd">
            <a:solidFill>
              <a:schemeClr val="accent2">
                <a:alpha val="85000"/>
              </a:schemeClr>
            </a:solidFill>
            <a:round/>
          </a:ln>
          <a:effectLst/>
        </c:spPr>
        <c:marker>
          <c:symbol val="circle"/>
          <c:size val="6"/>
          <c:spPr>
            <a:solidFill>
              <a:schemeClr val="accent2">
                <a:shade val="47000"/>
                <a:alpha val="85000"/>
              </a:schemeClr>
            </a:solidFill>
            <a:ln>
              <a:noFill/>
            </a:ln>
            <a:effectLst/>
          </c:spPr>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0266115351993211E-2"/>
          <c:y val="0.1993620060464539"/>
          <c:w val="0.64782308930981913"/>
          <c:h val="0.6296903025483096"/>
        </c:manualLayout>
      </c:layout>
      <c:barChart>
        <c:barDir val="col"/>
        <c:grouping val="stacked"/>
        <c:varyColors val="0"/>
        <c:ser>
          <c:idx val="1"/>
          <c:order val="1"/>
          <c:tx>
            <c:strRef>
              <c:f>Tables!$C$34</c:f>
              <c:strCache>
                <c:ptCount val="1"/>
                <c:pt idx="0">
                  <c:v>Average of MntGoldProds</c:v>
                </c:pt>
              </c:strCache>
            </c:strRef>
          </c:tx>
          <c:spPr>
            <a:solidFill>
              <a:schemeClr val="accent2">
                <a:shade val="65000"/>
              </a:schemeClr>
            </a:solidFill>
            <a:ln>
              <a:noFill/>
            </a:ln>
            <a:effectLst>
              <a:outerShdw blurRad="254000" sx="102000" sy="102000" algn="ctr" rotWithShape="0">
                <a:prstClr val="black">
                  <a:alpha val="20000"/>
                </a:prstClr>
              </a:outerShdw>
            </a:effectLst>
          </c:spPr>
          <c:invertIfNegative val="0"/>
          <c:cat>
            <c:strRef>
              <c:f>Tables!$A$35:$A$41</c:f>
              <c:strCache>
                <c:ptCount val="6"/>
                <c:pt idx="0">
                  <c:v>0-40</c:v>
                </c:pt>
                <c:pt idx="1">
                  <c:v>41-50</c:v>
                </c:pt>
                <c:pt idx="2">
                  <c:v>51-60</c:v>
                </c:pt>
                <c:pt idx="3">
                  <c:v>61-70</c:v>
                </c:pt>
                <c:pt idx="4">
                  <c:v>71-80</c:v>
                </c:pt>
                <c:pt idx="5">
                  <c:v>80+</c:v>
                </c:pt>
              </c:strCache>
            </c:strRef>
          </c:cat>
          <c:val>
            <c:numRef>
              <c:f>Tables!$C$35:$C$41</c:f>
              <c:numCache>
                <c:formatCode>0.00</c:formatCode>
                <c:ptCount val="6"/>
                <c:pt idx="0">
                  <c:v>44.944852941176471</c:v>
                </c:pt>
                <c:pt idx="1">
                  <c:v>37.207678883071551</c:v>
                </c:pt>
                <c:pt idx="2">
                  <c:v>44.759717314487631</c:v>
                </c:pt>
                <c:pt idx="3">
                  <c:v>66</c:v>
                </c:pt>
                <c:pt idx="4">
                  <c:v>50.293269230769234</c:v>
                </c:pt>
                <c:pt idx="5">
                  <c:v>47.736720554272516</c:v>
                </c:pt>
              </c:numCache>
            </c:numRef>
          </c:val>
          <c:extLst>
            <c:ext xmlns:c16="http://schemas.microsoft.com/office/drawing/2014/chart" uri="{C3380CC4-5D6E-409C-BE32-E72D297353CC}">
              <c16:uniqueId val="{00000000-120C-4171-8555-C27F8578C548}"/>
            </c:ext>
          </c:extLst>
        </c:ser>
        <c:ser>
          <c:idx val="2"/>
          <c:order val="2"/>
          <c:tx>
            <c:strRef>
              <c:f>Tables!$D$34</c:f>
              <c:strCache>
                <c:ptCount val="1"/>
                <c:pt idx="0">
                  <c:v>Average of MntSweetProducts</c:v>
                </c:pt>
              </c:strCache>
            </c:strRef>
          </c:tx>
          <c:spPr>
            <a:solidFill>
              <a:schemeClr val="accent2">
                <a:shade val="82000"/>
              </a:schemeClr>
            </a:solidFill>
            <a:ln>
              <a:noFill/>
            </a:ln>
            <a:effectLst>
              <a:outerShdw blurRad="254000" sx="102000" sy="102000" algn="ctr" rotWithShape="0">
                <a:prstClr val="black">
                  <a:alpha val="20000"/>
                </a:prstClr>
              </a:outerShdw>
            </a:effectLst>
          </c:spPr>
          <c:invertIfNegative val="0"/>
          <c:cat>
            <c:strRef>
              <c:f>Tables!$A$35:$A$41</c:f>
              <c:strCache>
                <c:ptCount val="6"/>
                <c:pt idx="0">
                  <c:v>0-40</c:v>
                </c:pt>
                <c:pt idx="1">
                  <c:v>41-50</c:v>
                </c:pt>
                <c:pt idx="2">
                  <c:v>51-60</c:v>
                </c:pt>
                <c:pt idx="3">
                  <c:v>61-70</c:v>
                </c:pt>
                <c:pt idx="4">
                  <c:v>71-80</c:v>
                </c:pt>
                <c:pt idx="5">
                  <c:v>80+</c:v>
                </c:pt>
              </c:strCache>
            </c:strRef>
          </c:cat>
          <c:val>
            <c:numRef>
              <c:f>Tables!$D$35:$D$41</c:f>
              <c:numCache>
                <c:formatCode>0.00</c:formatCode>
                <c:ptCount val="6"/>
                <c:pt idx="0">
                  <c:v>29.588235294117649</c:v>
                </c:pt>
                <c:pt idx="1">
                  <c:v>24.387434554973822</c:v>
                </c:pt>
                <c:pt idx="2">
                  <c:v>25.879858657243815</c:v>
                </c:pt>
                <c:pt idx="3">
                  <c:v>4</c:v>
                </c:pt>
                <c:pt idx="4">
                  <c:v>31</c:v>
                </c:pt>
                <c:pt idx="5">
                  <c:v>29.519630484988454</c:v>
                </c:pt>
              </c:numCache>
            </c:numRef>
          </c:val>
          <c:extLst>
            <c:ext xmlns:c16="http://schemas.microsoft.com/office/drawing/2014/chart" uri="{C3380CC4-5D6E-409C-BE32-E72D297353CC}">
              <c16:uniqueId val="{00000001-120C-4171-8555-C27F8578C548}"/>
            </c:ext>
          </c:extLst>
        </c:ser>
        <c:ser>
          <c:idx val="3"/>
          <c:order val="3"/>
          <c:tx>
            <c:strRef>
              <c:f>Tables!$E$34</c:f>
              <c:strCache>
                <c:ptCount val="1"/>
                <c:pt idx="0">
                  <c:v>Average of MntFishProducts</c:v>
                </c:pt>
              </c:strCache>
            </c:strRef>
          </c:tx>
          <c:spPr>
            <a:solidFill>
              <a:schemeClr val="accent2"/>
            </a:solidFill>
            <a:ln>
              <a:noFill/>
            </a:ln>
            <a:effectLst>
              <a:outerShdw blurRad="254000" sx="102000" sy="102000" algn="ctr" rotWithShape="0">
                <a:prstClr val="black">
                  <a:alpha val="20000"/>
                </a:prstClr>
              </a:outerShdw>
            </a:effectLst>
          </c:spPr>
          <c:invertIfNegative val="0"/>
          <c:cat>
            <c:strRef>
              <c:f>Tables!$A$35:$A$41</c:f>
              <c:strCache>
                <c:ptCount val="6"/>
                <c:pt idx="0">
                  <c:v>0-40</c:v>
                </c:pt>
                <c:pt idx="1">
                  <c:v>41-50</c:v>
                </c:pt>
                <c:pt idx="2">
                  <c:v>51-60</c:v>
                </c:pt>
                <c:pt idx="3">
                  <c:v>61-70</c:v>
                </c:pt>
                <c:pt idx="4">
                  <c:v>71-80</c:v>
                </c:pt>
                <c:pt idx="5">
                  <c:v>80+</c:v>
                </c:pt>
              </c:strCache>
            </c:strRef>
          </c:cat>
          <c:val>
            <c:numRef>
              <c:f>Tables!$E$35:$E$41</c:f>
              <c:numCache>
                <c:formatCode>0.00</c:formatCode>
                <c:ptCount val="6"/>
                <c:pt idx="0">
                  <c:v>36.900735294117645</c:v>
                </c:pt>
                <c:pt idx="1">
                  <c:v>34.00698080279232</c:v>
                </c:pt>
                <c:pt idx="2">
                  <c:v>34.685512367491164</c:v>
                </c:pt>
                <c:pt idx="3">
                  <c:v>13.333333333333334</c:v>
                </c:pt>
                <c:pt idx="4">
                  <c:v>44.120192307692307</c:v>
                </c:pt>
                <c:pt idx="5">
                  <c:v>42.556581986143186</c:v>
                </c:pt>
              </c:numCache>
            </c:numRef>
          </c:val>
          <c:extLst>
            <c:ext xmlns:c16="http://schemas.microsoft.com/office/drawing/2014/chart" uri="{C3380CC4-5D6E-409C-BE32-E72D297353CC}">
              <c16:uniqueId val="{00000002-120C-4171-8555-C27F8578C548}"/>
            </c:ext>
          </c:extLst>
        </c:ser>
        <c:ser>
          <c:idx val="4"/>
          <c:order val="4"/>
          <c:tx>
            <c:strRef>
              <c:f>Tables!$F$34</c:f>
              <c:strCache>
                <c:ptCount val="1"/>
                <c:pt idx="0">
                  <c:v>Average of MntMeatProducts</c:v>
                </c:pt>
              </c:strCache>
            </c:strRef>
          </c:tx>
          <c:spPr>
            <a:solidFill>
              <a:schemeClr val="accent2">
                <a:tint val="83000"/>
              </a:schemeClr>
            </a:solidFill>
            <a:ln>
              <a:noFill/>
            </a:ln>
            <a:effectLst>
              <a:outerShdw blurRad="254000" sx="102000" sy="102000" algn="ctr" rotWithShape="0">
                <a:prstClr val="black">
                  <a:alpha val="20000"/>
                </a:prstClr>
              </a:outerShdw>
            </a:effectLst>
          </c:spPr>
          <c:invertIfNegative val="0"/>
          <c:cat>
            <c:strRef>
              <c:f>Tables!$A$35:$A$41</c:f>
              <c:strCache>
                <c:ptCount val="6"/>
                <c:pt idx="0">
                  <c:v>0-40</c:v>
                </c:pt>
                <c:pt idx="1">
                  <c:v>41-50</c:v>
                </c:pt>
                <c:pt idx="2">
                  <c:v>51-60</c:v>
                </c:pt>
                <c:pt idx="3">
                  <c:v>61-70</c:v>
                </c:pt>
                <c:pt idx="4">
                  <c:v>71-80</c:v>
                </c:pt>
                <c:pt idx="5">
                  <c:v>80+</c:v>
                </c:pt>
              </c:strCache>
            </c:strRef>
          </c:cat>
          <c:val>
            <c:numRef>
              <c:f>Tables!$F$35:$F$41</c:f>
              <c:numCache>
                <c:formatCode>0.00</c:formatCode>
                <c:ptCount val="6"/>
                <c:pt idx="0">
                  <c:v>186.40808823529412</c:v>
                </c:pt>
                <c:pt idx="1">
                  <c:v>146.00174520069808</c:v>
                </c:pt>
                <c:pt idx="2">
                  <c:v>155.27738515901061</c:v>
                </c:pt>
                <c:pt idx="3">
                  <c:v>163.66666666666666</c:v>
                </c:pt>
                <c:pt idx="4">
                  <c:v>203.19230769230768</c:v>
                </c:pt>
                <c:pt idx="5">
                  <c:v>184.75057736720555</c:v>
                </c:pt>
              </c:numCache>
            </c:numRef>
          </c:val>
          <c:extLst>
            <c:ext xmlns:c16="http://schemas.microsoft.com/office/drawing/2014/chart" uri="{C3380CC4-5D6E-409C-BE32-E72D297353CC}">
              <c16:uniqueId val="{00000003-120C-4171-8555-C27F8578C548}"/>
            </c:ext>
          </c:extLst>
        </c:ser>
        <c:ser>
          <c:idx val="5"/>
          <c:order val="5"/>
          <c:tx>
            <c:strRef>
              <c:f>Tables!$G$34</c:f>
              <c:strCache>
                <c:ptCount val="1"/>
                <c:pt idx="0">
                  <c:v>Average of MntFruits</c:v>
                </c:pt>
              </c:strCache>
            </c:strRef>
          </c:tx>
          <c:spPr>
            <a:solidFill>
              <a:schemeClr val="accent2">
                <a:tint val="65000"/>
              </a:schemeClr>
            </a:solidFill>
            <a:ln>
              <a:noFill/>
            </a:ln>
            <a:effectLst>
              <a:outerShdw blurRad="254000" sx="102000" sy="102000" algn="ctr" rotWithShape="0">
                <a:prstClr val="black">
                  <a:alpha val="20000"/>
                </a:prstClr>
              </a:outerShdw>
            </a:effectLst>
          </c:spPr>
          <c:invertIfNegative val="0"/>
          <c:cat>
            <c:strRef>
              <c:f>Tables!$A$35:$A$41</c:f>
              <c:strCache>
                <c:ptCount val="6"/>
                <c:pt idx="0">
                  <c:v>0-40</c:v>
                </c:pt>
                <c:pt idx="1">
                  <c:v>41-50</c:v>
                </c:pt>
                <c:pt idx="2">
                  <c:v>51-60</c:v>
                </c:pt>
                <c:pt idx="3">
                  <c:v>61-70</c:v>
                </c:pt>
                <c:pt idx="4">
                  <c:v>71-80</c:v>
                </c:pt>
                <c:pt idx="5">
                  <c:v>80+</c:v>
                </c:pt>
              </c:strCache>
            </c:strRef>
          </c:cat>
          <c:val>
            <c:numRef>
              <c:f>Tables!$G$35:$G$41</c:f>
              <c:numCache>
                <c:formatCode>0.00</c:formatCode>
                <c:ptCount val="6"/>
                <c:pt idx="0">
                  <c:v>28.367647058823529</c:v>
                </c:pt>
                <c:pt idx="1">
                  <c:v>22.345549738219894</c:v>
                </c:pt>
                <c:pt idx="2">
                  <c:v>26.286219081272083</c:v>
                </c:pt>
                <c:pt idx="3">
                  <c:v>13.333333333333334</c:v>
                </c:pt>
                <c:pt idx="4">
                  <c:v>29.908653846153847</c:v>
                </c:pt>
                <c:pt idx="5">
                  <c:v>28.450346420323324</c:v>
                </c:pt>
              </c:numCache>
            </c:numRef>
          </c:val>
          <c:extLst>
            <c:ext xmlns:c16="http://schemas.microsoft.com/office/drawing/2014/chart" uri="{C3380CC4-5D6E-409C-BE32-E72D297353CC}">
              <c16:uniqueId val="{00000004-120C-4171-8555-C27F8578C548}"/>
            </c:ext>
          </c:extLst>
        </c:ser>
        <c:ser>
          <c:idx val="6"/>
          <c:order val="6"/>
          <c:tx>
            <c:strRef>
              <c:f>Tables!$H$34</c:f>
              <c:strCache>
                <c:ptCount val="1"/>
                <c:pt idx="0">
                  <c:v>Average of MntWines</c:v>
                </c:pt>
              </c:strCache>
            </c:strRef>
          </c:tx>
          <c:spPr>
            <a:solidFill>
              <a:schemeClr val="accent2">
                <a:tint val="48000"/>
              </a:schemeClr>
            </a:solidFill>
            <a:ln>
              <a:noFill/>
            </a:ln>
            <a:effectLst>
              <a:outerShdw blurRad="254000" sx="102000" sy="102000" algn="ctr" rotWithShape="0">
                <a:prstClr val="black">
                  <a:alpha val="20000"/>
                </a:prstClr>
              </a:outerShdw>
            </a:effectLst>
          </c:spPr>
          <c:invertIfNegative val="0"/>
          <c:cat>
            <c:strRef>
              <c:f>Tables!$A$35:$A$41</c:f>
              <c:strCache>
                <c:ptCount val="6"/>
                <c:pt idx="0">
                  <c:v>0-40</c:v>
                </c:pt>
                <c:pt idx="1">
                  <c:v>41-50</c:v>
                </c:pt>
                <c:pt idx="2">
                  <c:v>51-60</c:v>
                </c:pt>
                <c:pt idx="3">
                  <c:v>61-70</c:v>
                </c:pt>
                <c:pt idx="4">
                  <c:v>71-80</c:v>
                </c:pt>
                <c:pt idx="5">
                  <c:v>80+</c:v>
                </c:pt>
              </c:strCache>
            </c:strRef>
          </c:cat>
          <c:val>
            <c:numRef>
              <c:f>Tables!$H$35:$H$41</c:f>
              <c:numCache>
                <c:formatCode>0.00</c:formatCode>
                <c:ptCount val="6"/>
                <c:pt idx="0">
                  <c:v>245.99632352941177</c:v>
                </c:pt>
                <c:pt idx="1">
                  <c:v>239.75916230366491</c:v>
                </c:pt>
                <c:pt idx="2">
                  <c:v>307.92756183745581</c:v>
                </c:pt>
                <c:pt idx="3">
                  <c:v>314.33333333333331</c:v>
                </c:pt>
                <c:pt idx="4">
                  <c:v>390.95192307692309</c:v>
                </c:pt>
                <c:pt idx="5">
                  <c:v>379.25866050808315</c:v>
                </c:pt>
              </c:numCache>
            </c:numRef>
          </c:val>
          <c:extLst>
            <c:ext xmlns:c16="http://schemas.microsoft.com/office/drawing/2014/chart" uri="{C3380CC4-5D6E-409C-BE32-E72D297353CC}">
              <c16:uniqueId val="{00000005-120C-4171-8555-C27F8578C548}"/>
            </c:ext>
          </c:extLst>
        </c:ser>
        <c:dLbls>
          <c:showLegendKey val="0"/>
          <c:showVal val="0"/>
          <c:showCatName val="0"/>
          <c:showSerName val="0"/>
          <c:showPercent val="0"/>
          <c:showBubbleSize val="0"/>
        </c:dLbls>
        <c:gapWidth val="200"/>
        <c:overlap val="100"/>
        <c:axId val="1266538424"/>
        <c:axId val="1266538784"/>
      </c:barChart>
      <c:lineChart>
        <c:grouping val="standard"/>
        <c:varyColors val="0"/>
        <c:ser>
          <c:idx val="0"/>
          <c:order val="0"/>
          <c:tx>
            <c:strRef>
              <c:f>Tables!$B$34</c:f>
              <c:strCache>
                <c:ptCount val="1"/>
                <c:pt idx="0">
                  <c:v>Average of TotalPurchases</c:v>
                </c:pt>
              </c:strCache>
            </c:strRef>
          </c:tx>
          <c:spPr>
            <a:ln w="31750" cap="rnd">
              <a:solidFill>
                <a:schemeClr val="accent2">
                  <a:shade val="47000"/>
                  <a:alpha val="85000"/>
                </a:schemeClr>
              </a:solidFill>
              <a:round/>
            </a:ln>
            <a:effectLst/>
          </c:spPr>
          <c:marker>
            <c:symbol val="circle"/>
            <c:size val="6"/>
            <c:spPr>
              <a:solidFill>
                <a:schemeClr val="accent2">
                  <a:shade val="47000"/>
                  <a:alpha val="85000"/>
                </a:schemeClr>
              </a:solidFill>
              <a:ln>
                <a:noFill/>
              </a:ln>
              <a:effectLst/>
            </c:spPr>
          </c:marker>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Tables!$A$35:$A$41</c:f>
              <c:strCache>
                <c:ptCount val="6"/>
                <c:pt idx="0">
                  <c:v>0-40</c:v>
                </c:pt>
                <c:pt idx="1">
                  <c:v>41-50</c:v>
                </c:pt>
                <c:pt idx="2">
                  <c:v>51-60</c:v>
                </c:pt>
                <c:pt idx="3">
                  <c:v>61-70</c:v>
                </c:pt>
                <c:pt idx="4">
                  <c:v>71-80</c:v>
                </c:pt>
                <c:pt idx="5">
                  <c:v>80+</c:v>
                </c:pt>
              </c:strCache>
            </c:strRef>
          </c:cat>
          <c:val>
            <c:numRef>
              <c:f>Tables!$B$35:$B$41</c:f>
              <c:numCache>
                <c:formatCode>0.00</c:formatCode>
                <c:ptCount val="6"/>
                <c:pt idx="0">
                  <c:v>10.871323529411764</c:v>
                </c:pt>
                <c:pt idx="1">
                  <c:v>11.392670157068062</c:v>
                </c:pt>
                <c:pt idx="2">
                  <c:v>12.542402826855124</c:v>
                </c:pt>
                <c:pt idx="3">
                  <c:v>13.333333333333334</c:v>
                </c:pt>
                <c:pt idx="4">
                  <c:v>14.567307692307692</c:v>
                </c:pt>
                <c:pt idx="5">
                  <c:v>14.096997690531177</c:v>
                </c:pt>
              </c:numCache>
            </c:numRef>
          </c:val>
          <c:smooth val="0"/>
          <c:extLst>
            <c:ext xmlns:c16="http://schemas.microsoft.com/office/drawing/2014/chart" uri="{C3380CC4-5D6E-409C-BE32-E72D297353CC}">
              <c16:uniqueId val="{00000006-120C-4171-8555-C27F8578C548}"/>
            </c:ext>
          </c:extLst>
        </c:ser>
        <c:dLbls>
          <c:showLegendKey val="0"/>
          <c:showVal val="0"/>
          <c:showCatName val="0"/>
          <c:showSerName val="0"/>
          <c:showPercent val="0"/>
          <c:showBubbleSize val="0"/>
        </c:dLbls>
        <c:marker val="1"/>
        <c:smooth val="0"/>
        <c:axId val="593213056"/>
        <c:axId val="887376232"/>
      </c:lineChart>
      <c:catAx>
        <c:axId val="1266538424"/>
        <c:scaling>
          <c:orientation val="minMax"/>
        </c:scaling>
        <c:delete val="0"/>
        <c:axPos val="b"/>
        <c:title>
          <c:tx>
            <c:rich>
              <a:bodyPr rot="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r>
                  <a:rPr lang="en-IN"/>
                  <a:t>Age category</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endParaRPr lang="en-US"/>
            </a:p>
          </c:txPr>
        </c:title>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266538784"/>
        <c:crosses val="autoZero"/>
        <c:auto val="1"/>
        <c:lblAlgn val="ctr"/>
        <c:lblOffset val="100"/>
        <c:noMultiLvlLbl val="0"/>
      </c:catAx>
      <c:valAx>
        <c:axId val="1266538784"/>
        <c:scaling>
          <c:orientation val="minMax"/>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title>
          <c:tx>
            <c:rich>
              <a:bodyPr rot="-540000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r>
                  <a:rPr lang="en-IN"/>
                  <a:t>Average expenditure</a:t>
                </a:r>
              </a:p>
            </c:rich>
          </c:tx>
          <c:layout>
            <c:manualLayout>
              <c:xMode val="edge"/>
              <c:yMode val="edge"/>
              <c:x val="1.8021287674189323E-2"/>
              <c:y val="0.28104342222523043"/>
            </c:manualLayout>
          </c:layout>
          <c:overlay val="0"/>
          <c:spPr>
            <a:noFill/>
            <a:ln>
              <a:noFill/>
            </a:ln>
            <a:effectLst/>
          </c:spPr>
          <c:txPr>
            <a:bodyPr rot="-540000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1266538424"/>
        <c:crosses val="autoZero"/>
        <c:crossBetween val="between"/>
      </c:valAx>
      <c:valAx>
        <c:axId val="887376232"/>
        <c:scaling>
          <c:orientation val="minMax"/>
        </c:scaling>
        <c:delete val="0"/>
        <c:axPos val="r"/>
        <c:title>
          <c:tx>
            <c:rich>
              <a:bodyPr rot="-540000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r>
                  <a:rPr lang="en-IN"/>
                  <a:t>Number of Purchases</a:t>
                </a:r>
              </a:p>
            </c:rich>
          </c:tx>
          <c:layout>
            <c:manualLayout>
              <c:xMode val="edge"/>
              <c:yMode val="edge"/>
              <c:x val="0.76571600463499589"/>
              <c:y val="0.29937702347513168"/>
            </c:manualLayout>
          </c:layout>
          <c:overlay val="0"/>
          <c:spPr>
            <a:noFill/>
            <a:ln>
              <a:noFill/>
            </a:ln>
            <a:effectLst/>
          </c:spPr>
          <c:txPr>
            <a:bodyPr rot="-540000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endParaRPr lang="en-US"/>
            </a:p>
          </c:txPr>
        </c:title>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593213056"/>
        <c:crosses val="max"/>
        <c:crossBetween val="between"/>
      </c:valAx>
      <c:catAx>
        <c:axId val="593213056"/>
        <c:scaling>
          <c:orientation val="minMax"/>
        </c:scaling>
        <c:delete val="1"/>
        <c:axPos val="b"/>
        <c:numFmt formatCode="General" sourceLinked="1"/>
        <c:majorTickMark val="out"/>
        <c:minorTickMark val="none"/>
        <c:tickLblPos val="nextTo"/>
        <c:crossAx val="887376232"/>
        <c:crosses val="autoZero"/>
        <c:auto val="1"/>
        <c:lblAlgn val="ctr"/>
        <c:lblOffset val="100"/>
        <c:noMultiLvlLbl val="0"/>
      </c:catAx>
      <c:spPr>
        <a:noFill/>
        <a:ln>
          <a:noFill/>
        </a:ln>
        <a:effectLst/>
      </c:spPr>
    </c:plotArea>
    <c:legend>
      <c:legendPos val="r"/>
      <c:layout>
        <c:manualLayout>
          <c:xMode val="edge"/>
          <c:yMode val="edge"/>
          <c:x val="0.79550554253599848"/>
          <c:y val="0.13359941678793419"/>
          <c:w val="0.18870342767481882"/>
          <c:h val="0.74164347073223003"/>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10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[ibam_dashboard.xlsm]Tables!Purchases by education</c:name>
    <c:fmtId val="4"/>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Avg</a:t>
            </a:r>
            <a:r>
              <a:rPr lang="en-US" baseline="0"/>
              <a:t> </a:t>
            </a:r>
            <a:r>
              <a:rPr lang="en-US"/>
              <a:t>Purchases by Education</a:t>
            </a:r>
            <a:endParaRPr lang="en-IN"/>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pivotFmt>
      <c:pivotFmt>
        <c:idx val="7"/>
        <c:spPr>
          <a:solidFill>
            <a:schemeClr val="accent2"/>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extLst>
        </c:dLbl>
      </c:pivotFmt>
      <c:pivotFmt>
        <c:idx val="8"/>
        <c:spPr>
          <a:solidFill>
            <a:schemeClr val="accent2">
              <a:shade val="53000"/>
            </a:schemeClr>
          </a:solidFill>
          <a:ln>
            <a:noFill/>
          </a:ln>
          <a:effectLst>
            <a:outerShdw blurRad="254000" sx="102000" sy="102000" algn="ctr" rotWithShape="0">
              <a:prstClr val="black">
                <a:alpha val="20000"/>
              </a:prstClr>
            </a:outerShdw>
          </a:effectLst>
        </c:spPr>
      </c:pivotFmt>
      <c:pivotFmt>
        <c:idx val="9"/>
        <c:spPr>
          <a:solidFill>
            <a:schemeClr val="accent2">
              <a:shade val="76000"/>
            </a:schemeClr>
          </a:solidFill>
          <a:ln>
            <a:noFill/>
          </a:ln>
          <a:effectLst>
            <a:outerShdw blurRad="254000" sx="102000" sy="102000" algn="ctr" rotWithShape="0">
              <a:prstClr val="black">
                <a:alpha val="20000"/>
              </a:prstClr>
            </a:outerShdw>
          </a:effectLst>
        </c:spPr>
      </c:pivotFmt>
      <c:pivotFmt>
        <c:idx val="10"/>
        <c:spPr>
          <a:solidFill>
            <a:schemeClr val="accent2"/>
          </a:solidFill>
          <a:ln>
            <a:noFill/>
          </a:ln>
          <a:effectLst>
            <a:outerShdw blurRad="254000" sx="102000" sy="102000" algn="ctr" rotWithShape="0">
              <a:prstClr val="black">
                <a:alpha val="20000"/>
              </a:prstClr>
            </a:outerShdw>
          </a:effectLst>
        </c:spPr>
      </c:pivotFmt>
      <c:pivotFmt>
        <c:idx val="11"/>
        <c:spPr>
          <a:solidFill>
            <a:schemeClr val="accent2">
              <a:tint val="77000"/>
            </a:schemeClr>
          </a:solidFill>
          <a:ln>
            <a:noFill/>
          </a:ln>
          <a:effectLst>
            <a:outerShdw blurRad="254000" sx="102000" sy="102000" algn="ctr" rotWithShape="0">
              <a:prstClr val="black">
                <a:alpha val="20000"/>
              </a:prstClr>
            </a:outerShdw>
          </a:effectLst>
        </c:spPr>
      </c:pivotFmt>
      <c:pivotFmt>
        <c:idx val="12"/>
        <c:spPr>
          <a:solidFill>
            <a:schemeClr val="accent2">
              <a:tint val="54000"/>
            </a:schemeClr>
          </a:solidFill>
          <a:ln>
            <a:noFill/>
          </a:ln>
          <a:effectLst>
            <a:outerShdw blurRad="254000" sx="102000" sy="102000" algn="ctr" rotWithShape="0">
              <a:prstClr val="black">
                <a:alpha val="20000"/>
              </a:prstClr>
            </a:outerShdw>
          </a:effectLst>
        </c:spPr>
      </c:pivotFmt>
      <c:pivotFmt>
        <c:idx val="13"/>
        <c:spPr>
          <a:solidFill>
            <a:schemeClr val="accent2"/>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extLst>
        </c:dLbl>
      </c:pivotFmt>
      <c:pivotFmt>
        <c:idx val="14"/>
        <c:spPr>
          <a:solidFill>
            <a:schemeClr val="accent2">
              <a:shade val="53000"/>
            </a:schemeClr>
          </a:solidFill>
          <a:ln>
            <a:noFill/>
          </a:ln>
          <a:effectLst>
            <a:outerShdw blurRad="254000" sx="102000" sy="102000" algn="ctr" rotWithShape="0">
              <a:prstClr val="black">
                <a:alpha val="20000"/>
              </a:prstClr>
            </a:outerShdw>
          </a:effectLst>
        </c:spPr>
      </c:pivotFmt>
      <c:pivotFmt>
        <c:idx val="15"/>
        <c:spPr>
          <a:solidFill>
            <a:schemeClr val="accent2">
              <a:shade val="76000"/>
            </a:schemeClr>
          </a:solidFill>
          <a:ln>
            <a:noFill/>
          </a:ln>
          <a:effectLst>
            <a:outerShdw blurRad="254000" sx="102000" sy="102000" algn="ctr" rotWithShape="0">
              <a:prstClr val="black">
                <a:alpha val="20000"/>
              </a:prstClr>
            </a:outerShdw>
          </a:effectLst>
        </c:spPr>
      </c:pivotFmt>
      <c:pivotFmt>
        <c:idx val="16"/>
        <c:spPr>
          <a:solidFill>
            <a:schemeClr val="accent2"/>
          </a:solidFill>
          <a:ln>
            <a:noFill/>
          </a:ln>
          <a:effectLst>
            <a:outerShdw blurRad="254000" sx="102000" sy="102000" algn="ctr" rotWithShape="0">
              <a:prstClr val="black">
                <a:alpha val="20000"/>
              </a:prstClr>
            </a:outerShdw>
          </a:effectLst>
        </c:spPr>
      </c:pivotFmt>
      <c:pivotFmt>
        <c:idx val="17"/>
        <c:spPr>
          <a:solidFill>
            <a:schemeClr val="accent2">
              <a:tint val="77000"/>
            </a:schemeClr>
          </a:solidFill>
          <a:ln>
            <a:noFill/>
          </a:ln>
          <a:effectLst>
            <a:outerShdw blurRad="254000" sx="102000" sy="102000" algn="ctr" rotWithShape="0">
              <a:prstClr val="black">
                <a:alpha val="20000"/>
              </a:prstClr>
            </a:outerShdw>
          </a:effectLst>
        </c:spPr>
      </c:pivotFmt>
      <c:pivotFmt>
        <c:idx val="18"/>
        <c:spPr>
          <a:solidFill>
            <a:schemeClr val="accent2">
              <a:tint val="54000"/>
            </a:schemeClr>
          </a:solidFill>
          <a:ln>
            <a:noFill/>
          </a:ln>
          <a:effectLst>
            <a:outerShdw blurRad="254000" sx="102000" sy="102000" algn="ctr" rotWithShape="0">
              <a:prstClr val="black">
                <a:alpha val="20000"/>
              </a:prstClr>
            </a:outerShdw>
          </a:effectLst>
        </c:spPr>
      </c:pivotFmt>
      <c:pivotFmt>
        <c:idx val="19"/>
        <c:spPr>
          <a:solidFill>
            <a:schemeClr val="accent2"/>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extLst>
        </c:dLbl>
      </c:pivotFmt>
      <c:pivotFmt>
        <c:idx val="20"/>
        <c:spPr>
          <a:solidFill>
            <a:schemeClr val="accent2">
              <a:shade val="53000"/>
            </a:schemeClr>
          </a:solidFill>
          <a:ln>
            <a:noFill/>
          </a:ln>
          <a:effectLst>
            <a:outerShdw blurRad="254000" sx="102000" sy="102000" algn="ctr" rotWithShape="0">
              <a:prstClr val="black">
                <a:alpha val="20000"/>
              </a:prstClr>
            </a:outerShdw>
          </a:effectLst>
        </c:spPr>
      </c:pivotFmt>
      <c:pivotFmt>
        <c:idx val="21"/>
        <c:spPr>
          <a:solidFill>
            <a:schemeClr val="accent2">
              <a:shade val="76000"/>
            </a:schemeClr>
          </a:solidFill>
          <a:ln>
            <a:noFill/>
          </a:ln>
          <a:effectLst>
            <a:outerShdw blurRad="254000" sx="102000" sy="102000" algn="ctr" rotWithShape="0">
              <a:prstClr val="black">
                <a:alpha val="20000"/>
              </a:prstClr>
            </a:outerShdw>
          </a:effectLst>
        </c:spPr>
      </c:pivotFmt>
      <c:pivotFmt>
        <c:idx val="22"/>
        <c:spPr>
          <a:solidFill>
            <a:schemeClr val="accent2"/>
          </a:solidFill>
          <a:ln>
            <a:noFill/>
          </a:ln>
          <a:effectLst>
            <a:outerShdw blurRad="254000" sx="102000" sy="102000" algn="ctr" rotWithShape="0">
              <a:prstClr val="black">
                <a:alpha val="20000"/>
              </a:prstClr>
            </a:outerShdw>
          </a:effectLst>
        </c:spPr>
      </c:pivotFmt>
      <c:pivotFmt>
        <c:idx val="23"/>
        <c:spPr>
          <a:solidFill>
            <a:schemeClr val="accent2">
              <a:tint val="77000"/>
            </a:schemeClr>
          </a:solidFill>
          <a:ln>
            <a:noFill/>
          </a:ln>
          <a:effectLst>
            <a:outerShdw blurRad="254000" sx="102000" sy="102000" algn="ctr" rotWithShape="0">
              <a:prstClr val="black">
                <a:alpha val="20000"/>
              </a:prstClr>
            </a:outerShdw>
          </a:effectLst>
        </c:spPr>
      </c:pivotFmt>
      <c:pivotFmt>
        <c:idx val="24"/>
        <c:spPr>
          <a:solidFill>
            <a:schemeClr val="accent2">
              <a:tint val="54000"/>
            </a:schemeClr>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Tables!$E$3</c:f>
              <c:strCache>
                <c:ptCount val="1"/>
                <c:pt idx="0">
                  <c:v>Total</c:v>
                </c:pt>
              </c:strCache>
            </c:strRef>
          </c:tx>
          <c:dPt>
            <c:idx val="0"/>
            <c:bubble3D val="0"/>
            <c:spPr>
              <a:solidFill>
                <a:schemeClr val="accent2">
                  <a:shade val="76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F4F7-4A9D-9E09-683BCECD15DE}"/>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F4F7-4A9D-9E09-683BCECD15DE}"/>
              </c:ext>
            </c:extLst>
          </c:dPt>
          <c:dPt>
            <c:idx val="2"/>
            <c:bubble3D val="0"/>
            <c:spPr>
              <a:solidFill>
                <a:schemeClr val="accent2">
                  <a:tint val="77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F4F7-4A9D-9E09-683BCECD15DE}"/>
              </c:ext>
            </c:extLst>
          </c:dPt>
          <c:dPt>
            <c:idx val="3"/>
            <c:bubble3D val="0"/>
            <c:spPr>
              <a:solidFill>
                <a:schemeClr val="accent2">
                  <a:tint val="54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F4F7-4A9D-9E09-683BCECD15DE}"/>
              </c:ext>
            </c:extLst>
          </c:dPt>
          <c:dPt>
            <c:idx val="4"/>
            <c:bubble3D val="0"/>
            <c:spPr>
              <a:solidFill>
                <a:schemeClr val="accent2">
                  <a:tint val="3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F4F7-4A9D-9E09-683BCECD15DE}"/>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Tables!$D$4:$D$8</c:f>
              <c:strCache>
                <c:ptCount val="4"/>
                <c:pt idx="0">
                  <c:v>Basic</c:v>
                </c:pt>
                <c:pt idx="1">
                  <c:v>Graduation</c:v>
                </c:pt>
                <c:pt idx="2">
                  <c:v>Master</c:v>
                </c:pt>
                <c:pt idx="3">
                  <c:v>PhD</c:v>
                </c:pt>
              </c:strCache>
            </c:strRef>
          </c:cat>
          <c:val>
            <c:numRef>
              <c:f>Tables!$E$4:$E$8</c:f>
              <c:numCache>
                <c:formatCode>0.00</c:formatCode>
                <c:ptCount val="4"/>
                <c:pt idx="0">
                  <c:v>5.2857142857142856</c:v>
                </c:pt>
                <c:pt idx="1">
                  <c:v>12.716229348882409</c:v>
                </c:pt>
                <c:pt idx="2">
                  <c:v>12.170132325141777</c:v>
                </c:pt>
                <c:pt idx="3">
                  <c:v>13.339285714285714</c:v>
                </c:pt>
              </c:numCache>
            </c:numRef>
          </c:val>
          <c:extLst>
            <c:ext xmlns:c16="http://schemas.microsoft.com/office/drawing/2014/chart" uri="{C3380CC4-5D6E-409C-BE32-E72D297353CC}">
              <c16:uniqueId val="{0000000A-F4F7-4A9D-9E09-683BCECD15DE}"/>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[ibam_dashboard.xlsm]Tables!Purchase method by numchildren</c:name>
    <c:fmtId val="4"/>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IN"/>
              <a:t>Purchase method by Number of Children</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2"/>
          </a:solidFill>
          <a:ln>
            <a:noFill/>
          </a:ln>
          <a:effectLst>
            <a:outerShdw blurRad="254000" sx="102000" sy="102000" algn="ctr" rotWithShape="0">
              <a:prstClr val="black">
                <a:alpha val="20000"/>
              </a:prstClr>
            </a:outerShdw>
          </a:effectLst>
        </c:spPr>
        <c:marker>
          <c:symbol val="circle"/>
          <c:size val="6"/>
          <c:spPr>
            <a:solidFill>
              <a:schemeClr val="accent2">
                <a:shade val="65000"/>
                <a:alpha val="85000"/>
              </a:schemeClr>
            </a:solidFill>
            <a:ln>
              <a:noFill/>
            </a:ln>
            <a:effectLst/>
          </c:spPr>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2"/>
          </a:solidFill>
          <a:ln>
            <a:noFill/>
          </a:ln>
          <a:effectLst>
            <a:outerShdw blurRad="254000" sx="102000" sy="102000" algn="ctr" rotWithShape="0">
              <a:prstClr val="black">
                <a:alpha val="20000"/>
              </a:prstClr>
            </a:outerShdw>
          </a:effectLst>
        </c:spPr>
        <c:marker>
          <c:symbol val="circle"/>
          <c:size val="6"/>
          <c:spPr>
            <a:solidFill>
              <a:schemeClr val="accent2">
                <a:alpha val="85000"/>
              </a:schemeClr>
            </a:solidFill>
            <a:ln>
              <a:noFill/>
            </a:ln>
            <a:effectLst/>
          </c:spPr>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2"/>
          </a:solidFill>
          <a:ln>
            <a:noFill/>
          </a:ln>
          <a:effectLst>
            <a:outerShdw blurRad="254000" sx="102000" sy="102000" algn="ctr" rotWithShape="0">
              <a:prstClr val="black">
                <a:alpha val="20000"/>
              </a:prstClr>
            </a:outerShdw>
          </a:effectLst>
        </c:spPr>
        <c:marker>
          <c:symbol val="circle"/>
          <c:size val="6"/>
          <c:spPr>
            <a:solidFill>
              <a:schemeClr val="accent2">
                <a:tint val="65000"/>
                <a:alpha val="85000"/>
              </a:schemeClr>
            </a:solidFill>
            <a:ln>
              <a:noFill/>
            </a:ln>
            <a:effectLst/>
          </c:spPr>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2"/>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2"/>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2"/>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2"/>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2"/>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2"/>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421903362434092"/>
          <c:y val="0.23211996600167903"/>
          <c:w val="0.83350645354630359"/>
          <c:h val="0.51903217996816142"/>
        </c:manualLayout>
      </c:layout>
      <c:barChart>
        <c:barDir val="bar"/>
        <c:grouping val="percentStacked"/>
        <c:varyColors val="0"/>
        <c:ser>
          <c:idx val="0"/>
          <c:order val="0"/>
          <c:tx>
            <c:strRef>
              <c:f>Tables!$B$89</c:f>
              <c:strCache>
                <c:ptCount val="1"/>
                <c:pt idx="0">
                  <c:v>Average of NumWebPurchases</c:v>
                </c:pt>
              </c:strCache>
            </c:strRef>
          </c:tx>
          <c:spPr>
            <a:solidFill>
              <a:schemeClr val="accent2">
                <a:shade val="65000"/>
              </a:schemeClr>
            </a:solidFill>
            <a:ln>
              <a:noFill/>
            </a:ln>
            <a:effectLst>
              <a:outerShdw blurRad="254000" sx="102000" sy="102000" algn="ctr" rotWithShape="0">
                <a:prstClr val="black">
                  <a:alpha val="20000"/>
                </a:prstClr>
              </a:outerShdw>
            </a:effectLst>
          </c:spPr>
          <c:invertIfNegative val="0"/>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Tables!$A$90:$A$94</c:f>
              <c:strCache>
                <c:ptCount val="4"/>
                <c:pt idx="0">
                  <c:v>0</c:v>
                </c:pt>
                <c:pt idx="1">
                  <c:v>1</c:v>
                </c:pt>
                <c:pt idx="2">
                  <c:v>2</c:v>
                </c:pt>
                <c:pt idx="3">
                  <c:v>3</c:v>
                </c:pt>
              </c:strCache>
            </c:strRef>
          </c:cat>
          <c:val>
            <c:numRef>
              <c:f>Tables!$B$90:$B$94</c:f>
              <c:numCache>
                <c:formatCode>0.00</c:formatCode>
                <c:ptCount val="4"/>
                <c:pt idx="0">
                  <c:v>4.4506065857885613</c:v>
                </c:pt>
                <c:pt idx="1">
                  <c:v>4.2895493767976989</c:v>
                </c:pt>
                <c:pt idx="2">
                  <c:v>3.2273901808785528</c:v>
                </c:pt>
                <c:pt idx="3">
                  <c:v>2.7291666666666665</c:v>
                </c:pt>
              </c:numCache>
            </c:numRef>
          </c:val>
          <c:extLst>
            <c:ext xmlns:c16="http://schemas.microsoft.com/office/drawing/2014/chart" uri="{C3380CC4-5D6E-409C-BE32-E72D297353CC}">
              <c16:uniqueId val="{00000000-0807-4901-841E-940207B0395D}"/>
            </c:ext>
          </c:extLst>
        </c:ser>
        <c:ser>
          <c:idx val="1"/>
          <c:order val="1"/>
          <c:tx>
            <c:strRef>
              <c:f>Tables!$C$89</c:f>
              <c:strCache>
                <c:ptCount val="1"/>
                <c:pt idx="0">
                  <c:v>Average of NumCatalogPurchases</c:v>
                </c:pt>
              </c:strCache>
            </c:strRef>
          </c:tx>
          <c:spPr>
            <a:solidFill>
              <a:schemeClr val="accent2"/>
            </a:solidFill>
            <a:ln>
              <a:noFill/>
            </a:ln>
            <a:effectLst>
              <a:outerShdw blurRad="254000" sx="102000" sy="102000" algn="ctr" rotWithShape="0">
                <a:prstClr val="black">
                  <a:alpha val="20000"/>
                </a:prstClr>
              </a:outerShdw>
            </a:effectLst>
          </c:spPr>
          <c:invertIfNegative val="0"/>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Tables!$A$90:$A$94</c:f>
              <c:strCache>
                <c:ptCount val="4"/>
                <c:pt idx="0">
                  <c:v>0</c:v>
                </c:pt>
                <c:pt idx="1">
                  <c:v>1</c:v>
                </c:pt>
                <c:pt idx="2">
                  <c:v>2</c:v>
                </c:pt>
                <c:pt idx="3">
                  <c:v>3</c:v>
                </c:pt>
              </c:strCache>
            </c:strRef>
          </c:cat>
          <c:val>
            <c:numRef>
              <c:f>Tables!$C$90:$C$94</c:f>
              <c:numCache>
                <c:formatCode>0.00</c:formatCode>
                <c:ptCount val="4"/>
                <c:pt idx="0">
                  <c:v>4.7920277296360485</c:v>
                </c:pt>
                <c:pt idx="1">
                  <c:v>2.1371045062320229</c:v>
                </c:pt>
                <c:pt idx="2">
                  <c:v>1.1111111111111112</c:v>
                </c:pt>
                <c:pt idx="3">
                  <c:v>1.0416666666666667</c:v>
                </c:pt>
              </c:numCache>
            </c:numRef>
          </c:val>
          <c:extLst>
            <c:ext xmlns:c16="http://schemas.microsoft.com/office/drawing/2014/chart" uri="{C3380CC4-5D6E-409C-BE32-E72D297353CC}">
              <c16:uniqueId val="{00000001-0807-4901-841E-940207B0395D}"/>
            </c:ext>
          </c:extLst>
        </c:ser>
        <c:ser>
          <c:idx val="2"/>
          <c:order val="2"/>
          <c:tx>
            <c:strRef>
              <c:f>Tables!$D$89</c:f>
              <c:strCache>
                <c:ptCount val="1"/>
                <c:pt idx="0">
                  <c:v>Average of NumStorePurchases</c:v>
                </c:pt>
              </c:strCache>
            </c:strRef>
          </c:tx>
          <c:spPr>
            <a:solidFill>
              <a:schemeClr val="accent2">
                <a:tint val="65000"/>
              </a:schemeClr>
            </a:solidFill>
            <a:ln>
              <a:noFill/>
            </a:ln>
            <a:effectLst>
              <a:outerShdw blurRad="254000" sx="102000" sy="102000" algn="ctr" rotWithShape="0">
                <a:prstClr val="black">
                  <a:alpha val="20000"/>
                </a:prstClr>
              </a:outerShdw>
            </a:effectLst>
          </c:spPr>
          <c:invertIfNegative val="0"/>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Tables!$A$90:$A$94</c:f>
              <c:strCache>
                <c:ptCount val="4"/>
                <c:pt idx="0">
                  <c:v>0</c:v>
                </c:pt>
                <c:pt idx="1">
                  <c:v>1</c:v>
                </c:pt>
                <c:pt idx="2">
                  <c:v>2</c:v>
                </c:pt>
                <c:pt idx="3">
                  <c:v>3</c:v>
                </c:pt>
              </c:strCache>
            </c:strRef>
          </c:cat>
          <c:val>
            <c:numRef>
              <c:f>Tables!$D$90:$D$94</c:f>
              <c:numCache>
                <c:formatCode>0.00</c:formatCode>
                <c:ptCount val="4"/>
                <c:pt idx="0">
                  <c:v>7.3015597920277298</c:v>
                </c:pt>
                <c:pt idx="1">
                  <c:v>5.5599232981783313</c:v>
                </c:pt>
                <c:pt idx="2">
                  <c:v>4.2894056847545219</c:v>
                </c:pt>
                <c:pt idx="3">
                  <c:v>3.9583333333333335</c:v>
                </c:pt>
              </c:numCache>
            </c:numRef>
          </c:val>
          <c:extLst>
            <c:ext xmlns:c16="http://schemas.microsoft.com/office/drawing/2014/chart" uri="{C3380CC4-5D6E-409C-BE32-E72D297353CC}">
              <c16:uniqueId val="{00000002-0807-4901-841E-940207B0395D}"/>
            </c:ext>
          </c:extLst>
        </c:ser>
        <c:dLbls>
          <c:showLegendKey val="0"/>
          <c:showVal val="0"/>
          <c:showCatName val="0"/>
          <c:showSerName val="0"/>
          <c:showPercent val="0"/>
          <c:showBubbleSize val="0"/>
        </c:dLbls>
        <c:gapWidth val="150"/>
        <c:overlap val="100"/>
        <c:axId val="1394416040"/>
        <c:axId val="1394417120"/>
      </c:barChart>
      <c:valAx>
        <c:axId val="1394417120"/>
        <c:scaling>
          <c:orientation val="minMax"/>
        </c:scaling>
        <c:delete val="1"/>
        <c:axPos val="b"/>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1"/>
        <c:majorTickMark val="none"/>
        <c:minorTickMark val="none"/>
        <c:tickLblPos val="nextTo"/>
        <c:crossAx val="1394416040"/>
        <c:crosses val="autoZero"/>
        <c:crossBetween val="between"/>
      </c:valAx>
      <c:catAx>
        <c:axId val="1394416040"/>
        <c:scaling>
          <c:orientation val="minMax"/>
        </c:scaling>
        <c:delete val="0"/>
        <c:axPos val="l"/>
        <c:title>
          <c:tx>
            <c:rich>
              <a:bodyPr rot="-540000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r>
                  <a:rPr lang="en-IN" sz="1000"/>
                  <a:t>Number of Children</a:t>
                </a:r>
              </a:p>
            </c:rich>
          </c:tx>
          <c:layout>
            <c:manualLayout>
              <c:xMode val="edge"/>
              <c:yMode val="edge"/>
              <c:x val="3.7877883214801324E-2"/>
              <c:y val="0.26566991208173546"/>
            </c:manualLayout>
          </c:layout>
          <c:overlay val="0"/>
          <c:spPr>
            <a:noFill/>
            <a:ln>
              <a:noFill/>
            </a:ln>
            <a:effectLst/>
          </c:spPr>
          <c:txPr>
            <a:bodyPr rot="-540000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endParaRPr lang="en-US"/>
            </a:p>
          </c:txPr>
        </c:title>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394417120"/>
        <c:crosses val="autoZero"/>
        <c:auto val="1"/>
        <c:lblAlgn val="ctr"/>
        <c:lblOffset val="100"/>
        <c:noMultiLvlLbl val="0"/>
      </c:catAx>
      <c:spPr>
        <a:noFill/>
        <a:ln>
          <a:noFill/>
        </a:ln>
        <a:effectLst/>
      </c:spPr>
    </c:plotArea>
    <c:legend>
      <c:legendPos val="b"/>
      <c:layout>
        <c:manualLayout>
          <c:xMode val="edge"/>
          <c:yMode val="edge"/>
          <c:x val="6.5773323119906885E-2"/>
          <c:y val="0.81539495821116581"/>
          <c:w val="0.87835220615272558"/>
          <c:h val="0.12450855678148193"/>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[ibam_dashboard.xlsm]Tables!Webvisits by children</c:name>
    <c:fmtId val="4"/>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sz="1800"/>
              <a:t>Average Web visits per Month by Number of Children</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2"/>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2"/>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2">
              <a:shade val="58000"/>
            </a:schemeClr>
          </a:solidFill>
          <a:ln>
            <a:noFill/>
          </a:ln>
          <a:effectLst>
            <a:outerShdw blurRad="254000" sx="102000" sy="102000" algn="ctr" rotWithShape="0">
              <a:prstClr val="black">
                <a:alpha val="20000"/>
              </a:prstClr>
            </a:outerShdw>
          </a:effectLst>
        </c:spPr>
      </c:pivotFmt>
      <c:pivotFmt>
        <c:idx val="3"/>
        <c:spPr>
          <a:solidFill>
            <a:schemeClr val="accent2">
              <a:shade val="86000"/>
            </a:schemeClr>
          </a:solidFill>
          <a:ln>
            <a:noFill/>
          </a:ln>
          <a:effectLst>
            <a:outerShdw blurRad="254000" sx="102000" sy="102000" algn="ctr" rotWithShape="0">
              <a:prstClr val="black">
                <a:alpha val="20000"/>
              </a:prstClr>
            </a:outerShdw>
          </a:effectLst>
        </c:spPr>
      </c:pivotFmt>
      <c:pivotFmt>
        <c:idx val="4"/>
        <c:spPr>
          <a:solidFill>
            <a:schemeClr val="accent2">
              <a:tint val="86000"/>
            </a:schemeClr>
          </a:solidFill>
          <a:ln>
            <a:noFill/>
          </a:ln>
          <a:effectLst>
            <a:outerShdw blurRad="254000" sx="102000" sy="102000" algn="ctr" rotWithShape="0">
              <a:prstClr val="black">
                <a:alpha val="20000"/>
              </a:prstClr>
            </a:outerShdw>
          </a:effectLst>
        </c:spPr>
      </c:pivotFmt>
      <c:pivotFmt>
        <c:idx val="5"/>
        <c:spPr>
          <a:solidFill>
            <a:schemeClr val="accent2">
              <a:tint val="58000"/>
            </a:schemeClr>
          </a:solidFill>
          <a:ln>
            <a:noFill/>
          </a:ln>
          <a:effectLst>
            <a:outerShdw blurRad="254000" sx="102000" sy="102000" algn="ctr" rotWithShape="0">
              <a:prstClr val="black">
                <a:alpha val="20000"/>
              </a:prstClr>
            </a:outerShdw>
          </a:effectLst>
        </c:spPr>
      </c:pivotFmt>
      <c:pivotFmt>
        <c:idx val="6"/>
        <c:spPr>
          <a:solidFill>
            <a:schemeClr val="accent2"/>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7"/>
        <c:spPr>
          <a:solidFill>
            <a:schemeClr val="accent2">
              <a:shade val="58000"/>
            </a:schemeClr>
          </a:solidFill>
          <a:ln>
            <a:noFill/>
          </a:ln>
          <a:effectLst>
            <a:outerShdw blurRad="254000" sx="102000" sy="102000" algn="ctr" rotWithShape="0">
              <a:prstClr val="black">
                <a:alpha val="20000"/>
              </a:prstClr>
            </a:outerShdw>
          </a:effectLst>
        </c:spPr>
      </c:pivotFmt>
      <c:pivotFmt>
        <c:idx val="8"/>
        <c:spPr>
          <a:solidFill>
            <a:schemeClr val="accent2">
              <a:shade val="86000"/>
            </a:schemeClr>
          </a:solidFill>
          <a:ln>
            <a:noFill/>
          </a:ln>
          <a:effectLst>
            <a:outerShdw blurRad="254000" sx="102000" sy="102000" algn="ctr" rotWithShape="0">
              <a:prstClr val="black">
                <a:alpha val="20000"/>
              </a:prstClr>
            </a:outerShdw>
          </a:effectLst>
        </c:spPr>
        <c:dLbl>
          <c:idx val="0"/>
          <c:layout>
            <c:manualLayout>
              <c:x val="1.6555876758886216E-4"/>
              <c:y val="4.4858093404056221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9"/>
        <c:spPr>
          <a:solidFill>
            <a:schemeClr val="accent2">
              <a:tint val="86000"/>
            </a:schemeClr>
          </a:solidFill>
          <a:ln>
            <a:noFill/>
          </a:ln>
          <a:effectLst>
            <a:outerShdw blurRad="254000" sx="102000" sy="102000" algn="ctr" rotWithShape="0">
              <a:prstClr val="black">
                <a:alpha val="20000"/>
              </a:prstClr>
            </a:outerShdw>
          </a:effectLst>
        </c:spPr>
        <c:dLbl>
          <c:idx val="0"/>
          <c:layout>
            <c:manualLayout>
              <c:x val="-2.8575233338137138E-2"/>
              <c:y val="-2.3628030754474044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10"/>
        <c:spPr>
          <a:solidFill>
            <a:schemeClr val="accent2">
              <a:tint val="58000"/>
            </a:schemeClr>
          </a:solidFill>
          <a:ln>
            <a:noFill/>
          </a:ln>
          <a:effectLst>
            <a:outerShdw blurRad="254000" sx="102000" sy="102000" algn="ctr" rotWithShape="0">
              <a:prstClr val="black">
                <a:alpha val="20000"/>
              </a:prstClr>
            </a:outerShdw>
          </a:effectLst>
        </c:spPr>
        <c:dLbl>
          <c:idx val="0"/>
          <c:layout>
            <c:manualLayout>
              <c:x val="4.254500416671228E-2"/>
              <c:y val="-3.6423914236098857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11"/>
        <c:spPr>
          <a:solidFill>
            <a:schemeClr val="accent2"/>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12"/>
        <c:spPr>
          <a:solidFill>
            <a:schemeClr val="accent2">
              <a:shade val="58000"/>
            </a:schemeClr>
          </a:solidFill>
          <a:ln>
            <a:noFill/>
          </a:ln>
          <a:effectLst>
            <a:outerShdw blurRad="254000" sx="102000" sy="102000" algn="ctr" rotWithShape="0">
              <a:prstClr val="black">
                <a:alpha val="20000"/>
              </a:prstClr>
            </a:outerShdw>
          </a:effectLst>
        </c:spPr>
      </c:pivotFmt>
      <c:pivotFmt>
        <c:idx val="13"/>
        <c:spPr>
          <a:solidFill>
            <a:schemeClr val="accent2">
              <a:shade val="86000"/>
            </a:schemeClr>
          </a:solidFill>
          <a:ln>
            <a:noFill/>
          </a:ln>
          <a:effectLst>
            <a:outerShdw blurRad="254000" sx="102000" sy="102000" algn="ctr" rotWithShape="0">
              <a:prstClr val="black">
                <a:alpha val="20000"/>
              </a:prstClr>
            </a:outerShdw>
          </a:effectLst>
        </c:spPr>
        <c:dLbl>
          <c:idx val="0"/>
          <c:layout>
            <c:manualLayout>
              <c:x val="1.6555876758886216E-4"/>
              <c:y val="4.4858093404056221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14"/>
        <c:spPr>
          <a:solidFill>
            <a:schemeClr val="accent2">
              <a:tint val="86000"/>
            </a:schemeClr>
          </a:solidFill>
          <a:ln>
            <a:noFill/>
          </a:ln>
          <a:effectLst>
            <a:outerShdw blurRad="254000" sx="102000" sy="102000" algn="ctr" rotWithShape="0">
              <a:prstClr val="black">
                <a:alpha val="20000"/>
              </a:prstClr>
            </a:outerShdw>
          </a:effectLst>
        </c:spPr>
        <c:dLbl>
          <c:idx val="0"/>
          <c:layout>
            <c:manualLayout>
              <c:x val="-2.8575233338137138E-2"/>
              <c:y val="-2.3628030754474044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15"/>
        <c:spPr>
          <a:solidFill>
            <a:schemeClr val="accent2">
              <a:tint val="58000"/>
            </a:schemeClr>
          </a:solidFill>
          <a:ln>
            <a:noFill/>
          </a:ln>
          <a:effectLst>
            <a:outerShdw blurRad="254000" sx="102000" sy="102000" algn="ctr" rotWithShape="0">
              <a:prstClr val="black">
                <a:alpha val="20000"/>
              </a:prstClr>
            </a:outerShdw>
          </a:effectLst>
        </c:spPr>
        <c:dLbl>
          <c:idx val="0"/>
          <c:layout>
            <c:manualLayout>
              <c:x val="4.254500416671228E-2"/>
              <c:y val="-3.6423914236098857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16"/>
        <c:spPr>
          <a:solidFill>
            <a:schemeClr val="accent2"/>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17"/>
        <c:spPr>
          <a:solidFill>
            <a:schemeClr val="accent2">
              <a:shade val="58000"/>
            </a:schemeClr>
          </a:solidFill>
          <a:ln>
            <a:noFill/>
          </a:ln>
          <a:effectLst>
            <a:outerShdw blurRad="254000" sx="102000" sy="102000" algn="ctr" rotWithShape="0">
              <a:prstClr val="black">
                <a:alpha val="20000"/>
              </a:prstClr>
            </a:outerShdw>
          </a:effectLst>
        </c:spPr>
      </c:pivotFmt>
      <c:pivotFmt>
        <c:idx val="18"/>
        <c:spPr>
          <a:solidFill>
            <a:schemeClr val="accent2">
              <a:shade val="86000"/>
            </a:schemeClr>
          </a:solidFill>
          <a:ln>
            <a:noFill/>
          </a:ln>
          <a:effectLst>
            <a:outerShdw blurRad="254000" sx="102000" sy="102000" algn="ctr" rotWithShape="0">
              <a:prstClr val="black">
                <a:alpha val="20000"/>
              </a:prstClr>
            </a:outerShdw>
          </a:effectLst>
        </c:spPr>
        <c:dLbl>
          <c:idx val="0"/>
          <c:layout>
            <c:manualLayout>
              <c:x val="1.6555876758886216E-4"/>
              <c:y val="4.4858093404056221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19"/>
        <c:spPr>
          <a:solidFill>
            <a:schemeClr val="accent2">
              <a:tint val="86000"/>
            </a:schemeClr>
          </a:solidFill>
          <a:ln>
            <a:noFill/>
          </a:ln>
          <a:effectLst>
            <a:outerShdw blurRad="254000" sx="102000" sy="102000" algn="ctr" rotWithShape="0">
              <a:prstClr val="black">
                <a:alpha val="20000"/>
              </a:prstClr>
            </a:outerShdw>
          </a:effectLst>
        </c:spPr>
        <c:dLbl>
          <c:idx val="0"/>
          <c:layout>
            <c:manualLayout>
              <c:x val="-2.8575233338137138E-2"/>
              <c:y val="-2.3628030754474044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20"/>
        <c:spPr>
          <a:solidFill>
            <a:schemeClr val="accent2">
              <a:tint val="58000"/>
            </a:schemeClr>
          </a:solidFill>
          <a:ln>
            <a:noFill/>
          </a:ln>
          <a:effectLst>
            <a:outerShdw blurRad="254000" sx="102000" sy="102000" algn="ctr" rotWithShape="0">
              <a:prstClr val="black">
                <a:alpha val="20000"/>
              </a:prstClr>
            </a:outerShdw>
          </a:effectLst>
        </c:spPr>
        <c:dLbl>
          <c:idx val="0"/>
          <c:layout>
            <c:manualLayout>
              <c:x val="4.254500416671228E-2"/>
              <c:y val="-3.6423914236098857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s>
    <c:plotArea>
      <c:layout/>
      <c:ofPieChart>
        <c:ofPieType val="pie"/>
        <c:varyColors val="1"/>
        <c:ser>
          <c:idx val="0"/>
          <c:order val="0"/>
          <c:tx>
            <c:strRef>
              <c:f>Tables!$B$96</c:f>
              <c:strCache>
                <c:ptCount val="1"/>
                <c:pt idx="0">
                  <c:v>Total</c:v>
                </c:pt>
              </c:strCache>
            </c:strRef>
          </c:tx>
          <c:dPt>
            <c:idx val="0"/>
            <c:bubble3D val="0"/>
            <c:spPr>
              <a:solidFill>
                <a:schemeClr val="accent2">
                  <a:shade val="58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D1D1-444A-B7B6-9EEEB112F8A3}"/>
              </c:ext>
            </c:extLst>
          </c:dPt>
          <c:dPt>
            <c:idx val="1"/>
            <c:bubble3D val="0"/>
            <c:spPr>
              <a:solidFill>
                <a:schemeClr val="accent2">
                  <a:shade val="86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D1D1-444A-B7B6-9EEEB112F8A3}"/>
              </c:ext>
            </c:extLst>
          </c:dPt>
          <c:dPt>
            <c:idx val="2"/>
            <c:bubble3D val="0"/>
            <c:spPr>
              <a:solidFill>
                <a:schemeClr val="accent2">
                  <a:tint val="86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D1D1-444A-B7B6-9EEEB112F8A3}"/>
              </c:ext>
            </c:extLst>
          </c:dPt>
          <c:dPt>
            <c:idx val="3"/>
            <c:bubble3D val="0"/>
            <c:spPr>
              <a:solidFill>
                <a:schemeClr val="accent2">
                  <a:tint val="58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D1D1-444A-B7B6-9EEEB112F8A3}"/>
              </c:ext>
            </c:extLst>
          </c:dPt>
          <c:dPt>
            <c:idx val="4"/>
            <c:bubble3D val="0"/>
            <c:spPr>
              <a:solidFill>
                <a:schemeClr val="accent2">
                  <a:tint val="3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D1D1-444A-B7B6-9EEEB112F8A3}"/>
              </c:ext>
            </c:extLst>
          </c:dPt>
          <c:dLbls>
            <c:dLbl>
              <c:idx val="1"/>
              <c:layout>
                <c:manualLayout>
                  <c:x val="1.6555876758886216E-4"/>
                  <c:y val="4.4858093404056221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D1D1-444A-B7B6-9EEEB112F8A3}"/>
                </c:ext>
              </c:extLst>
            </c:dLbl>
            <c:dLbl>
              <c:idx val="2"/>
              <c:layout>
                <c:manualLayout>
                  <c:x val="-2.8575233338137138E-2"/>
                  <c:y val="-2.3628030754474044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D1D1-444A-B7B6-9EEEB112F8A3}"/>
                </c:ext>
              </c:extLst>
            </c:dLbl>
            <c:dLbl>
              <c:idx val="3"/>
              <c:layout>
                <c:manualLayout>
                  <c:x val="4.254500416671228E-2"/>
                  <c:y val="-3.6423914236098857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D1D1-444A-B7B6-9EEEB112F8A3}"/>
                </c:ext>
              </c:extLst>
            </c:dLbl>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Tables!$A$97:$A$101</c:f>
              <c:strCache>
                <c:ptCount val="4"/>
                <c:pt idx="0">
                  <c:v>0</c:v>
                </c:pt>
                <c:pt idx="1">
                  <c:v>1</c:v>
                </c:pt>
                <c:pt idx="2">
                  <c:v>2</c:v>
                </c:pt>
                <c:pt idx="3">
                  <c:v>3</c:v>
                </c:pt>
              </c:strCache>
            </c:strRef>
          </c:cat>
          <c:val>
            <c:numRef>
              <c:f>Tables!$B$97:$B$101</c:f>
              <c:numCache>
                <c:formatCode>0.00</c:formatCode>
                <c:ptCount val="4"/>
                <c:pt idx="0">
                  <c:v>3.4783362218370883</c:v>
                </c:pt>
                <c:pt idx="1">
                  <c:v>5.9194630872483218</c:v>
                </c:pt>
                <c:pt idx="2">
                  <c:v>6.3074935400516798</c:v>
                </c:pt>
                <c:pt idx="3">
                  <c:v>6.354166666666667</c:v>
                </c:pt>
              </c:numCache>
            </c:numRef>
          </c:val>
          <c:extLst>
            <c:ext xmlns:c16="http://schemas.microsoft.com/office/drawing/2014/chart" uri="{C3380CC4-5D6E-409C-BE32-E72D297353CC}">
              <c16:uniqueId val="{0000000A-D1D1-444A-B7B6-9EEEB112F8A3}"/>
            </c:ext>
          </c:extLst>
        </c:ser>
        <c:dLbls>
          <c:dLblPos val="ctr"/>
          <c:showLegendKey val="0"/>
          <c:showVal val="0"/>
          <c:showCatName val="0"/>
          <c:showSerName val="0"/>
          <c:showPercent val="1"/>
          <c:showBubbleSize val="0"/>
          <c:showLeaderLines val="1"/>
        </c:dLbls>
        <c:gapWidth val="100"/>
        <c:splitType val="pos"/>
        <c:splitPos val="3"/>
        <c:secondPieSize val="75"/>
        <c:serLines>
          <c:spPr>
            <a:ln w="9525">
              <a:solidFill>
                <a:schemeClr val="dk1">
                  <a:lumMod val="50000"/>
                  <a:lumOff val="50000"/>
                </a:schemeClr>
              </a:solidFill>
              <a:round/>
            </a:ln>
            <a:effectLst/>
          </c:spPr>
        </c:serLines>
      </c:of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_xlchart.v1.4</cx:f>
      </cx:strDim>
      <cx:numDim type="size">
        <cx:f>_xlchart.v1.6</cx:f>
      </cx:numDim>
    </cx:data>
  </cx:chartData>
  <cx:chart>
    <cx:title pos="t" align="ctr" overlay="0">
      <cx:tx>
        <cx:txData>
          <cx:v>Deals given by Customer type and Activity</cx:v>
        </cx:txData>
      </cx:tx>
      <cx:txPr>
        <a:bodyPr spcFirstLastPara="1" vertOverflow="ellipsis" horzOverflow="overflow" wrap="square" lIns="0" tIns="0" rIns="0" bIns="0" anchor="ctr" anchorCtr="1"/>
        <a:lstStyle/>
        <a:p>
          <a:pPr algn="ctr" rtl="0">
            <a:defRPr/>
          </a:pPr>
          <a:r>
            <a:rPr lang="en-US" sz="1600" b="1" i="0" u="none" strike="noStrike" kern="1200" spc="100" baseline="0">
              <a:solidFill>
                <a:sysClr val="window" lastClr="FFFFFF">
                  <a:lumMod val="95000"/>
                </a:sysClr>
              </a:solidFill>
              <a:effectLst>
                <a:outerShdw blurRad="50800" dist="38100" dir="5400000" algn="t" rotWithShape="0">
                  <a:prstClr val="black">
                    <a:alpha val="40000"/>
                  </a:prstClr>
                </a:outerShdw>
              </a:effectLst>
              <a:latin typeface="+mn-lt"/>
              <a:ea typeface="+mn-ea"/>
              <a:cs typeface="+mn-cs"/>
            </a:rPr>
            <a:t>Deals given by Customer type and Activity</a:t>
          </a:r>
        </a:p>
      </cx:txPr>
    </cx:title>
    <cx:plotArea>
      <cx:plotAreaRegion>
        <cx:series layoutId="treemap" uniqueId="{1AFAFD14-0020-4B91-AC7B-A1CFFF7ACF81}">
          <cx:tx>
            <cx:txData>
              <cx:f>_xlchart.v1.5</cx:f>
              <cx:v>Sum of NumDealsPurchases</cx:v>
            </cx:txData>
          </cx:tx>
          <cx:dataLabels pos="inEnd">
            <cx:txPr>
              <a:bodyPr spcFirstLastPara="1" vertOverflow="ellipsis" horzOverflow="overflow" wrap="square" lIns="0" tIns="0" rIns="0" bIns="0" anchor="ctr" anchorCtr="1"/>
              <a:lstStyle/>
              <a:p>
                <a:pPr algn="ctr" rtl="0">
                  <a:defRPr sz="1200" b="1" i="0" baseline="0"/>
                </a:pPr>
                <a:endParaRPr lang="en-US" sz="1200" b="1" i="0" u="none" strike="noStrike" baseline="0">
                  <a:solidFill>
                    <a:sysClr val="window" lastClr="FFFFFF">
                      <a:lumMod val="95000"/>
                    </a:sysClr>
                  </a:solidFill>
                  <a:latin typeface="Calibri" panose="020F0502020204030204"/>
                </a:endParaRPr>
              </a:p>
            </cx:txPr>
            <cx:visibility seriesName="0" categoryName="1" value="1"/>
            <cx:separator>
</cx:separator>
          </cx:dataLabels>
          <cx:dataId val="0"/>
          <cx:layoutPr>
            <cx:parentLabelLayout val="overlapping"/>
          </cx:layoutPr>
        </cx:series>
      </cx:plotAreaRegion>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_xlchart.v2.1</cx:f>
      </cx:numDim>
    </cx:data>
  </cx:chartData>
  <cx:chart>
    <cx:title pos="t" align="ctr" overlay="0">
      <cx:tx>
        <cx:rich>
          <a:bodyPr spcFirstLastPara="1" vertOverflow="ellipsis" horzOverflow="overflow" wrap="square" lIns="0" tIns="0" rIns="0" bIns="0" anchor="ctr" anchorCtr="1"/>
          <a:lstStyle/>
          <a:p>
            <a:pPr algn="ctr" rtl="0">
              <a:defRPr/>
            </a:pPr>
            <a:r>
              <a:rPr lang="en-US" sz="1600" b="1" i="0" u="none" strike="noStrike" kern="1200" spc="100" baseline="0" dirty="0">
                <a:solidFill>
                  <a:sysClr val="window" lastClr="FFFFFF">
                    <a:lumMod val="95000"/>
                  </a:sysClr>
                </a:solidFill>
                <a:effectLst>
                  <a:outerShdw blurRad="50800" dist="38100" dir="5400000" algn="t" rotWithShape="0">
                    <a:prstClr val="black">
                      <a:alpha val="40000"/>
                    </a:prstClr>
                  </a:outerShdw>
                </a:effectLst>
                <a:latin typeface="+mn-lt"/>
                <a:ea typeface="+mn-ea"/>
                <a:cs typeface="+mn-cs"/>
              </a:rPr>
              <a:t>Number</a:t>
            </a:r>
            <a:r>
              <a:rPr lang="en-US" sz="1400" b="0" i="0" u="none" strike="noStrike" baseline="0" dirty="0">
                <a:solidFill>
                  <a:sysClr val="windowText" lastClr="000000">
                    <a:lumMod val="65000"/>
                    <a:lumOff val="35000"/>
                  </a:sysClr>
                </a:solidFill>
                <a:latin typeface="Calibri" panose="020F0502020204030204"/>
              </a:rPr>
              <a:t> </a:t>
            </a:r>
            <a:r>
              <a:rPr lang="en-US" sz="1600" b="1" i="0" u="none" strike="noStrike" kern="1200" spc="100" baseline="0" dirty="0">
                <a:solidFill>
                  <a:sysClr val="window" lastClr="FFFFFF">
                    <a:lumMod val="95000"/>
                  </a:sysClr>
                </a:solidFill>
                <a:effectLst>
                  <a:outerShdw blurRad="50800" dist="38100" dir="5400000" algn="t" rotWithShape="0">
                    <a:prstClr val="black">
                      <a:alpha val="40000"/>
                    </a:prstClr>
                  </a:outerShdw>
                </a:effectLst>
                <a:latin typeface="+mn-lt"/>
                <a:ea typeface="+mn-ea"/>
                <a:cs typeface="+mn-cs"/>
              </a:rPr>
              <a:t>of</a:t>
            </a:r>
            <a:r>
              <a:rPr lang="en-US" sz="1400" b="0" i="0" u="none" strike="noStrike" baseline="0" dirty="0">
                <a:solidFill>
                  <a:sysClr val="windowText" lastClr="000000">
                    <a:lumMod val="65000"/>
                    <a:lumOff val="35000"/>
                  </a:sysClr>
                </a:solidFill>
                <a:latin typeface="Calibri" panose="020F0502020204030204"/>
              </a:rPr>
              <a:t> </a:t>
            </a:r>
            <a:r>
              <a:rPr lang="en-US" sz="1600" b="1" i="0" u="none" strike="noStrike" kern="1200" spc="100" baseline="0" dirty="0">
                <a:solidFill>
                  <a:sysClr val="window" lastClr="FFFFFF">
                    <a:lumMod val="95000"/>
                  </a:sysClr>
                </a:solidFill>
                <a:effectLst>
                  <a:outerShdw blurRad="50800" dist="38100" dir="5400000" algn="t" rotWithShape="0">
                    <a:prstClr val="black">
                      <a:alpha val="40000"/>
                    </a:prstClr>
                  </a:outerShdw>
                </a:effectLst>
                <a:latin typeface="+mn-lt"/>
                <a:ea typeface="+mn-ea"/>
                <a:cs typeface="+mn-cs"/>
              </a:rPr>
              <a:t>Deals</a:t>
            </a:r>
            <a:r>
              <a:rPr lang="en-US" sz="1400" b="0" i="0" u="none" strike="noStrike" baseline="0" dirty="0">
                <a:solidFill>
                  <a:sysClr val="windowText" lastClr="000000">
                    <a:lumMod val="65000"/>
                    <a:lumOff val="35000"/>
                  </a:sysClr>
                </a:solidFill>
                <a:latin typeface="Calibri" panose="020F0502020204030204"/>
              </a:rPr>
              <a:t> </a:t>
            </a:r>
            <a:r>
              <a:rPr lang="en-US" sz="1600" b="1" i="0" u="none" strike="noStrike" kern="1200" spc="100" baseline="0" dirty="0">
                <a:solidFill>
                  <a:sysClr val="window" lastClr="FFFFFF">
                    <a:lumMod val="95000"/>
                  </a:sysClr>
                </a:solidFill>
                <a:effectLst>
                  <a:outerShdw blurRad="50800" dist="38100" dir="5400000" algn="t" rotWithShape="0">
                    <a:prstClr val="black">
                      <a:alpha val="40000"/>
                    </a:prstClr>
                  </a:outerShdw>
                </a:effectLst>
                <a:latin typeface="+mn-lt"/>
                <a:ea typeface="+mn-ea"/>
                <a:cs typeface="+mn-cs"/>
              </a:rPr>
              <a:t>by Income Bracket</a:t>
            </a:r>
          </a:p>
        </cx:rich>
      </cx:tx>
    </cx:title>
    <cx:plotArea>
      <cx:plotAreaRegion>
        <cx:series layoutId="funnel" uniqueId="{E2207D19-8BF6-4F30-B4C6-AE642BC6F151}">
          <cx:dataLabels>
            <cx:txPr>
              <a:bodyPr spcFirstLastPara="1" vertOverflow="ellipsis" horzOverflow="overflow" wrap="square" lIns="0" tIns="0" rIns="0" bIns="0" anchor="ctr" anchorCtr="1"/>
              <a:lstStyle/>
              <a:p>
                <a:pPr algn="ctr" rtl="0">
                  <a:defRPr sz="1200" baseline="0">
                    <a:solidFill>
                      <a:schemeClr val="bg1"/>
                    </a:solidFill>
                  </a:defRPr>
                </a:pPr>
                <a:endParaRPr lang="en-US" sz="1200" b="0" i="0" u="none" strike="noStrike" baseline="0">
                  <a:solidFill>
                    <a:schemeClr val="bg1"/>
                  </a:solidFill>
                  <a:latin typeface="Calibri" panose="020F0502020204030204"/>
                </a:endParaRPr>
              </a:p>
            </cx:txPr>
            <cx:visibility seriesName="0" categoryName="0" value="1"/>
            <cx:separator>, </cx:separator>
          </cx:dataLabels>
          <cx:dataId val="0"/>
        </cx:series>
      </cx:plotAreaRegion>
      <cx:axis id="0">
        <cx:catScaling gapWidth="0.5"/>
        <cx:tickLabels/>
        <cx:txPr>
          <a:bodyPr spcFirstLastPara="1" vertOverflow="ellipsis" horzOverflow="overflow" wrap="square" lIns="0" tIns="0" rIns="0" bIns="0" anchor="ctr" anchorCtr="1"/>
          <a:lstStyle/>
          <a:p>
            <a:pPr algn="ctr" rtl="0">
              <a:defRPr sz="1000" baseline="0"/>
            </a:pPr>
            <a:endParaRPr lang="en-US" sz="1000" b="0" i="0" u="none" strike="noStrike" baseline="0">
              <a:solidFill>
                <a:sysClr val="window" lastClr="FFFFFF">
                  <a:lumMod val="95000"/>
                </a:sysClr>
              </a:solidFill>
              <a:latin typeface="Calibri" panose="020F0502020204030204"/>
            </a:endParaRPr>
          </a:p>
        </cx:txPr>
      </cx:axis>
    </cx:plotArea>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_xlchart.v1.2</cx:f>
      </cx:strDim>
      <cx:numDim type="size">
        <cx:f>_xlchart.v1.3</cx:f>
      </cx:numDim>
    </cx:data>
  </cx:chartData>
  <cx:chart>
    <cx:title pos="t" align="ctr" overlay="0">
      <cx:tx>
        <cx:txData>
          <cx:v>Average Expenditure by Income bracket</cx:v>
        </cx:txData>
      </cx:tx>
      <cx:txPr>
        <a:bodyPr spcFirstLastPara="1" vertOverflow="ellipsis" horzOverflow="overflow" wrap="square" lIns="0" tIns="0" rIns="0" bIns="0" anchor="ctr" anchorCtr="1"/>
        <a:lstStyle/>
        <a:p>
          <a:pPr algn="ctr" rtl="0">
            <a:defRPr/>
          </a:pPr>
          <a:r>
            <a:rPr lang="en-US" sz="1600" b="1" i="0" u="none" strike="noStrike" kern="1200" spc="100" baseline="0">
              <a:solidFill>
                <a:sysClr val="window" lastClr="FFFFFF">
                  <a:lumMod val="95000"/>
                </a:sysClr>
              </a:solidFill>
              <a:effectLst>
                <a:outerShdw blurRad="50800" dist="38100" dir="5400000" algn="t" rotWithShape="0">
                  <a:prstClr val="black">
                    <a:alpha val="40000"/>
                  </a:prstClr>
                </a:outerShdw>
              </a:effectLst>
              <a:latin typeface="+mn-lt"/>
              <a:ea typeface="+mn-ea"/>
              <a:cs typeface="+mn-cs"/>
            </a:rPr>
            <a:t>Average Expenditure by Income bracket</a:t>
          </a:r>
        </a:p>
      </cx:txPr>
    </cx:title>
    <cx:plotArea>
      <cx:plotAreaRegion>
        <cx:series layoutId="treemap" uniqueId="{320DDD81-5C48-4AE0-AD50-AC7A16368535}">
          <cx:dataLabels pos="inEnd">
            <cx:txPr>
              <a:bodyPr spcFirstLastPara="1" vertOverflow="ellipsis" horzOverflow="overflow" wrap="square" lIns="0" tIns="0" rIns="0" bIns="0" anchor="ctr" anchorCtr="1"/>
              <a:lstStyle/>
              <a:p>
                <a:pPr algn="ctr" rtl="0">
                  <a:defRPr sz="1200" b="1" i="0" baseline="0"/>
                </a:pPr>
                <a:endParaRPr lang="en-US" sz="1200" b="1" i="0" u="none" strike="noStrike" baseline="0">
                  <a:solidFill>
                    <a:sysClr val="window" lastClr="FFFFFF">
                      <a:lumMod val="95000"/>
                    </a:sysClr>
                  </a:solidFill>
                  <a:latin typeface="Calibri" panose="020F0502020204030204"/>
                </a:endParaRPr>
              </a:p>
            </cx:txPr>
            <cx:visibility seriesName="0" categoryName="1" value="0"/>
          </cx:dataLabels>
          <cx:dataId val="0"/>
          <cx:layoutPr>
            <cx:parentLabelLayout val="overlapping"/>
          </cx:layoutPr>
        </cx:series>
      </cx:plotAreaRegion>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withinLinear" id="15">
  <a:schemeClr val="accent2"/>
</cs:colorStyle>
</file>

<file path=xl/charts/colors5.xml><?xml version="1.0" encoding="utf-8"?>
<cs:colorStyle xmlns:cs="http://schemas.microsoft.com/office/drawing/2012/chartStyle" xmlns:a="http://schemas.openxmlformats.org/drawingml/2006/main" meth="withinLinear" id="15">
  <a:schemeClr val="accent2"/>
</cs:colorStyle>
</file>

<file path=xl/charts/colors6.xml><?xml version="1.0" encoding="utf-8"?>
<cs:colorStyle xmlns:cs="http://schemas.microsoft.com/office/drawing/2012/chartStyle" xmlns:a="http://schemas.openxmlformats.org/drawingml/2006/main" meth="withinLinear" id="15">
  <a:schemeClr val="accent2"/>
</cs:colorStyle>
</file>

<file path=xl/charts/colors7.xml><?xml version="1.0" encoding="utf-8"?>
<cs:colorStyle xmlns:cs="http://schemas.microsoft.com/office/drawing/2012/chartStyle" xmlns:a="http://schemas.openxmlformats.org/drawingml/2006/main" meth="withinLinear" id="15">
  <a:schemeClr val="accent2"/>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withinLinear" id="15">
  <a:schemeClr val="accent2"/>
</cs:colorStyle>
</file>

<file path=xl/charts/colors10.xml><?xml version="1.0" encoding="utf-8"?>
<cs:colorStyle xmlns:cs="http://schemas.microsoft.com/office/drawing/2012/chartStyle" xmlns:a="http://schemas.openxmlformats.org/drawingml/2006/main" meth="withinLinear" id="15">
  <a:schemeClr val="accent2"/>
</cs:colorStyle>
</file>

<file path=xl/charts/colors11.xml><?xml version="1.0" encoding="utf-8"?>
<cs:colorStyle xmlns:cs="http://schemas.microsoft.com/office/drawing/2012/chartStyle" xmlns:a="http://schemas.openxmlformats.org/drawingml/2006/main" meth="withinLinear" id="15">
  <a:schemeClr val="accent2"/>
</cs:colorStyle>
</file>

<file path=xl/charts/colors12.xml><?xml version="1.0" encoding="utf-8"?>
<cs:colorStyle xmlns:cs="http://schemas.microsoft.com/office/drawing/2012/chartStyle" xmlns:a="http://schemas.openxmlformats.org/drawingml/2006/main" meth="withinLinear" id="15">
  <a:schemeClr val="accent2"/>
</cs:colorStyle>
</file>

<file path=xl/charts/style1.xml><?xml version="1.0" encoding="utf-8"?>
<cs:chartStyle xmlns:cs="http://schemas.microsoft.com/office/drawing/2012/chartStyle" xmlns:a="http://schemas.openxmlformats.org/drawingml/2006/main" id="415">
  <cs:axisTitle>
    <cs:lnRef idx="0"/>
    <cs:fillRef idx="0"/>
    <cs:effectRef idx="0"/>
    <cs:fontRef idx="minor">
      <a:schemeClr val="lt1">
        <a:lumMod val="95000"/>
      </a:schemeClr>
    </cs:fontRef>
    <cs:spPr>
      <a:solidFill>
        <a:schemeClr val="bg1">
          <a:lumMod val="65000"/>
        </a:schemeClr>
      </a:solidFill>
      <a:ln>
        <a:solidFill>
          <a:schemeClr val="tx1"/>
        </a:solidFill>
      </a:ln>
    </cs:spPr>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cs:chartArea>
  <cs:dataLabel>
    <cs:lnRef idx="0"/>
    <cs:fillRef idx="0"/>
    <cs:effectRef idx="0"/>
    <cs:fontRef idx="minor">
      <a:schemeClr val="lt1">
        <a:lumMod val="9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ln>
        <a:solidFill>
          <a:schemeClr val="tx1"/>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1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600" b="1" spc="10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427">
  <cs:axisTitle>
    <cs:lnRef idx="0"/>
    <cs:fillRef idx="0"/>
    <cs:effectRef idx="0"/>
    <cs:fontRef idx="minor">
      <a:schemeClr val="lt1">
        <a:lumMod val="95000"/>
      </a:schemeClr>
    </cs:fontRef>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cs:chartArea>
  <cs:dataLabel>
    <cs:lnRef idx="0"/>
    <cs:fillRef idx="0"/>
    <cs:effectRef idx="0"/>
    <cs:fontRef idx="minor">
      <a:schemeClr val="lt1">
        <a:lumMod val="9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ln>
        <a:solidFill>
          <a:schemeClr val="tx1"/>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1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600" b="1" spc="10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415">
  <cs:axisTitle>
    <cs:lnRef idx="0"/>
    <cs:fillRef idx="0"/>
    <cs:effectRef idx="0"/>
    <cs:fontRef idx="minor">
      <a:schemeClr val="lt1">
        <a:lumMod val="95000"/>
      </a:schemeClr>
    </cs:fontRef>
    <cs:spPr>
      <a:solidFill>
        <a:schemeClr val="bg1">
          <a:lumMod val="65000"/>
        </a:schemeClr>
      </a:solidFill>
      <a:ln>
        <a:solidFill>
          <a:schemeClr val="tx1"/>
        </a:solidFill>
      </a:ln>
    </cs:spPr>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cs:chartArea>
  <cs:dataLabel>
    <cs:lnRef idx="0"/>
    <cs:fillRef idx="0"/>
    <cs:effectRef idx="0"/>
    <cs:fontRef idx="minor">
      <a:schemeClr val="lt1">
        <a:lumMod val="9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ln>
        <a:solidFill>
          <a:schemeClr val="tx1"/>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1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600" b="1" spc="10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1.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2.xml><?xml version="1.0" encoding="utf-8"?>
<cs:chartStyle xmlns:cs="http://schemas.microsoft.com/office/drawing/2012/chartStyle" xmlns:a="http://schemas.openxmlformats.org/drawingml/2006/main" id="334">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4.xml"/><Relationship Id="rId13" Type="http://schemas.openxmlformats.org/officeDocument/2006/relationships/image" Target="../media/image6.svg"/><Relationship Id="rId3" Type="http://schemas.microsoft.com/office/2014/relationships/chartEx" Target="../charts/chartEx2.xml"/><Relationship Id="rId7" Type="http://schemas.openxmlformats.org/officeDocument/2006/relationships/chart" Target="../charts/chart3.xml"/><Relationship Id="rId12" Type="http://schemas.openxmlformats.org/officeDocument/2006/relationships/image" Target="../media/image5.png"/><Relationship Id="rId2" Type="http://schemas.microsoft.com/office/2014/relationships/chartEx" Target="../charts/chartEx1.xml"/><Relationship Id="rId1" Type="http://schemas.openxmlformats.org/officeDocument/2006/relationships/image" Target="../media/image2.png"/><Relationship Id="rId6" Type="http://schemas.openxmlformats.org/officeDocument/2006/relationships/chart" Target="../charts/chart2.xml"/><Relationship Id="rId11" Type="http://schemas.openxmlformats.org/officeDocument/2006/relationships/image" Target="../media/image4.svg"/><Relationship Id="rId5" Type="http://schemas.openxmlformats.org/officeDocument/2006/relationships/chart" Target="../charts/chart1.xml"/><Relationship Id="rId10" Type="http://schemas.openxmlformats.org/officeDocument/2006/relationships/image" Target="../media/image3.png"/><Relationship Id="rId4" Type="http://schemas.microsoft.com/office/2014/relationships/chartEx" Target="../charts/chartEx3.xml"/><Relationship Id="rId9" Type="http://schemas.openxmlformats.org/officeDocument/2006/relationships/chart" Target="../charts/chart5.xml"/></Relationships>
</file>

<file path=xl/drawings/_rels/drawing2.xml.rels><?xml version="1.0" encoding="UTF-8" standalone="yes"?>
<Relationships xmlns="http://schemas.openxmlformats.org/package/2006/relationships"><Relationship Id="rId8" Type="http://schemas.openxmlformats.org/officeDocument/2006/relationships/image" Target="../media/image5.png"/><Relationship Id="rId3" Type="http://schemas.openxmlformats.org/officeDocument/2006/relationships/chart" Target="../charts/chart7.xml"/><Relationship Id="rId7" Type="http://schemas.openxmlformats.org/officeDocument/2006/relationships/image" Target="../media/image8.svg"/><Relationship Id="rId2" Type="http://schemas.openxmlformats.org/officeDocument/2006/relationships/chart" Target="../charts/chart6.xml"/><Relationship Id="rId1" Type="http://schemas.openxmlformats.org/officeDocument/2006/relationships/image" Target="../media/image2.png"/><Relationship Id="rId6" Type="http://schemas.openxmlformats.org/officeDocument/2006/relationships/image" Target="../media/image3.png"/><Relationship Id="rId5" Type="http://schemas.openxmlformats.org/officeDocument/2006/relationships/chart" Target="../charts/chart9.xml"/><Relationship Id="rId4" Type="http://schemas.openxmlformats.org/officeDocument/2006/relationships/chart" Target="../charts/chart8.xml"/><Relationship Id="rId9" Type="http://schemas.openxmlformats.org/officeDocument/2006/relationships/image" Target="../media/image6.sv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10.emf"/><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10579</xdr:rowOff>
    </xdr:from>
    <xdr:to>
      <xdr:col>33</xdr:col>
      <xdr:colOff>264583</xdr:colOff>
      <xdr:row>93</xdr:row>
      <xdr:rowOff>169333</xdr:rowOff>
    </xdr:to>
    <xdr:pic>
      <xdr:nvPicPr>
        <xdr:cNvPr id="7181" name="Picture 7180">
          <a:extLst>
            <a:ext uri="{FF2B5EF4-FFF2-40B4-BE49-F238E27FC236}">
              <a16:creationId xmlns:a16="http://schemas.microsoft.com/office/drawing/2014/main" id="{00000000-0008-0000-0000-00000D1C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0579"/>
          <a:ext cx="20521083" cy="16891004"/>
        </a:xfrm>
        <a:prstGeom prst="rect">
          <a:avLst/>
        </a:prstGeom>
      </xdr:spPr>
    </xdr:pic>
    <xdr:clientData/>
  </xdr:twoCellAnchor>
  <xdr:twoCellAnchor>
    <xdr:from>
      <xdr:col>8</xdr:col>
      <xdr:colOff>560473</xdr:colOff>
      <xdr:row>52</xdr:row>
      <xdr:rowOff>78332</xdr:rowOff>
    </xdr:from>
    <xdr:to>
      <xdr:col>9</xdr:col>
      <xdr:colOff>147723</xdr:colOff>
      <xdr:row>67</xdr:row>
      <xdr:rowOff>43582</xdr:rowOff>
    </xdr:to>
    <xdr:sp macro="" textlink="">
      <xdr:nvSpPr>
        <xdr:cNvPr id="7209" name="Rectangle 7208">
          <a:extLst>
            <a:ext uri="{FF2B5EF4-FFF2-40B4-BE49-F238E27FC236}">
              <a16:creationId xmlns:a16="http://schemas.microsoft.com/office/drawing/2014/main" id="{00000000-0008-0000-0000-0000291C0000}"/>
            </a:ext>
          </a:extLst>
        </xdr:cNvPr>
        <xdr:cNvSpPr/>
      </xdr:nvSpPr>
      <xdr:spPr>
        <a:xfrm>
          <a:off x="5471140" y="9433999"/>
          <a:ext cx="201083" cy="2664000"/>
        </a:xfrm>
        <a:prstGeom prst="rect">
          <a:avLst/>
        </a:prstGeom>
        <a:solidFill>
          <a:schemeClr val="accent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IN" sz="1100"/>
        </a:p>
      </xdr:txBody>
    </xdr:sp>
    <xdr:clientData/>
  </xdr:twoCellAnchor>
  <xdr:twoCellAnchor>
    <xdr:from>
      <xdr:col>1</xdr:col>
      <xdr:colOff>455084</xdr:colOff>
      <xdr:row>45</xdr:row>
      <xdr:rowOff>158766</xdr:rowOff>
    </xdr:from>
    <xdr:to>
      <xdr:col>29</xdr:col>
      <xdr:colOff>421749</xdr:colOff>
      <xdr:row>75</xdr:row>
      <xdr:rowOff>161266</xdr:rowOff>
    </xdr:to>
    <xdr:sp macro="" textlink="">
      <xdr:nvSpPr>
        <xdr:cNvPr id="7219" name="Freeform: Shape 7218">
          <a:extLst>
            <a:ext uri="{FF2B5EF4-FFF2-40B4-BE49-F238E27FC236}">
              <a16:creationId xmlns:a16="http://schemas.microsoft.com/office/drawing/2014/main" id="{00000000-0008-0000-0000-0000331C0000}"/>
            </a:ext>
          </a:extLst>
        </xdr:cNvPr>
        <xdr:cNvSpPr>
          <a:spLocks/>
        </xdr:cNvSpPr>
      </xdr:nvSpPr>
      <xdr:spPr>
        <a:xfrm>
          <a:off x="1068917" y="8255016"/>
          <a:ext cx="17153999" cy="5400000"/>
        </a:xfrm>
        <a:custGeom>
          <a:avLst/>
          <a:gdLst>
            <a:gd name="connsiteX0" fmla="*/ 7194006 w 17153999"/>
            <a:gd name="connsiteY0" fmla="*/ 3057569 h 5400000"/>
            <a:gd name="connsiteX1" fmla="*/ 17153999 w 17153999"/>
            <a:gd name="connsiteY1" fmla="*/ 3057569 h 5400000"/>
            <a:gd name="connsiteX2" fmla="*/ 17153999 w 17153999"/>
            <a:gd name="connsiteY2" fmla="*/ 5400000 h 5400000"/>
            <a:gd name="connsiteX3" fmla="*/ 7194006 w 17153999"/>
            <a:gd name="connsiteY3" fmla="*/ 5400000 h 5400000"/>
            <a:gd name="connsiteX4" fmla="*/ 12166658 w 17153999"/>
            <a:gd name="connsiteY4" fmla="*/ 0 h 5400000"/>
            <a:gd name="connsiteX5" fmla="*/ 17153999 w 17153999"/>
            <a:gd name="connsiteY5" fmla="*/ 0 h 5400000"/>
            <a:gd name="connsiteX6" fmla="*/ 17153999 w 17153999"/>
            <a:gd name="connsiteY6" fmla="*/ 2856486 h 5400000"/>
            <a:gd name="connsiteX7" fmla="*/ 12166658 w 17153999"/>
            <a:gd name="connsiteY7" fmla="*/ 2856486 h 5400000"/>
            <a:gd name="connsiteX8" fmla="*/ 7194006 w 17153999"/>
            <a:gd name="connsiteY8" fmla="*/ 0 h 5400000"/>
            <a:gd name="connsiteX9" fmla="*/ 11965575 w 17153999"/>
            <a:gd name="connsiteY9" fmla="*/ 0 h 5400000"/>
            <a:gd name="connsiteX10" fmla="*/ 11965575 w 17153999"/>
            <a:gd name="connsiteY10" fmla="*/ 2856486 h 5400000"/>
            <a:gd name="connsiteX11" fmla="*/ 7194006 w 17153999"/>
            <a:gd name="connsiteY11" fmla="*/ 2856486 h 5400000"/>
            <a:gd name="connsiteX12" fmla="*/ 0 w 17153999"/>
            <a:gd name="connsiteY12" fmla="*/ 0 h 5400000"/>
            <a:gd name="connsiteX13" fmla="*/ 6992923 w 17153999"/>
            <a:gd name="connsiteY13" fmla="*/ 0 h 5400000"/>
            <a:gd name="connsiteX14" fmla="*/ 6992923 w 17153999"/>
            <a:gd name="connsiteY14" fmla="*/ 5400000 h 5400000"/>
            <a:gd name="connsiteX15" fmla="*/ 0 w 17153999"/>
            <a:gd name="connsiteY15" fmla="*/ 5400000 h 54000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17153999" h="5400000">
              <a:moveTo>
                <a:pt x="7194006" y="3057569"/>
              </a:moveTo>
              <a:lnTo>
                <a:pt x="17153999" y="3057569"/>
              </a:lnTo>
              <a:lnTo>
                <a:pt x="17153999" y="5400000"/>
              </a:lnTo>
              <a:lnTo>
                <a:pt x="7194006" y="5400000"/>
              </a:lnTo>
              <a:close/>
              <a:moveTo>
                <a:pt x="12166658" y="0"/>
              </a:moveTo>
              <a:lnTo>
                <a:pt x="17153999" y="0"/>
              </a:lnTo>
              <a:lnTo>
                <a:pt x="17153999" y="2856486"/>
              </a:lnTo>
              <a:lnTo>
                <a:pt x="12166658" y="2856486"/>
              </a:lnTo>
              <a:close/>
              <a:moveTo>
                <a:pt x="7194006" y="0"/>
              </a:moveTo>
              <a:lnTo>
                <a:pt x="11965575" y="0"/>
              </a:lnTo>
              <a:lnTo>
                <a:pt x="11965575" y="2856486"/>
              </a:lnTo>
              <a:lnTo>
                <a:pt x="7194006" y="2856486"/>
              </a:lnTo>
              <a:close/>
              <a:moveTo>
                <a:pt x="0" y="0"/>
              </a:moveTo>
              <a:lnTo>
                <a:pt x="6992923" y="0"/>
              </a:lnTo>
              <a:lnTo>
                <a:pt x="6992923" y="5400000"/>
              </a:lnTo>
              <a:lnTo>
                <a:pt x="0" y="5400000"/>
              </a:lnTo>
              <a:close/>
            </a:path>
          </a:pathLst>
        </a:custGeom>
        <a:gradFill flip="none" rotWithShape="1">
          <a:gsLst>
            <a:gs pos="100000">
              <a:srgbClr val="7030A0"/>
            </a:gs>
            <a:gs pos="0">
              <a:schemeClr val="accent2">
                <a:lumMod val="75000"/>
                <a:alpha val="52000"/>
              </a:schemeClr>
            </a:gs>
          </a:gsLst>
          <a:path path="circle">
            <a:fillToRect l="50000" t="50000" r="50000" b="50000"/>
          </a:path>
          <a:tileRect/>
        </a:gradFill>
      </xdr:spPr>
      <xdr:style>
        <a:lnRef idx="0">
          <a:schemeClr val="accent2"/>
        </a:lnRef>
        <a:fillRef idx="3">
          <a:schemeClr val="accent2"/>
        </a:fillRef>
        <a:effectRef idx="3">
          <a:schemeClr val="accent2"/>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IN" sz="1100"/>
        </a:p>
      </xdr:txBody>
    </xdr:sp>
    <xdr:clientData/>
  </xdr:twoCellAnchor>
  <xdr:twoCellAnchor>
    <xdr:from>
      <xdr:col>13</xdr:col>
      <xdr:colOff>584187</xdr:colOff>
      <xdr:row>64</xdr:row>
      <xdr:rowOff>44062</xdr:rowOff>
    </xdr:from>
    <xdr:to>
      <xdr:col>29</xdr:col>
      <xdr:colOff>112053</xdr:colOff>
      <xdr:row>74</xdr:row>
      <xdr:rowOff>75813</xdr:rowOff>
    </xdr:to>
    <mc:AlternateContent xmlns:mc="http://schemas.openxmlformats.org/markup-compatibility/2006">
      <mc:Choice xmlns:cx1="http://schemas.microsoft.com/office/drawing/2015/9/8/chartex" Requires="cx1">
        <xdr:graphicFrame macro="">
          <xdr:nvGraphicFramePr>
            <xdr:cNvPr id="7170" name="Chart 7169">
              <a:extLst>
                <a:ext uri="{FF2B5EF4-FFF2-40B4-BE49-F238E27FC236}">
                  <a16:creationId xmlns:a16="http://schemas.microsoft.com/office/drawing/2014/main" id="{00000000-0008-0000-0000-0000021C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8508987" y="11823312"/>
              <a:ext cx="9281466" cy="1873251"/>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13</xdr:col>
      <xdr:colOff>584167</xdr:colOff>
      <xdr:row>47</xdr:row>
      <xdr:rowOff>48587</xdr:rowOff>
    </xdr:from>
    <xdr:to>
      <xdr:col>20</xdr:col>
      <xdr:colOff>456748</xdr:colOff>
      <xdr:row>60</xdr:row>
      <xdr:rowOff>54641</xdr:rowOff>
    </xdr:to>
    <mc:AlternateContent xmlns:mc="http://schemas.openxmlformats.org/markup-compatibility/2006">
      <mc:Choice xmlns:cx2="http://schemas.microsoft.com/office/drawing/2015/10/21/chartex" Requires="cx2">
        <xdr:graphicFrame macro="">
          <xdr:nvGraphicFramePr>
            <xdr:cNvPr id="7171" name="Chart 7170">
              <a:extLst>
                <a:ext uri="{FF2B5EF4-FFF2-40B4-BE49-F238E27FC236}">
                  <a16:creationId xmlns:a16="http://schemas.microsoft.com/office/drawing/2014/main" id="{00000000-0008-0000-0000-0000031C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8508967" y="8697287"/>
              <a:ext cx="4139781" cy="2400004"/>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22</xdr:col>
      <xdr:colOff>32318</xdr:colOff>
      <xdr:row>47</xdr:row>
      <xdr:rowOff>48587</xdr:rowOff>
    </xdr:from>
    <xdr:to>
      <xdr:col>29</xdr:col>
      <xdr:colOff>112053</xdr:colOff>
      <xdr:row>60</xdr:row>
      <xdr:rowOff>54641</xdr:rowOff>
    </xdr:to>
    <mc:AlternateContent xmlns:mc="http://schemas.openxmlformats.org/markup-compatibility/2006">
      <mc:Choice xmlns:cx1="http://schemas.microsoft.com/office/drawing/2015/9/8/chartex" Requires="cx1">
        <xdr:graphicFrame macro="">
          <xdr:nvGraphicFramePr>
            <xdr:cNvPr id="7174" name="Chart 7173">
              <a:extLst>
                <a:ext uri="{FF2B5EF4-FFF2-40B4-BE49-F238E27FC236}">
                  <a16:creationId xmlns:a16="http://schemas.microsoft.com/office/drawing/2014/main" id="{00000000-0008-0000-0000-0000061C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13443518" y="8697287"/>
              <a:ext cx="4346935" cy="2400004"/>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xdr:col>
      <xdr:colOff>455083</xdr:colOff>
      <xdr:row>8</xdr:row>
      <xdr:rowOff>10584</xdr:rowOff>
    </xdr:from>
    <xdr:to>
      <xdr:col>29</xdr:col>
      <xdr:colOff>421749</xdr:colOff>
      <xdr:row>33</xdr:row>
      <xdr:rowOff>116417</xdr:rowOff>
    </xdr:to>
    <xdr:sp macro="" textlink="">
      <xdr:nvSpPr>
        <xdr:cNvPr id="7195" name="Freeform: Shape 7194">
          <a:extLst>
            <a:ext uri="{FF2B5EF4-FFF2-40B4-BE49-F238E27FC236}">
              <a16:creationId xmlns:a16="http://schemas.microsoft.com/office/drawing/2014/main" id="{00000000-0008-0000-0000-00001B1C0000}"/>
            </a:ext>
          </a:extLst>
        </xdr:cNvPr>
        <xdr:cNvSpPr>
          <a:spLocks/>
        </xdr:cNvSpPr>
      </xdr:nvSpPr>
      <xdr:spPr>
        <a:xfrm>
          <a:off x="1068916" y="1449917"/>
          <a:ext cx="17154000" cy="4603750"/>
        </a:xfrm>
        <a:custGeom>
          <a:avLst/>
          <a:gdLst>
            <a:gd name="connsiteX0" fmla="*/ 12983016 w 17155582"/>
            <a:gd name="connsiteY0" fmla="*/ 2128752 h 4603750"/>
            <a:gd name="connsiteX1" fmla="*/ 17155582 w 17155582"/>
            <a:gd name="connsiteY1" fmla="*/ 2128752 h 4603750"/>
            <a:gd name="connsiteX2" fmla="*/ 17155582 w 17155582"/>
            <a:gd name="connsiteY2" fmla="*/ 4603750 h 4603750"/>
            <a:gd name="connsiteX3" fmla="*/ 12983016 w 17155582"/>
            <a:gd name="connsiteY3" fmla="*/ 4603750 h 4603750"/>
            <a:gd name="connsiteX4" fmla="*/ 8668804 w 17155582"/>
            <a:gd name="connsiteY4" fmla="*/ 2128752 h 4603750"/>
            <a:gd name="connsiteX5" fmla="*/ 12781933 w 17155582"/>
            <a:gd name="connsiteY5" fmla="*/ 2128752 h 4603750"/>
            <a:gd name="connsiteX6" fmla="*/ 12781933 w 17155582"/>
            <a:gd name="connsiteY6" fmla="*/ 4603750 h 4603750"/>
            <a:gd name="connsiteX7" fmla="*/ 8668804 w 17155582"/>
            <a:gd name="connsiteY7" fmla="*/ 4603750 h 4603750"/>
            <a:gd name="connsiteX8" fmla="*/ 4353971 w 17155582"/>
            <a:gd name="connsiteY8" fmla="*/ 2128752 h 4603750"/>
            <a:gd name="connsiteX9" fmla="*/ 8467722 w 17155582"/>
            <a:gd name="connsiteY9" fmla="*/ 2128752 h 4603750"/>
            <a:gd name="connsiteX10" fmla="*/ 8467722 w 17155582"/>
            <a:gd name="connsiteY10" fmla="*/ 4603750 h 4603750"/>
            <a:gd name="connsiteX11" fmla="*/ 4353971 w 17155582"/>
            <a:gd name="connsiteY11" fmla="*/ 4603750 h 4603750"/>
            <a:gd name="connsiteX12" fmla="*/ 0 w 17155582"/>
            <a:gd name="connsiteY12" fmla="*/ 2128752 h 4603750"/>
            <a:gd name="connsiteX13" fmla="*/ 4152888 w 17155582"/>
            <a:gd name="connsiteY13" fmla="*/ 2128752 h 4603750"/>
            <a:gd name="connsiteX14" fmla="*/ 4152888 w 17155582"/>
            <a:gd name="connsiteY14" fmla="*/ 4603750 h 4603750"/>
            <a:gd name="connsiteX15" fmla="*/ 0 w 17155582"/>
            <a:gd name="connsiteY15" fmla="*/ 4603750 h 4603750"/>
            <a:gd name="connsiteX16" fmla="*/ 14468249 w 17155582"/>
            <a:gd name="connsiteY16" fmla="*/ 0 h 4603750"/>
            <a:gd name="connsiteX17" fmla="*/ 17155582 w 17155582"/>
            <a:gd name="connsiteY17" fmla="*/ 0 h 4603750"/>
            <a:gd name="connsiteX18" fmla="*/ 17155582 w 17155582"/>
            <a:gd name="connsiteY18" fmla="*/ 1927669 h 4603750"/>
            <a:gd name="connsiteX19" fmla="*/ 14468249 w 17155582"/>
            <a:gd name="connsiteY19" fmla="*/ 1927669 h 4603750"/>
            <a:gd name="connsiteX20" fmla="*/ 11630287 w 17155582"/>
            <a:gd name="connsiteY20" fmla="*/ 0 h 4603750"/>
            <a:gd name="connsiteX21" fmla="*/ 14267166 w 17155582"/>
            <a:gd name="connsiteY21" fmla="*/ 0 h 4603750"/>
            <a:gd name="connsiteX22" fmla="*/ 14267166 w 17155582"/>
            <a:gd name="connsiteY22" fmla="*/ 1927669 h 4603750"/>
            <a:gd name="connsiteX23" fmla="*/ 11630287 w 17155582"/>
            <a:gd name="connsiteY23" fmla="*/ 1927669 h 4603750"/>
            <a:gd name="connsiteX24" fmla="*/ 0 w 17155582"/>
            <a:gd name="connsiteY24" fmla="*/ 0 h 4603750"/>
            <a:gd name="connsiteX25" fmla="*/ 11429204 w 17155582"/>
            <a:gd name="connsiteY25" fmla="*/ 0 h 4603750"/>
            <a:gd name="connsiteX26" fmla="*/ 11429204 w 17155582"/>
            <a:gd name="connsiteY26" fmla="*/ 1927669 h 4603750"/>
            <a:gd name="connsiteX27" fmla="*/ 0 w 17155582"/>
            <a:gd name="connsiteY27" fmla="*/ 1927669 h 46037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Lst>
          <a:rect l="l" t="t" r="r" b="b"/>
          <a:pathLst>
            <a:path w="17155582" h="4603750">
              <a:moveTo>
                <a:pt x="12983016" y="2128752"/>
              </a:moveTo>
              <a:lnTo>
                <a:pt x="17155582" y="2128752"/>
              </a:lnTo>
              <a:lnTo>
                <a:pt x="17155582" y="4603750"/>
              </a:lnTo>
              <a:lnTo>
                <a:pt x="12983016" y="4603750"/>
              </a:lnTo>
              <a:close/>
              <a:moveTo>
                <a:pt x="8668804" y="2128752"/>
              </a:moveTo>
              <a:lnTo>
                <a:pt x="12781933" y="2128752"/>
              </a:lnTo>
              <a:lnTo>
                <a:pt x="12781933" y="4603750"/>
              </a:lnTo>
              <a:lnTo>
                <a:pt x="8668804" y="4603750"/>
              </a:lnTo>
              <a:close/>
              <a:moveTo>
                <a:pt x="4353971" y="2128752"/>
              </a:moveTo>
              <a:lnTo>
                <a:pt x="8467722" y="2128752"/>
              </a:lnTo>
              <a:lnTo>
                <a:pt x="8467722" y="4603750"/>
              </a:lnTo>
              <a:lnTo>
                <a:pt x="4353971" y="4603750"/>
              </a:lnTo>
              <a:close/>
              <a:moveTo>
                <a:pt x="0" y="2128752"/>
              </a:moveTo>
              <a:lnTo>
                <a:pt x="4152888" y="2128752"/>
              </a:lnTo>
              <a:lnTo>
                <a:pt x="4152888" y="4603750"/>
              </a:lnTo>
              <a:lnTo>
                <a:pt x="0" y="4603750"/>
              </a:lnTo>
              <a:close/>
              <a:moveTo>
                <a:pt x="14468249" y="0"/>
              </a:moveTo>
              <a:lnTo>
                <a:pt x="17155582" y="0"/>
              </a:lnTo>
              <a:lnTo>
                <a:pt x="17155582" y="1927669"/>
              </a:lnTo>
              <a:lnTo>
                <a:pt x="14468249" y="1927669"/>
              </a:lnTo>
              <a:close/>
              <a:moveTo>
                <a:pt x="11630287" y="0"/>
              </a:moveTo>
              <a:lnTo>
                <a:pt x="14267166" y="0"/>
              </a:lnTo>
              <a:lnTo>
                <a:pt x="14267166" y="1927669"/>
              </a:lnTo>
              <a:lnTo>
                <a:pt x="11630287" y="1927669"/>
              </a:lnTo>
              <a:close/>
              <a:moveTo>
                <a:pt x="0" y="0"/>
              </a:moveTo>
              <a:lnTo>
                <a:pt x="11429204" y="0"/>
              </a:lnTo>
              <a:lnTo>
                <a:pt x="11429204" y="1927669"/>
              </a:lnTo>
              <a:lnTo>
                <a:pt x="0" y="1927669"/>
              </a:lnTo>
              <a:close/>
            </a:path>
          </a:pathLst>
        </a:custGeom>
        <a:gradFill flip="none" rotWithShape="1">
          <a:gsLst>
            <a:gs pos="100000">
              <a:srgbClr val="7030A0"/>
            </a:gs>
            <a:gs pos="0">
              <a:schemeClr val="accent2">
                <a:lumMod val="75000"/>
                <a:alpha val="52000"/>
              </a:schemeClr>
            </a:gs>
          </a:gsLst>
          <a:path path="circle">
            <a:fillToRect l="50000" t="50000" r="50000" b="50000"/>
          </a:path>
          <a:tileRect/>
        </a:gradFill>
      </xdr:spPr>
      <xdr:style>
        <a:lnRef idx="0">
          <a:schemeClr val="accent2"/>
        </a:lnRef>
        <a:fillRef idx="3">
          <a:schemeClr val="accent2"/>
        </a:fillRef>
        <a:effectRef idx="3">
          <a:schemeClr val="accent2"/>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IN" sz="1100"/>
        </a:p>
      </xdr:txBody>
    </xdr:sp>
    <xdr:clientData/>
  </xdr:twoCellAnchor>
  <xdr:twoCellAnchor>
    <xdr:from>
      <xdr:col>21</xdr:col>
      <xdr:colOff>141709</xdr:colOff>
      <xdr:row>9</xdr:row>
      <xdr:rowOff>99192</xdr:rowOff>
    </xdr:from>
    <xdr:to>
      <xdr:col>24</xdr:col>
      <xdr:colOff>291379</xdr:colOff>
      <xdr:row>17</xdr:row>
      <xdr:rowOff>63859</xdr:rowOff>
    </xdr:to>
    <mc:AlternateContent xmlns:mc="http://schemas.openxmlformats.org/markup-compatibility/2006" xmlns:a14="http://schemas.microsoft.com/office/drawing/2010/main">
      <mc:Choice Requires="a14">
        <xdr:graphicFrame macro="">
          <xdr:nvGraphicFramePr>
            <xdr:cNvPr id="19" name="Marital_Status">
              <a:extLst>
                <a:ext uri="{FF2B5EF4-FFF2-40B4-BE49-F238E27FC236}">
                  <a16:creationId xmlns:a16="http://schemas.microsoft.com/office/drawing/2014/main" id="{00000000-0008-0000-0000-000013000000}"/>
                </a:ext>
              </a:extLst>
            </xdr:cNvPr>
            <xdr:cNvGraphicFramePr/>
          </xdr:nvGraphicFramePr>
          <xdr:xfrm>
            <a:off x="0" y="0"/>
            <a:ext cx="0" cy="0"/>
          </xdr:xfrm>
          <a:graphic>
            <a:graphicData uri="http://schemas.microsoft.com/office/drawing/2010/slicer">
              <sle:slicer xmlns:sle="http://schemas.microsoft.com/office/drawing/2010/slicer" name="Marital_Status"/>
            </a:graphicData>
          </a:graphic>
        </xdr:graphicFrame>
      </mc:Choice>
      <mc:Fallback xmlns="">
        <xdr:sp macro="" textlink="">
          <xdr:nvSpPr>
            <xdr:cNvPr id="0" name=""/>
            <xdr:cNvSpPr>
              <a:spLocks noTextEdit="1"/>
            </xdr:cNvSpPr>
          </xdr:nvSpPr>
          <xdr:spPr>
            <a:xfrm>
              <a:off x="13032209" y="1718442"/>
              <a:ext cx="1991170" cy="1404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16</xdr:col>
      <xdr:colOff>187494</xdr:colOff>
      <xdr:row>20</xdr:row>
      <xdr:rowOff>164477</xdr:rowOff>
    </xdr:from>
    <xdr:to>
      <xdr:col>22</xdr:col>
      <xdr:colOff>95711</xdr:colOff>
      <xdr:row>31</xdr:row>
      <xdr:rowOff>165394</xdr:rowOff>
    </xdr:to>
    <xdr:graphicFrame macro="">
      <xdr:nvGraphicFramePr>
        <xdr:cNvPr id="20" name="Chart 19">
          <a:extLst>
            <a:ext uri="{FF2B5EF4-FFF2-40B4-BE49-F238E27FC236}">
              <a16:creationId xmlns:a16="http://schemas.microsoft.com/office/drawing/2014/main" id="{00000000-0008-0000-00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xdr:col>
      <xdr:colOff>169493</xdr:colOff>
      <xdr:row>20</xdr:row>
      <xdr:rowOff>164477</xdr:rowOff>
    </xdr:from>
    <xdr:to>
      <xdr:col>15</xdr:col>
      <xdr:colOff>78332</xdr:colOff>
      <xdr:row>31</xdr:row>
      <xdr:rowOff>165394</xdr:rowOff>
    </xdr:to>
    <xdr:graphicFrame macro="">
      <xdr:nvGraphicFramePr>
        <xdr:cNvPr id="22" name="Chart 21">
          <a:extLst>
            <a:ext uri="{FF2B5EF4-FFF2-40B4-BE49-F238E27FC236}">
              <a16:creationId xmlns:a16="http://schemas.microsoft.com/office/drawing/2014/main" id="{00000000-0008-0000-00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150946</xdr:colOff>
      <xdr:row>20</xdr:row>
      <xdr:rowOff>164477</xdr:rowOff>
    </xdr:from>
    <xdr:to>
      <xdr:col>8</xdr:col>
      <xdr:colOff>59785</xdr:colOff>
      <xdr:row>31</xdr:row>
      <xdr:rowOff>165394</xdr:rowOff>
    </xdr:to>
    <xdr:graphicFrame macro="">
      <xdr:nvGraphicFramePr>
        <xdr:cNvPr id="30" name="Chart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23</xdr:col>
      <xdr:colOff>204872</xdr:colOff>
      <xdr:row>20</xdr:row>
      <xdr:rowOff>164477</xdr:rowOff>
    </xdr:from>
    <xdr:to>
      <xdr:col>29</xdr:col>
      <xdr:colOff>113088</xdr:colOff>
      <xdr:row>31</xdr:row>
      <xdr:rowOff>165394</xdr:rowOff>
    </xdr:to>
    <xdr:graphicFrame macro="">
      <xdr:nvGraphicFramePr>
        <xdr:cNvPr id="7168" name="Chart 7167">
          <a:extLst>
            <a:ext uri="{FF2B5EF4-FFF2-40B4-BE49-F238E27FC236}">
              <a16:creationId xmlns:a16="http://schemas.microsoft.com/office/drawing/2014/main" id="{00000000-0008-0000-0000-000000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25</xdr:col>
      <xdr:colOff>524337</xdr:colOff>
      <xdr:row>9</xdr:row>
      <xdr:rowOff>99191</xdr:rowOff>
    </xdr:from>
    <xdr:to>
      <xdr:col>29</xdr:col>
      <xdr:colOff>60173</xdr:colOff>
      <xdr:row>17</xdr:row>
      <xdr:rowOff>63858</xdr:rowOff>
    </xdr:to>
    <mc:AlternateContent xmlns:mc="http://schemas.openxmlformats.org/markup-compatibility/2006" xmlns:a14="http://schemas.microsoft.com/office/drawing/2010/main">
      <mc:Choice Requires="a14">
        <xdr:graphicFrame macro="">
          <xdr:nvGraphicFramePr>
            <xdr:cNvPr id="7172" name="Income bracket">
              <a:extLst>
                <a:ext uri="{FF2B5EF4-FFF2-40B4-BE49-F238E27FC236}">
                  <a16:creationId xmlns:a16="http://schemas.microsoft.com/office/drawing/2014/main" id="{00000000-0008-0000-0000-0000041C0000}"/>
                </a:ext>
              </a:extLst>
            </xdr:cNvPr>
            <xdr:cNvGraphicFramePr/>
          </xdr:nvGraphicFramePr>
          <xdr:xfrm>
            <a:off x="0" y="0"/>
            <a:ext cx="0" cy="0"/>
          </xdr:xfrm>
          <a:graphic>
            <a:graphicData uri="http://schemas.microsoft.com/office/drawing/2010/slicer">
              <sle:slicer xmlns:sle="http://schemas.microsoft.com/office/drawing/2010/slicer" name="Income bracket"/>
            </a:graphicData>
          </a:graphic>
        </xdr:graphicFrame>
      </mc:Choice>
      <mc:Fallback xmlns="">
        <xdr:sp macro="" textlink="">
          <xdr:nvSpPr>
            <xdr:cNvPr id="0" name=""/>
            <xdr:cNvSpPr>
              <a:spLocks noTextEdit="1"/>
            </xdr:cNvSpPr>
          </xdr:nvSpPr>
          <xdr:spPr>
            <a:xfrm>
              <a:off x="15870170" y="1718441"/>
              <a:ext cx="1991170" cy="1404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151492</xdr:colOff>
      <xdr:row>9</xdr:row>
      <xdr:rowOff>99192</xdr:rowOff>
    </xdr:from>
    <xdr:to>
      <xdr:col>19</xdr:col>
      <xdr:colOff>522583</xdr:colOff>
      <xdr:row>17</xdr:row>
      <xdr:rowOff>25424</xdr:rowOff>
    </xdr:to>
    <mc:AlternateContent xmlns:mc="http://schemas.openxmlformats.org/markup-compatibility/2006" xmlns:tsle="http://schemas.microsoft.com/office/drawing/2012/timeslicer">
      <mc:Choice Requires="tsle">
        <xdr:graphicFrame macro="">
          <xdr:nvGraphicFramePr>
            <xdr:cNvPr id="7173" name="Dt_Customer">
              <a:extLst>
                <a:ext uri="{FF2B5EF4-FFF2-40B4-BE49-F238E27FC236}">
                  <a16:creationId xmlns:a16="http://schemas.microsoft.com/office/drawing/2014/main" id="{00000000-0008-0000-0000-0000051C0000}"/>
                </a:ext>
              </a:extLst>
            </xdr:cNvPr>
            <xdr:cNvGraphicFramePr/>
          </xdr:nvGraphicFramePr>
          <xdr:xfrm>
            <a:off x="0" y="0"/>
            <a:ext cx="0" cy="0"/>
          </xdr:xfrm>
          <a:graphic>
            <a:graphicData uri="http://schemas.microsoft.com/office/drawing/2012/timeslicer">
              <tsle:timeslicer name="Dt_Customer"/>
            </a:graphicData>
          </a:graphic>
        </xdr:graphicFrame>
      </mc:Choice>
      <mc:Fallback xmlns="">
        <xdr:sp macro="" textlink="">
          <xdr:nvSpPr>
            <xdr:cNvPr id="0" name=""/>
            <xdr:cNvSpPr>
              <a:spLocks noTextEdit="1"/>
            </xdr:cNvSpPr>
          </xdr:nvSpPr>
          <xdr:spPr>
            <a:xfrm>
              <a:off x="1379159" y="1718442"/>
              <a:ext cx="10806257" cy="1365565"/>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xdr:from>
      <xdr:col>0</xdr:col>
      <xdr:colOff>35984</xdr:colOff>
      <xdr:row>0</xdr:row>
      <xdr:rowOff>0</xdr:rowOff>
    </xdr:from>
    <xdr:to>
      <xdr:col>33</xdr:col>
      <xdr:colOff>299484</xdr:colOff>
      <xdr:row>5</xdr:row>
      <xdr:rowOff>169334</xdr:rowOff>
    </xdr:to>
    <xdr:sp macro="" textlink="">
      <xdr:nvSpPr>
        <xdr:cNvPr id="7228" name="Rectangle 7227">
          <a:extLst>
            <a:ext uri="{FF2B5EF4-FFF2-40B4-BE49-F238E27FC236}">
              <a16:creationId xmlns:a16="http://schemas.microsoft.com/office/drawing/2014/main" id="{00000000-0008-0000-0000-00003C1C0000}"/>
            </a:ext>
          </a:extLst>
        </xdr:cNvPr>
        <xdr:cNvSpPr>
          <a:spLocks/>
        </xdr:cNvSpPr>
      </xdr:nvSpPr>
      <xdr:spPr>
        <a:xfrm>
          <a:off x="35984" y="0"/>
          <a:ext cx="20520000" cy="1068917"/>
        </a:xfrm>
        <a:prstGeom prst="rect">
          <a:avLst/>
        </a:prstGeom>
        <a:gradFill flip="none" rotWithShape="1">
          <a:gsLst>
            <a:gs pos="100000">
              <a:srgbClr val="7030A0"/>
            </a:gs>
            <a:gs pos="0">
              <a:schemeClr val="accent2">
                <a:lumMod val="75000"/>
                <a:alpha val="52000"/>
              </a:schemeClr>
            </a:gs>
          </a:gsLst>
          <a:path path="circle">
            <a:fillToRect l="50000" t="50000" r="50000" b="50000"/>
          </a:path>
          <a:tileRect/>
        </a:gradFill>
      </xdr:spPr>
      <xdr:style>
        <a:lnRef idx="0">
          <a:schemeClr val="accent2"/>
        </a:lnRef>
        <a:fillRef idx="3">
          <a:schemeClr val="accent2"/>
        </a:fillRef>
        <a:effectRef idx="3">
          <a:schemeClr val="accent2"/>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IN" sz="1100"/>
        </a:p>
      </xdr:txBody>
    </xdr:sp>
    <xdr:clientData/>
  </xdr:twoCellAnchor>
  <xdr:twoCellAnchor>
    <xdr:from>
      <xdr:col>0</xdr:col>
      <xdr:colOff>0</xdr:colOff>
      <xdr:row>38</xdr:row>
      <xdr:rowOff>74082</xdr:rowOff>
    </xdr:from>
    <xdr:to>
      <xdr:col>33</xdr:col>
      <xdr:colOff>263500</xdr:colOff>
      <xdr:row>44</xdr:row>
      <xdr:rowOff>63499</xdr:rowOff>
    </xdr:to>
    <xdr:sp macro="" textlink="">
      <xdr:nvSpPr>
        <xdr:cNvPr id="7227" name="Rectangle 7226">
          <a:extLst>
            <a:ext uri="{FF2B5EF4-FFF2-40B4-BE49-F238E27FC236}">
              <a16:creationId xmlns:a16="http://schemas.microsoft.com/office/drawing/2014/main" id="{00000000-0008-0000-0000-00003B1C0000}"/>
            </a:ext>
          </a:extLst>
        </xdr:cNvPr>
        <xdr:cNvSpPr>
          <a:spLocks/>
        </xdr:cNvSpPr>
      </xdr:nvSpPr>
      <xdr:spPr>
        <a:xfrm>
          <a:off x="0" y="6910915"/>
          <a:ext cx="20520000" cy="1068917"/>
        </a:xfrm>
        <a:prstGeom prst="rect">
          <a:avLst/>
        </a:prstGeom>
        <a:gradFill flip="none" rotWithShape="1">
          <a:gsLst>
            <a:gs pos="100000">
              <a:srgbClr val="7030A0"/>
            </a:gs>
            <a:gs pos="0">
              <a:schemeClr val="accent2">
                <a:lumMod val="75000"/>
                <a:alpha val="52000"/>
              </a:schemeClr>
            </a:gs>
          </a:gsLst>
          <a:path path="circle">
            <a:fillToRect l="50000" t="50000" r="50000" b="50000"/>
          </a:path>
          <a:tileRect/>
        </a:gradFill>
      </xdr:spPr>
      <xdr:style>
        <a:lnRef idx="0">
          <a:schemeClr val="accent2"/>
        </a:lnRef>
        <a:fillRef idx="3">
          <a:schemeClr val="accent2"/>
        </a:fillRef>
        <a:effectRef idx="3">
          <a:schemeClr val="accent2"/>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IN" sz="1100"/>
        </a:p>
      </xdr:txBody>
    </xdr:sp>
    <xdr:clientData/>
  </xdr:twoCellAnchor>
  <xdr:oneCellAnchor>
    <xdr:from>
      <xdr:col>8</xdr:col>
      <xdr:colOff>490433</xdr:colOff>
      <xdr:row>38</xdr:row>
      <xdr:rowOff>146936</xdr:rowOff>
    </xdr:from>
    <xdr:ext cx="8489633" cy="923458"/>
    <xdr:sp macro="" textlink="">
      <xdr:nvSpPr>
        <xdr:cNvPr id="7205" name="Rectangle 7204">
          <a:extLst>
            <a:ext uri="{FF2B5EF4-FFF2-40B4-BE49-F238E27FC236}">
              <a16:creationId xmlns:a16="http://schemas.microsoft.com/office/drawing/2014/main" id="{00000000-0008-0000-0000-0000251C0000}"/>
            </a:ext>
          </a:extLst>
        </xdr:cNvPr>
        <xdr:cNvSpPr/>
      </xdr:nvSpPr>
      <xdr:spPr>
        <a:xfrm>
          <a:off x="5401100" y="6983769"/>
          <a:ext cx="8489633" cy="923458"/>
        </a:xfrm>
        <a:prstGeom prst="rect">
          <a:avLst/>
        </a:prstGeom>
        <a:noFill/>
        <a:ln w="38100" cmpd="dbl">
          <a:noFill/>
        </a:ln>
      </xdr:spPr>
      <xdr:style>
        <a:lnRef idx="2">
          <a:schemeClr val="accent2"/>
        </a:lnRef>
        <a:fillRef idx="1">
          <a:schemeClr val="lt1"/>
        </a:fillRef>
        <a:effectRef idx="0">
          <a:schemeClr val="accent2"/>
        </a:effectRef>
        <a:fontRef idx="minor">
          <a:schemeClr val="dk1"/>
        </a:fontRef>
      </xdr:style>
      <xdr:txBody>
        <a:bodyPr wrap="none" lIns="91440" tIns="45720" rIns="91440" bIns="45720">
          <a:spAutoFit/>
        </a:bodyPr>
        <a:lstStyle/>
        <a:p>
          <a:pPr algn="ctr"/>
          <a:r>
            <a:rPr lang="en-US" sz="5400" b="1" i="0" u="none" cap="none" spc="0">
              <a:ln w="22225">
                <a:solidFill>
                  <a:schemeClr val="bg1"/>
                </a:solidFill>
                <a:prstDash val="solid"/>
              </a:ln>
              <a:solidFill>
                <a:sysClr val="windowText" lastClr="000000"/>
              </a:solidFill>
              <a:effectLst/>
              <a:latin typeface="Bahnschrift SemiBold" panose="020B0502040204020203" pitchFamily="34" charset="0"/>
            </a:rPr>
            <a:t>INCOME-SALES</a:t>
          </a:r>
          <a:r>
            <a:rPr lang="en-US" sz="5400" b="1" i="0" u="none" cap="none" spc="0" baseline="0">
              <a:ln w="22225">
                <a:solidFill>
                  <a:schemeClr val="bg1"/>
                </a:solidFill>
                <a:prstDash val="solid"/>
              </a:ln>
              <a:solidFill>
                <a:sysClr val="windowText" lastClr="000000"/>
              </a:solidFill>
              <a:effectLst/>
              <a:latin typeface="Bahnschrift SemiBold" panose="020B0502040204020203" pitchFamily="34" charset="0"/>
            </a:rPr>
            <a:t> ANALYSIS</a:t>
          </a:r>
          <a:endParaRPr lang="en-US" sz="5400" b="1" i="0" u="none" cap="none" spc="0">
            <a:ln w="22225">
              <a:solidFill>
                <a:schemeClr val="bg1"/>
              </a:solidFill>
              <a:prstDash val="solid"/>
            </a:ln>
            <a:solidFill>
              <a:sysClr val="windowText" lastClr="000000"/>
            </a:solidFill>
            <a:effectLst/>
            <a:latin typeface="Bahnschrift SemiBold" panose="020B0502040204020203" pitchFamily="34" charset="0"/>
          </a:endParaRPr>
        </a:p>
      </xdr:txBody>
    </xdr:sp>
    <xdr:clientData/>
  </xdr:oneCellAnchor>
  <xdr:twoCellAnchor>
    <xdr:from>
      <xdr:col>2</xdr:col>
      <xdr:colOff>158750</xdr:colOff>
      <xdr:row>47</xdr:row>
      <xdr:rowOff>124075</xdr:rowOff>
    </xdr:from>
    <xdr:to>
      <xdr:col>12</xdr:col>
      <xdr:colOff>356417</xdr:colOff>
      <xdr:row>74</xdr:row>
      <xdr:rowOff>325</xdr:rowOff>
    </xdr:to>
    <xdr:graphicFrame macro="">
      <xdr:nvGraphicFramePr>
        <xdr:cNvPr id="7221" name="Chart 7220">
          <a:extLst>
            <a:ext uri="{FF2B5EF4-FFF2-40B4-BE49-F238E27FC236}">
              <a16:creationId xmlns:a16="http://schemas.microsoft.com/office/drawing/2014/main" id="{00000000-0008-0000-0000-000035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0</xdr:colOff>
      <xdr:row>78</xdr:row>
      <xdr:rowOff>128733</xdr:rowOff>
    </xdr:from>
    <xdr:to>
      <xdr:col>33</xdr:col>
      <xdr:colOff>263500</xdr:colOff>
      <xdr:row>82</xdr:row>
      <xdr:rowOff>91566</xdr:rowOff>
    </xdr:to>
    <xdr:sp macro="" textlink="">
      <xdr:nvSpPr>
        <xdr:cNvPr id="7225" name="Rectangle 7224">
          <a:extLst>
            <a:ext uri="{FF2B5EF4-FFF2-40B4-BE49-F238E27FC236}">
              <a16:creationId xmlns:a16="http://schemas.microsoft.com/office/drawing/2014/main" id="{00000000-0008-0000-0000-0000391C0000}"/>
            </a:ext>
          </a:extLst>
        </xdr:cNvPr>
        <xdr:cNvSpPr>
          <a:spLocks/>
        </xdr:cNvSpPr>
      </xdr:nvSpPr>
      <xdr:spPr>
        <a:xfrm>
          <a:off x="0" y="14162233"/>
          <a:ext cx="20520000" cy="682500"/>
        </a:xfrm>
        <a:prstGeom prst="rect">
          <a:avLst/>
        </a:prstGeom>
        <a:gradFill flip="none" rotWithShape="1">
          <a:gsLst>
            <a:gs pos="100000">
              <a:srgbClr val="7030A0"/>
            </a:gs>
            <a:gs pos="0">
              <a:schemeClr val="accent2">
                <a:lumMod val="75000"/>
                <a:alpha val="52000"/>
              </a:schemeClr>
            </a:gs>
          </a:gsLst>
          <a:path path="circle">
            <a:fillToRect l="50000" t="50000" r="50000" b="50000"/>
          </a:path>
          <a:tileRect/>
        </a:gradFill>
      </xdr:spPr>
      <xdr:style>
        <a:lnRef idx="0">
          <a:schemeClr val="accent2"/>
        </a:lnRef>
        <a:fillRef idx="3">
          <a:schemeClr val="accent2"/>
        </a:fillRef>
        <a:effectRef idx="3">
          <a:schemeClr val="accent2"/>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IN" sz="1100"/>
        </a:p>
      </xdr:txBody>
    </xdr:sp>
    <xdr:clientData/>
  </xdr:twoCellAnchor>
  <xdr:oneCellAnchor>
    <xdr:from>
      <xdr:col>10</xdr:col>
      <xdr:colOff>572681</xdr:colOff>
      <xdr:row>79</xdr:row>
      <xdr:rowOff>28424</xdr:rowOff>
    </xdr:from>
    <xdr:ext cx="5875006" cy="523285"/>
    <xdr:sp macro="" textlink="">
      <xdr:nvSpPr>
        <xdr:cNvPr id="7226" name="Rectangle 7225">
          <a:extLst>
            <a:ext uri="{FF2B5EF4-FFF2-40B4-BE49-F238E27FC236}">
              <a16:creationId xmlns:a16="http://schemas.microsoft.com/office/drawing/2014/main" id="{00000000-0008-0000-0000-00003A1C0000}"/>
            </a:ext>
          </a:extLst>
        </xdr:cNvPr>
        <xdr:cNvSpPr/>
      </xdr:nvSpPr>
      <xdr:spPr>
        <a:xfrm>
          <a:off x="6711014" y="14241841"/>
          <a:ext cx="5875006" cy="523285"/>
        </a:xfrm>
        <a:prstGeom prst="rect">
          <a:avLst/>
        </a:prstGeom>
        <a:noFill/>
        <a:ln w="38100" cmpd="dbl">
          <a:noFill/>
        </a:ln>
      </xdr:spPr>
      <xdr:style>
        <a:lnRef idx="2">
          <a:schemeClr val="accent2"/>
        </a:lnRef>
        <a:fillRef idx="1">
          <a:schemeClr val="lt1"/>
        </a:fillRef>
        <a:effectRef idx="0">
          <a:schemeClr val="accent2"/>
        </a:effectRef>
        <a:fontRef idx="minor">
          <a:schemeClr val="dk1"/>
        </a:fontRef>
      </xdr:style>
      <xdr:txBody>
        <a:bodyPr wrap="none" lIns="91440" tIns="45720" rIns="91440" bIns="45720">
          <a:spAutoFit/>
        </a:bodyPr>
        <a:lstStyle/>
        <a:p>
          <a:pPr algn="ctr"/>
          <a:r>
            <a:rPr lang="en-US" sz="2800" b="1" i="0" u="none" cap="none" spc="0">
              <a:ln w="22225">
                <a:solidFill>
                  <a:schemeClr val="tx1"/>
                </a:solidFill>
                <a:prstDash val="solid"/>
              </a:ln>
              <a:solidFill>
                <a:schemeClr val="bg1"/>
              </a:solidFill>
              <a:effectLst/>
              <a:latin typeface="Bahnschrift SemiBold" panose="020B0502040204020203" pitchFamily="34" charset="0"/>
            </a:rPr>
            <a:t>DASHBOARD BY AVICHAL</a:t>
          </a:r>
          <a:r>
            <a:rPr lang="en-US" sz="2800" b="1" i="0" u="none" cap="none" spc="0" baseline="0">
              <a:ln w="22225">
                <a:solidFill>
                  <a:schemeClr val="tx1"/>
                </a:solidFill>
                <a:prstDash val="solid"/>
              </a:ln>
              <a:solidFill>
                <a:schemeClr val="bg1"/>
              </a:solidFill>
              <a:effectLst/>
              <a:latin typeface="Bahnschrift SemiBold" panose="020B0502040204020203" pitchFamily="34" charset="0"/>
            </a:rPr>
            <a:t> SHARMA</a:t>
          </a:r>
          <a:endParaRPr lang="en-US" sz="2800" b="1" i="0" u="none" cap="none" spc="0">
            <a:ln w="22225">
              <a:solidFill>
                <a:schemeClr val="tx1"/>
              </a:solidFill>
              <a:prstDash val="solid"/>
            </a:ln>
            <a:solidFill>
              <a:schemeClr val="bg1"/>
            </a:solidFill>
            <a:effectLst/>
            <a:latin typeface="Bahnschrift SemiBold" panose="020B0502040204020203" pitchFamily="34" charset="0"/>
          </a:endParaRPr>
        </a:p>
      </xdr:txBody>
    </xdr:sp>
    <xdr:clientData/>
  </xdr:oneCellAnchor>
  <xdr:twoCellAnchor>
    <xdr:from>
      <xdr:col>6</xdr:col>
      <xdr:colOff>328713</xdr:colOff>
      <xdr:row>0</xdr:row>
      <xdr:rowOff>72729</xdr:rowOff>
    </xdr:from>
    <xdr:to>
      <xdr:col>24</xdr:col>
      <xdr:colOff>548119</xdr:colOff>
      <xdr:row>5</xdr:row>
      <xdr:rowOff>96604</xdr:rowOff>
    </xdr:to>
    <xdr:sp macro="" textlink="">
      <xdr:nvSpPr>
        <xdr:cNvPr id="7204" name="Rectangle 7203">
          <a:extLst>
            <a:ext uri="{FF2B5EF4-FFF2-40B4-BE49-F238E27FC236}">
              <a16:creationId xmlns:a16="http://schemas.microsoft.com/office/drawing/2014/main" id="{00000000-0008-0000-0000-0000241C0000}"/>
            </a:ext>
          </a:extLst>
        </xdr:cNvPr>
        <xdr:cNvSpPr/>
      </xdr:nvSpPr>
      <xdr:spPr>
        <a:xfrm>
          <a:off x="4011713" y="72729"/>
          <a:ext cx="11268406" cy="923458"/>
        </a:xfrm>
        <a:prstGeom prst="rect">
          <a:avLst/>
        </a:prstGeom>
        <a:noFill/>
        <a:ln w="38100" cmpd="dbl">
          <a:noFill/>
        </a:ln>
      </xdr:spPr>
      <xdr:style>
        <a:lnRef idx="2">
          <a:schemeClr val="accent2"/>
        </a:lnRef>
        <a:fillRef idx="1">
          <a:schemeClr val="lt1"/>
        </a:fillRef>
        <a:effectRef idx="0">
          <a:schemeClr val="accent2"/>
        </a:effectRef>
        <a:fontRef idx="minor">
          <a:schemeClr val="dk1"/>
        </a:fontRef>
      </xdr:style>
      <xdr:txBody>
        <a:bodyPr wrap="none" lIns="91440" tIns="45720" rIns="91440" bIns="45720">
          <a:noAutofit/>
        </a:bodyPr>
        <a:lstStyle/>
        <a:p>
          <a:pPr algn="ctr"/>
          <a:r>
            <a:rPr lang="en-US" sz="5400" b="1" i="0" u="none" cap="none" spc="0">
              <a:ln w="22225">
                <a:solidFill>
                  <a:schemeClr val="bg1"/>
                </a:solidFill>
                <a:prstDash val="solid"/>
              </a:ln>
              <a:solidFill>
                <a:schemeClr val="accent2"/>
              </a:solidFill>
              <a:effectLst/>
              <a:latin typeface="Bahnschrift SemiBold" panose="020B0502040204020203" pitchFamily="34" charset="0"/>
            </a:rPr>
            <a:t>CUSTOMER</a:t>
          </a:r>
          <a:r>
            <a:rPr lang="en-US" sz="5400" b="1" i="0" u="none" cap="none" spc="0" baseline="0">
              <a:ln w="22225">
                <a:solidFill>
                  <a:schemeClr val="bg1"/>
                </a:solidFill>
                <a:prstDash val="solid"/>
              </a:ln>
              <a:solidFill>
                <a:schemeClr val="accent2"/>
              </a:solidFill>
              <a:effectLst/>
              <a:latin typeface="Bahnschrift SemiBold" panose="020B0502040204020203" pitchFamily="34" charset="0"/>
            </a:rPr>
            <a:t> PERSONALITY ANALYSIS</a:t>
          </a:r>
          <a:endParaRPr lang="en-US" sz="5400" b="1" i="0" u="none" cap="none" spc="0">
            <a:ln w="22225">
              <a:solidFill>
                <a:schemeClr val="bg1"/>
              </a:solidFill>
              <a:prstDash val="solid"/>
            </a:ln>
            <a:solidFill>
              <a:schemeClr val="accent2"/>
            </a:solidFill>
            <a:effectLst/>
            <a:latin typeface="Bahnschrift SemiBold" panose="020B0502040204020203" pitchFamily="34" charset="0"/>
          </a:endParaRPr>
        </a:p>
      </xdr:txBody>
    </xdr:sp>
    <xdr:clientData/>
  </xdr:twoCellAnchor>
  <xdr:twoCellAnchor>
    <xdr:from>
      <xdr:col>25</xdr:col>
      <xdr:colOff>201086</xdr:colOff>
      <xdr:row>1</xdr:row>
      <xdr:rowOff>48541</xdr:rowOff>
    </xdr:from>
    <xdr:to>
      <xdr:col>26</xdr:col>
      <xdr:colOff>199252</xdr:colOff>
      <xdr:row>4</xdr:row>
      <xdr:rowOff>120791</xdr:rowOff>
    </xdr:to>
    <xdr:pic macro="[0]!Sheet7.display_infobox_customer_db">
      <xdr:nvPicPr>
        <xdr:cNvPr id="7231" name="customer_db_infobutton" descr="Information">
          <a:extLst>
            <a:ext uri="{FF2B5EF4-FFF2-40B4-BE49-F238E27FC236}">
              <a16:creationId xmlns:a16="http://schemas.microsoft.com/office/drawing/2014/main" id="{00000000-0008-0000-0000-00003F1C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15546919" y="228458"/>
          <a:ext cx="612000" cy="612000"/>
        </a:xfrm>
        <a:prstGeom prst="rect">
          <a:avLst/>
        </a:prstGeom>
      </xdr:spPr>
    </xdr:pic>
    <xdr:clientData/>
  </xdr:twoCellAnchor>
  <xdr:twoCellAnchor>
    <xdr:from>
      <xdr:col>23</xdr:col>
      <xdr:colOff>110068</xdr:colOff>
      <xdr:row>39</xdr:row>
      <xdr:rowOff>117604</xdr:rowOff>
    </xdr:from>
    <xdr:to>
      <xdr:col>24</xdr:col>
      <xdr:colOff>108235</xdr:colOff>
      <xdr:row>43</xdr:row>
      <xdr:rowOff>9937</xdr:rowOff>
    </xdr:to>
    <xdr:pic macro="[0]!Sheet7.display_infobox_income_sales_db">
      <xdr:nvPicPr>
        <xdr:cNvPr id="7233" name="income_sales_db_infobutton" descr="Information">
          <a:extLst>
            <a:ext uri="{FF2B5EF4-FFF2-40B4-BE49-F238E27FC236}">
              <a16:creationId xmlns:a16="http://schemas.microsoft.com/office/drawing/2014/main" id="{00000000-0008-0000-0000-0000411C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14228235" y="7134354"/>
          <a:ext cx="612000" cy="612000"/>
        </a:xfrm>
        <a:prstGeom prst="rect">
          <a:avLst/>
        </a:prstGeom>
      </xdr:spPr>
    </xdr:pic>
    <xdr:clientData/>
  </xdr:twoCellAnchor>
  <xdr:twoCellAnchor>
    <xdr:from>
      <xdr:col>26</xdr:col>
      <xdr:colOff>412753</xdr:colOff>
      <xdr:row>0</xdr:row>
      <xdr:rowOff>137583</xdr:rowOff>
    </xdr:from>
    <xdr:to>
      <xdr:col>32</xdr:col>
      <xdr:colOff>74082</xdr:colOff>
      <xdr:row>7</xdr:row>
      <xdr:rowOff>30166</xdr:rowOff>
    </xdr:to>
    <xdr:grpSp>
      <xdr:nvGrpSpPr>
        <xdr:cNvPr id="7238" name="Customer_db_info" hidden="1">
          <a:extLst>
            <a:ext uri="{FF2B5EF4-FFF2-40B4-BE49-F238E27FC236}">
              <a16:creationId xmlns:a16="http://schemas.microsoft.com/office/drawing/2014/main" id="{00000000-0008-0000-0000-0000461C0000}"/>
            </a:ext>
          </a:extLst>
        </xdr:cNvPr>
        <xdr:cNvGrpSpPr/>
      </xdr:nvGrpSpPr>
      <xdr:grpSpPr>
        <a:xfrm>
          <a:off x="16372420" y="137583"/>
          <a:ext cx="3344329" cy="1152000"/>
          <a:chOff x="16372421" y="137583"/>
          <a:chExt cx="2825750" cy="1143000"/>
        </a:xfrm>
      </xdr:grpSpPr>
      <xdr:sp macro="" textlink="">
        <xdr:nvSpPr>
          <xdr:cNvPr id="7234" name="Rectangle: Rounded Corners 7233" hidden="1">
            <a:extLst>
              <a:ext uri="{FF2B5EF4-FFF2-40B4-BE49-F238E27FC236}">
                <a16:creationId xmlns:a16="http://schemas.microsoft.com/office/drawing/2014/main" id="{00000000-0008-0000-0000-0000421C0000}"/>
              </a:ext>
            </a:extLst>
          </xdr:cNvPr>
          <xdr:cNvSpPr/>
        </xdr:nvSpPr>
        <xdr:spPr>
          <a:xfrm>
            <a:off x="16372421" y="137583"/>
            <a:ext cx="2825750" cy="1143000"/>
          </a:xfrm>
          <a:prstGeom prst="roundRect">
            <a:avLst/>
          </a:prstGeom>
          <a:solidFill>
            <a:schemeClr val="bg1">
              <a:alpha val="7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7237" name="TextBox 7236" hidden="1">
            <a:extLst>
              <a:ext uri="{FF2B5EF4-FFF2-40B4-BE49-F238E27FC236}">
                <a16:creationId xmlns:a16="http://schemas.microsoft.com/office/drawing/2014/main" id="{00000000-0008-0000-0000-0000451C0000}"/>
              </a:ext>
            </a:extLst>
          </xdr:cNvPr>
          <xdr:cNvSpPr txBox="1"/>
        </xdr:nvSpPr>
        <xdr:spPr>
          <a:xfrm>
            <a:off x="16414750" y="201083"/>
            <a:ext cx="2762250" cy="9948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t>CUSTOMER OVERVIEW:</a:t>
            </a:r>
            <a:endParaRPr lang="en-IN" sz="1400" b="0"/>
          </a:p>
          <a:p>
            <a:r>
              <a:rPr lang="en-IN" sz="1400" b="0"/>
              <a:t>Depictio</a:t>
            </a:r>
            <a:r>
              <a:rPr lang="en-IN" sz="1400" b="0" baseline="0"/>
              <a:t>n of the different kinds and classes of customers associated with the company and their characteristics.</a:t>
            </a:r>
            <a:endParaRPr lang="en-IN" sz="1400" b="0"/>
          </a:p>
        </xdr:txBody>
      </xdr:sp>
    </xdr:grpSp>
    <xdr:clientData/>
  </xdr:twoCellAnchor>
  <xdr:twoCellAnchor>
    <xdr:from>
      <xdr:col>24</xdr:col>
      <xdr:colOff>300570</xdr:colOff>
      <xdr:row>39</xdr:row>
      <xdr:rowOff>4227</xdr:rowOff>
    </xdr:from>
    <xdr:to>
      <xdr:col>29</xdr:col>
      <xdr:colOff>607482</xdr:colOff>
      <xdr:row>45</xdr:row>
      <xdr:rowOff>40727</xdr:rowOff>
    </xdr:to>
    <xdr:grpSp>
      <xdr:nvGrpSpPr>
        <xdr:cNvPr id="7240" name="income_sales_db_info" hidden="1">
          <a:extLst>
            <a:ext uri="{FF2B5EF4-FFF2-40B4-BE49-F238E27FC236}">
              <a16:creationId xmlns:a16="http://schemas.microsoft.com/office/drawing/2014/main" id="{00000000-0008-0000-0000-0000481C0000}"/>
            </a:ext>
          </a:extLst>
        </xdr:cNvPr>
        <xdr:cNvGrpSpPr/>
      </xdr:nvGrpSpPr>
      <xdr:grpSpPr>
        <a:xfrm>
          <a:off x="15032570" y="7020977"/>
          <a:ext cx="3376079" cy="1116000"/>
          <a:chOff x="15032571" y="6788151"/>
          <a:chExt cx="2825750" cy="1143000"/>
        </a:xfrm>
      </xdr:grpSpPr>
      <xdr:sp macro="" textlink="">
        <xdr:nvSpPr>
          <xdr:cNvPr id="7235" name="Rectangle: Rounded Corners 7234" hidden="1">
            <a:extLst>
              <a:ext uri="{FF2B5EF4-FFF2-40B4-BE49-F238E27FC236}">
                <a16:creationId xmlns:a16="http://schemas.microsoft.com/office/drawing/2014/main" id="{00000000-0008-0000-0000-0000431C0000}"/>
              </a:ext>
            </a:extLst>
          </xdr:cNvPr>
          <xdr:cNvSpPr/>
        </xdr:nvSpPr>
        <xdr:spPr>
          <a:xfrm>
            <a:off x="15032571" y="6788151"/>
            <a:ext cx="2825750" cy="1143000"/>
          </a:xfrm>
          <a:prstGeom prst="roundRect">
            <a:avLst/>
          </a:prstGeom>
          <a:solidFill>
            <a:schemeClr val="bg1">
              <a:alpha val="7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7239" name="TextBox 7238" hidden="1">
            <a:extLst>
              <a:ext uri="{FF2B5EF4-FFF2-40B4-BE49-F238E27FC236}">
                <a16:creationId xmlns:a16="http://schemas.microsoft.com/office/drawing/2014/main" id="{00000000-0008-0000-0000-0000471C0000}"/>
              </a:ext>
            </a:extLst>
          </xdr:cNvPr>
          <xdr:cNvSpPr txBox="1"/>
        </xdr:nvSpPr>
        <xdr:spPr>
          <a:xfrm>
            <a:off x="15134167" y="6826250"/>
            <a:ext cx="2624666" cy="10371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t>IMPACT OF INCOME</a:t>
            </a:r>
            <a:r>
              <a:rPr lang="en-IN" sz="1400" b="1" baseline="0"/>
              <a:t> ON SALES:</a:t>
            </a:r>
            <a:endParaRPr lang="en-IN" sz="1400" b="1"/>
          </a:p>
          <a:p>
            <a:r>
              <a:rPr lang="en-IN" sz="1400"/>
              <a:t>Analysing how different income levels of customers affect the company's sales and</a:t>
            </a:r>
            <a:r>
              <a:rPr lang="en-IN" sz="1400" baseline="0"/>
              <a:t> impact their own purchasing habits.</a:t>
            </a:r>
            <a:endParaRPr lang="en-IN" sz="1400"/>
          </a:p>
        </xdr:txBody>
      </xdr:sp>
    </xdr:grpSp>
    <xdr:clientData/>
  </xdr:twoCellAnchor>
  <xdr:twoCellAnchor>
    <xdr:from>
      <xdr:col>25</xdr:col>
      <xdr:colOff>205319</xdr:colOff>
      <xdr:row>1</xdr:row>
      <xdr:rowOff>48541</xdr:rowOff>
    </xdr:from>
    <xdr:to>
      <xdr:col>26</xdr:col>
      <xdr:colOff>203485</xdr:colOff>
      <xdr:row>4</xdr:row>
      <xdr:rowOff>120791</xdr:rowOff>
    </xdr:to>
    <xdr:pic macro="[0]!Sheet7.hide_infobox_customer_db">
      <xdr:nvPicPr>
        <xdr:cNvPr id="7241" name="customer_db_infobutton_active" descr="Information" hidden="1">
          <a:extLst>
            <a:ext uri="{FF2B5EF4-FFF2-40B4-BE49-F238E27FC236}">
              <a16:creationId xmlns:a16="http://schemas.microsoft.com/office/drawing/2014/main" id="{00000000-0008-0000-0000-0000491C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15551152" y="228458"/>
          <a:ext cx="612000" cy="612000"/>
        </a:xfrm>
        <a:prstGeom prst="rect">
          <a:avLst/>
        </a:prstGeom>
      </xdr:spPr>
    </xdr:pic>
    <xdr:clientData/>
  </xdr:twoCellAnchor>
  <xdr:twoCellAnchor>
    <xdr:from>
      <xdr:col>23</xdr:col>
      <xdr:colOff>103718</xdr:colOff>
      <xdr:row>39</xdr:row>
      <xdr:rowOff>122748</xdr:rowOff>
    </xdr:from>
    <xdr:to>
      <xdr:col>24</xdr:col>
      <xdr:colOff>101885</xdr:colOff>
      <xdr:row>43</xdr:row>
      <xdr:rowOff>15081</xdr:rowOff>
    </xdr:to>
    <xdr:pic macro="[0]!Sheet7.hide_infobox_income_sales_db">
      <xdr:nvPicPr>
        <xdr:cNvPr id="7242" name="income_sales_db_infobutton_active" descr="Information" hidden="1">
          <a:extLst>
            <a:ext uri="{FF2B5EF4-FFF2-40B4-BE49-F238E27FC236}">
              <a16:creationId xmlns:a16="http://schemas.microsoft.com/office/drawing/2014/main" id="{00000000-0008-0000-0000-00004A1C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14221885" y="7139498"/>
          <a:ext cx="612000" cy="612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12</xdr:col>
          <xdr:colOff>450850</xdr:colOff>
          <xdr:row>34</xdr:row>
          <xdr:rowOff>133350</xdr:rowOff>
        </xdr:from>
        <xdr:to>
          <xdr:col>18</xdr:col>
          <xdr:colOff>425450</xdr:colOff>
          <xdr:row>37</xdr:row>
          <xdr:rowOff>44450</xdr:rowOff>
        </xdr:to>
        <xdr:sp macro="" textlink="">
          <xdr:nvSpPr>
            <xdr:cNvPr id="2" name="refresh" hidden="1">
              <a:extLst>
                <a:ext uri="{63B3BB69-23CF-44E3-9099-C40C66FF867C}">
                  <a14:compatExt spid="_x0000_s7170"/>
                </a:ext>
                <a:ext uri="{FF2B5EF4-FFF2-40B4-BE49-F238E27FC236}">
                  <a16:creationId xmlns:a16="http://schemas.microsoft.com/office/drawing/2014/main" id="{00000000-0008-0000-0000-0000020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33</xdr:col>
      <xdr:colOff>582083</xdr:colOff>
      <xdr:row>75</xdr:row>
      <xdr:rowOff>84666</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20698883" cy="14372166"/>
        </a:xfrm>
        <a:prstGeom prst="rect">
          <a:avLst/>
        </a:prstGeom>
      </xdr:spPr>
    </xdr:pic>
    <xdr:clientData/>
  </xdr:twoCellAnchor>
  <xdr:twoCellAnchor>
    <xdr:from>
      <xdr:col>1</xdr:col>
      <xdr:colOff>74835</xdr:colOff>
      <xdr:row>7</xdr:row>
      <xdr:rowOff>10587</xdr:rowOff>
    </xdr:from>
    <xdr:to>
      <xdr:col>30</xdr:col>
      <xdr:colOff>223001</xdr:colOff>
      <xdr:row>53</xdr:row>
      <xdr:rowOff>105836</xdr:rowOff>
    </xdr:to>
    <xdr:sp macro="" textlink="">
      <xdr:nvSpPr>
        <xdr:cNvPr id="20" name="Freeform: Shape 19">
          <a:extLst>
            <a:ext uri="{FF2B5EF4-FFF2-40B4-BE49-F238E27FC236}">
              <a16:creationId xmlns:a16="http://schemas.microsoft.com/office/drawing/2014/main" id="{00000000-0008-0000-0100-000014000000}"/>
            </a:ext>
          </a:extLst>
        </xdr:cNvPr>
        <xdr:cNvSpPr>
          <a:spLocks noChangeAspect="1"/>
        </xdr:cNvSpPr>
      </xdr:nvSpPr>
      <xdr:spPr>
        <a:xfrm>
          <a:off x="678085" y="1344087"/>
          <a:ext cx="17642416" cy="8858249"/>
        </a:xfrm>
        <a:custGeom>
          <a:avLst/>
          <a:gdLst>
            <a:gd name="connsiteX0" fmla="*/ 13165663 w 17949333"/>
            <a:gd name="connsiteY0" fmla="*/ 4248150 h 8371416"/>
            <a:gd name="connsiteX1" fmla="*/ 17949333 w 17949333"/>
            <a:gd name="connsiteY1" fmla="*/ 4248150 h 8371416"/>
            <a:gd name="connsiteX2" fmla="*/ 17949333 w 17949333"/>
            <a:gd name="connsiteY2" fmla="*/ 8371416 h 8371416"/>
            <a:gd name="connsiteX3" fmla="*/ 13165663 w 17949333"/>
            <a:gd name="connsiteY3" fmla="*/ 8371416 h 8371416"/>
            <a:gd name="connsiteX4" fmla="*/ 7052730 w 17949333"/>
            <a:gd name="connsiteY4" fmla="*/ 4248150 h 8371416"/>
            <a:gd name="connsiteX5" fmla="*/ 12964580 w 17949333"/>
            <a:gd name="connsiteY5" fmla="*/ 4248150 h 8371416"/>
            <a:gd name="connsiteX6" fmla="*/ 12964580 w 17949333"/>
            <a:gd name="connsiteY6" fmla="*/ 8371416 h 8371416"/>
            <a:gd name="connsiteX7" fmla="*/ 7052730 w 17949333"/>
            <a:gd name="connsiteY7" fmla="*/ 8371416 h 8371416"/>
            <a:gd name="connsiteX8" fmla="*/ 0 w 17949333"/>
            <a:gd name="connsiteY8" fmla="*/ 4248150 h 8371416"/>
            <a:gd name="connsiteX9" fmla="*/ 6851647 w 17949333"/>
            <a:gd name="connsiteY9" fmla="*/ 4248150 h 8371416"/>
            <a:gd name="connsiteX10" fmla="*/ 6851647 w 17949333"/>
            <a:gd name="connsiteY10" fmla="*/ 8371416 h 8371416"/>
            <a:gd name="connsiteX11" fmla="*/ 0 w 17949333"/>
            <a:gd name="connsiteY11" fmla="*/ 8371416 h 8371416"/>
            <a:gd name="connsiteX12" fmla="*/ 13165663 w 17949333"/>
            <a:gd name="connsiteY12" fmla="*/ 0 h 8371416"/>
            <a:gd name="connsiteX13" fmla="*/ 17949333 w 17949333"/>
            <a:gd name="connsiteY13" fmla="*/ 0 h 8371416"/>
            <a:gd name="connsiteX14" fmla="*/ 17949333 w 17949333"/>
            <a:gd name="connsiteY14" fmla="*/ 4047067 h 8371416"/>
            <a:gd name="connsiteX15" fmla="*/ 13165663 w 17949333"/>
            <a:gd name="connsiteY15" fmla="*/ 4047067 h 8371416"/>
            <a:gd name="connsiteX16" fmla="*/ 0 w 17949333"/>
            <a:gd name="connsiteY16" fmla="*/ 0 h 8371416"/>
            <a:gd name="connsiteX17" fmla="*/ 12964580 w 17949333"/>
            <a:gd name="connsiteY17" fmla="*/ 0 h 8371416"/>
            <a:gd name="connsiteX18" fmla="*/ 12964580 w 17949333"/>
            <a:gd name="connsiteY18" fmla="*/ 4047067 h 8371416"/>
            <a:gd name="connsiteX19" fmla="*/ 7052730 w 17949333"/>
            <a:gd name="connsiteY19" fmla="*/ 4047067 h 8371416"/>
            <a:gd name="connsiteX20" fmla="*/ 7052730 w 17949333"/>
            <a:gd name="connsiteY20" fmla="*/ 4047066 h 8371416"/>
            <a:gd name="connsiteX21" fmla="*/ 6851647 w 17949333"/>
            <a:gd name="connsiteY21" fmla="*/ 4047066 h 8371416"/>
            <a:gd name="connsiteX22" fmla="*/ 6851647 w 17949333"/>
            <a:gd name="connsiteY22" fmla="*/ 4047067 h 8371416"/>
            <a:gd name="connsiteX23" fmla="*/ 0 w 17949333"/>
            <a:gd name="connsiteY23" fmla="*/ 4047067 h 837141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Lst>
          <a:rect l="l" t="t" r="r" b="b"/>
          <a:pathLst>
            <a:path w="17949333" h="8371416">
              <a:moveTo>
                <a:pt x="13165663" y="4248150"/>
              </a:moveTo>
              <a:lnTo>
                <a:pt x="17949333" y="4248150"/>
              </a:lnTo>
              <a:lnTo>
                <a:pt x="17949333" y="8371416"/>
              </a:lnTo>
              <a:lnTo>
                <a:pt x="13165663" y="8371416"/>
              </a:lnTo>
              <a:close/>
              <a:moveTo>
                <a:pt x="7052730" y="4248150"/>
              </a:moveTo>
              <a:lnTo>
                <a:pt x="12964580" y="4248150"/>
              </a:lnTo>
              <a:lnTo>
                <a:pt x="12964580" y="8371416"/>
              </a:lnTo>
              <a:lnTo>
                <a:pt x="7052730" y="8371416"/>
              </a:lnTo>
              <a:close/>
              <a:moveTo>
                <a:pt x="0" y="4248150"/>
              </a:moveTo>
              <a:lnTo>
                <a:pt x="6851647" y="4248150"/>
              </a:lnTo>
              <a:lnTo>
                <a:pt x="6851647" y="8371416"/>
              </a:lnTo>
              <a:lnTo>
                <a:pt x="0" y="8371416"/>
              </a:lnTo>
              <a:close/>
              <a:moveTo>
                <a:pt x="13165663" y="0"/>
              </a:moveTo>
              <a:lnTo>
                <a:pt x="17949333" y="0"/>
              </a:lnTo>
              <a:lnTo>
                <a:pt x="17949333" y="4047067"/>
              </a:lnTo>
              <a:lnTo>
                <a:pt x="13165663" y="4047067"/>
              </a:lnTo>
              <a:close/>
              <a:moveTo>
                <a:pt x="0" y="0"/>
              </a:moveTo>
              <a:lnTo>
                <a:pt x="12964580" y="0"/>
              </a:lnTo>
              <a:lnTo>
                <a:pt x="12964580" y="4047067"/>
              </a:lnTo>
              <a:lnTo>
                <a:pt x="7052730" y="4047067"/>
              </a:lnTo>
              <a:lnTo>
                <a:pt x="7052730" y="4047066"/>
              </a:lnTo>
              <a:lnTo>
                <a:pt x="6851647" y="4047066"/>
              </a:lnTo>
              <a:lnTo>
                <a:pt x="6851647" y="4047067"/>
              </a:lnTo>
              <a:lnTo>
                <a:pt x="0" y="4047067"/>
              </a:lnTo>
              <a:close/>
            </a:path>
          </a:pathLst>
        </a:custGeom>
        <a:gradFill flip="none" rotWithShape="1">
          <a:gsLst>
            <a:gs pos="100000">
              <a:srgbClr val="7030A0"/>
            </a:gs>
            <a:gs pos="0">
              <a:schemeClr val="accent2">
                <a:lumMod val="75000"/>
                <a:alpha val="52000"/>
              </a:schemeClr>
            </a:gs>
          </a:gsLst>
          <a:path path="circle">
            <a:fillToRect l="50000" t="50000" r="50000" b="50000"/>
          </a:path>
          <a:tileRect/>
        </a:gradFill>
      </xdr:spPr>
      <xdr:style>
        <a:lnRef idx="0">
          <a:schemeClr val="accent2"/>
        </a:lnRef>
        <a:fillRef idx="3">
          <a:schemeClr val="accent2"/>
        </a:fillRef>
        <a:effectRef idx="3">
          <a:schemeClr val="accent2"/>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IN" sz="1100"/>
        </a:p>
      </xdr:txBody>
    </xdr:sp>
    <xdr:clientData/>
  </xdr:twoCellAnchor>
  <xdr:twoCellAnchor>
    <xdr:from>
      <xdr:col>23</xdr:col>
      <xdr:colOff>124826</xdr:colOff>
      <xdr:row>18</xdr:row>
      <xdr:rowOff>553</xdr:rowOff>
    </xdr:from>
    <xdr:to>
      <xdr:col>29</xdr:col>
      <xdr:colOff>358862</xdr:colOff>
      <xdr:row>27</xdr:row>
      <xdr:rowOff>90165</xdr:rowOff>
    </xdr:to>
    <mc:AlternateContent xmlns:mc="http://schemas.openxmlformats.org/markup-compatibility/2006">
      <mc:Choice xmlns:a14="http://schemas.microsoft.com/office/drawing/2010/main" Requires="a14">
        <xdr:graphicFrame macro="">
          <xdr:nvGraphicFramePr>
            <xdr:cNvPr id="2" name="Marital_Status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0/slicer">
              <sle:slicer xmlns:sle="http://schemas.microsoft.com/office/drawing/2010/slicer" name="Marital_Status 1"/>
            </a:graphicData>
          </a:graphic>
        </xdr:graphicFrame>
      </mc:Choice>
      <mc:Fallback>
        <xdr:sp macro="" textlink="">
          <xdr:nvSpPr>
            <xdr:cNvPr id="0" name=""/>
            <xdr:cNvSpPr>
              <a:spLocks noTextEdit="1"/>
            </xdr:cNvSpPr>
          </xdr:nvSpPr>
          <xdr:spPr>
            <a:xfrm>
              <a:off x="14242993" y="3239053"/>
              <a:ext cx="3917036" cy="170886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23</xdr:col>
      <xdr:colOff>124826</xdr:colOff>
      <xdr:row>9</xdr:row>
      <xdr:rowOff>22013</xdr:rowOff>
    </xdr:from>
    <xdr:to>
      <xdr:col>29</xdr:col>
      <xdr:colOff>358862</xdr:colOff>
      <xdr:row>16</xdr:row>
      <xdr:rowOff>115949</xdr:rowOff>
    </xdr:to>
    <mc:AlternateContent xmlns:mc="http://schemas.openxmlformats.org/markup-compatibility/2006">
      <mc:Choice xmlns:a14="http://schemas.microsoft.com/office/drawing/2010/main" Requires="a14">
        <xdr:graphicFrame macro="">
          <xdr:nvGraphicFramePr>
            <xdr:cNvPr id="3" name="Income bracket 1">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Income bracket 1"/>
            </a:graphicData>
          </a:graphic>
        </xdr:graphicFrame>
      </mc:Choice>
      <mc:Fallback>
        <xdr:sp macro="" textlink="">
          <xdr:nvSpPr>
            <xdr:cNvPr id="0" name=""/>
            <xdr:cNvSpPr>
              <a:spLocks noTextEdit="1"/>
            </xdr:cNvSpPr>
          </xdr:nvSpPr>
          <xdr:spPr>
            <a:xfrm>
              <a:off x="14242993" y="1641263"/>
              <a:ext cx="3917036" cy="135335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509852</xdr:colOff>
      <xdr:row>9</xdr:row>
      <xdr:rowOff>22334</xdr:rowOff>
    </xdr:from>
    <xdr:to>
      <xdr:col>21</xdr:col>
      <xdr:colOff>269852</xdr:colOff>
      <xdr:row>27</xdr:row>
      <xdr:rowOff>90166</xdr:rowOff>
    </xdr:to>
    <xdr:graphicFrame macro="">
      <xdr:nvGraphicFramePr>
        <xdr:cNvPr id="4" name="Chart 3">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23</xdr:col>
      <xdr:colOff>124826</xdr:colOff>
      <xdr:row>32</xdr:row>
      <xdr:rowOff>121187</xdr:rowOff>
    </xdr:from>
    <xdr:to>
      <xdr:col>29</xdr:col>
      <xdr:colOff>358862</xdr:colOff>
      <xdr:row>51</xdr:row>
      <xdr:rowOff>11908</xdr:rowOff>
    </xdr:to>
    <xdr:graphicFrame macro="">
      <xdr:nvGraphicFramePr>
        <xdr:cNvPr id="5" name="Chart 4">
          <a:extLst>
            <a:ext uri="{FF2B5EF4-FFF2-40B4-BE49-F238E27FC236}">
              <a16:creationId xmlns:a16="http://schemas.microsoft.com/office/drawing/2014/main" id="{00000000-0008-0000-01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484016</xdr:colOff>
      <xdr:row>32</xdr:row>
      <xdr:rowOff>121187</xdr:rowOff>
    </xdr:from>
    <xdr:to>
      <xdr:col>11</xdr:col>
      <xdr:colOff>362540</xdr:colOff>
      <xdr:row>51</xdr:row>
      <xdr:rowOff>11908</xdr:rowOff>
    </xdr:to>
    <xdr:graphicFrame macro="">
      <xdr:nvGraphicFramePr>
        <xdr:cNvPr id="6" name="Chart 5">
          <a:extLst>
            <a:ext uri="{FF2B5EF4-FFF2-40B4-BE49-F238E27FC236}">
              <a16:creationId xmlns:a16="http://schemas.microsoft.com/office/drawing/2014/main" id="{00000000-0008-0000-0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179320</xdr:colOff>
      <xdr:row>32</xdr:row>
      <xdr:rowOff>121185</xdr:rowOff>
    </xdr:from>
    <xdr:to>
      <xdr:col>21</xdr:col>
      <xdr:colOff>308048</xdr:colOff>
      <xdr:row>51</xdr:row>
      <xdr:rowOff>11906</xdr:rowOff>
    </xdr:to>
    <xdr:graphicFrame macro="">
      <xdr:nvGraphicFramePr>
        <xdr:cNvPr id="7" name="Chart 6">
          <a:extLst>
            <a:ext uri="{FF2B5EF4-FFF2-40B4-BE49-F238E27FC236}">
              <a16:creationId xmlns:a16="http://schemas.microsoft.com/office/drawing/2014/main" id="{00000000-0008-0000-0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0</xdr:row>
      <xdr:rowOff>1206</xdr:rowOff>
    </xdr:from>
    <xdr:to>
      <xdr:col>33</xdr:col>
      <xdr:colOff>583200</xdr:colOff>
      <xdr:row>5</xdr:row>
      <xdr:rowOff>170540</xdr:rowOff>
    </xdr:to>
    <xdr:sp macro="" textlink="">
      <xdr:nvSpPr>
        <xdr:cNvPr id="28" name="Rectangle 27">
          <a:extLst>
            <a:ext uri="{FF2B5EF4-FFF2-40B4-BE49-F238E27FC236}">
              <a16:creationId xmlns:a16="http://schemas.microsoft.com/office/drawing/2014/main" id="{00000000-0008-0000-0100-00001C000000}"/>
            </a:ext>
          </a:extLst>
        </xdr:cNvPr>
        <xdr:cNvSpPr>
          <a:spLocks/>
        </xdr:cNvSpPr>
      </xdr:nvSpPr>
      <xdr:spPr>
        <a:xfrm>
          <a:off x="0" y="1206"/>
          <a:ext cx="20839700" cy="1068917"/>
        </a:xfrm>
        <a:prstGeom prst="rect">
          <a:avLst/>
        </a:prstGeom>
        <a:gradFill flip="none" rotWithShape="1">
          <a:gsLst>
            <a:gs pos="100000">
              <a:srgbClr val="7030A0"/>
            </a:gs>
            <a:gs pos="0">
              <a:schemeClr val="accent2">
                <a:lumMod val="75000"/>
                <a:alpha val="52000"/>
              </a:schemeClr>
            </a:gs>
          </a:gsLst>
          <a:path path="circle">
            <a:fillToRect l="50000" t="50000" r="50000" b="50000"/>
          </a:path>
          <a:tileRect/>
        </a:gradFill>
      </xdr:spPr>
      <xdr:style>
        <a:lnRef idx="0">
          <a:schemeClr val="accent2"/>
        </a:lnRef>
        <a:fillRef idx="3">
          <a:schemeClr val="accent2"/>
        </a:fillRef>
        <a:effectRef idx="3">
          <a:schemeClr val="accent2"/>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IN" sz="1100"/>
        </a:p>
      </xdr:txBody>
    </xdr:sp>
    <xdr:clientData/>
  </xdr:twoCellAnchor>
  <xdr:twoCellAnchor>
    <xdr:from>
      <xdr:col>0</xdr:col>
      <xdr:colOff>14817</xdr:colOff>
      <xdr:row>58</xdr:row>
      <xdr:rowOff>164170</xdr:rowOff>
    </xdr:from>
    <xdr:to>
      <xdr:col>33</xdr:col>
      <xdr:colOff>598017</xdr:colOff>
      <xdr:row>62</xdr:row>
      <xdr:rowOff>127004</xdr:rowOff>
    </xdr:to>
    <xdr:sp macro="" textlink="">
      <xdr:nvSpPr>
        <xdr:cNvPr id="29" name="Rectangle 28">
          <a:extLst>
            <a:ext uri="{FF2B5EF4-FFF2-40B4-BE49-F238E27FC236}">
              <a16:creationId xmlns:a16="http://schemas.microsoft.com/office/drawing/2014/main" id="{00000000-0008-0000-0100-00001D000000}"/>
            </a:ext>
          </a:extLst>
        </xdr:cNvPr>
        <xdr:cNvSpPr>
          <a:spLocks/>
        </xdr:cNvSpPr>
      </xdr:nvSpPr>
      <xdr:spPr>
        <a:xfrm>
          <a:off x="14817" y="11213170"/>
          <a:ext cx="20490450" cy="724834"/>
        </a:xfrm>
        <a:prstGeom prst="rect">
          <a:avLst/>
        </a:prstGeom>
        <a:gradFill flip="none" rotWithShape="1">
          <a:gsLst>
            <a:gs pos="100000">
              <a:srgbClr val="7030A0"/>
            </a:gs>
            <a:gs pos="0">
              <a:schemeClr val="accent2">
                <a:lumMod val="75000"/>
                <a:alpha val="52000"/>
              </a:schemeClr>
            </a:gs>
          </a:gsLst>
          <a:path path="circle">
            <a:fillToRect l="50000" t="50000" r="50000" b="50000"/>
          </a:path>
          <a:tileRect/>
        </a:gradFill>
      </xdr:spPr>
      <xdr:style>
        <a:lnRef idx="0">
          <a:schemeClr val="accent2"/>
        </a:lnRef>
        <a:fillRef idx="3">
          <a:schemeClr val="accent2"/>
        </a:fillRef>
        <a:effectRef idx="3">
          <a:schemeClr val="accent2"/>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IN" sz="1100"/>
        </a:p>
      </xdr:txBody>
    </xdr:sp>
    <xdr:clientData/>
  </xdr:twoCellAnchor>
  <xdr:oneCellAnchor>
    <xdr:from>
      <xdr:col>10</xdr:col>
      <xdr:colOff>587498</xdr:colOff>
      <xdr:row>59</xdr:row>
      <xdr:rowOff>63862</xdr:rowOff>
    </xdr:from>
    <xdr:ext cx="5875006" cy="523285"/>
    <xdr:sp macro="" textlink="">
      <xdr:nvSpPr>
        <xdr:cNvPr id="27" name="Rectangle 26">
          <a:extLst>
            <a:ext uri="{FF2B5EF4-FFF2-40B4-BE49-F238E27FC236}">
              <a16:creationId xmlns:a16="http://schemas.microsoft.com/office/drawing/2014/main" id="{00000000-0008-0000-0100-00001B000000}"/>
            </a:ext>
          </a:extLst>
        </xdr:cNvPr>
        <xdr:cNvSpPr/>
      </xdr:nvSpPr>
      <xdr:spPr>
        <a:xfrm>
          <a:off x="6619998" y="11303362"/>
          <a:ext cx="5875006" cy="523285"/>
        </a:xfrm>
        <a:prstGeom prst="rect">
          <a:avLst/>
        </a:prstGeom>
        <a:noFill/>
        <a:ln w="38100" cmpd="dbl">
          <a:noFill/>
        </a:ln>
      </xdr:spPr>
      <xdr:style>
        <a:lnRef idx="2">
          <a:schemeClr val="accent2"/>
        </a:lnRef>
        <a:fillRef idx="1">
          <a:schemeClr val="lt1"/>
        </a:fillRef>
        <a:effectRef idx="0">
          <a:schemeClr val="accent2"/>
        </a:effectRef>
        <a:fontRef idx="minor">
          <a:schemeClr val="dk1"/>
        </a:fontRef>
      </xdr:style>
      <xdr:txBody>
        <a:bodyPr wrap="none" lIns="91440" tIns="45720" rIns="91440" bIns="45720">
          <a:spAutoFit/>
        </a:bodyPr>
        <a:lstStyle/>
        <a:p>
          <a:pPr algn="ctr"/>
          <a:r>
            <a:rPr lang="en-US" sz="2800" b="1" i="0" u="none" cap="none" spc="0">
              <a:ln w="22225">
                <a:solidFill>
                  <a:schemeClr val="tx1"/>
                </a:solidFill>
                <a:prstDash val="solid"/>
              </a:ln>
              <a:solidFill>
                <a:schemeClr val="bg1"/>
              </a:solidFill>
              <a:effectLst/>
              <a:latin typeface="Bahnschrift SemiBold" panose="020B0502040204020203" pitchFamily="34" charset="0"/>
            </a:rPr>
            <a:t>DASHBOARD BY AVICHAL</a:t>
          </a:r>
          <a:r>
            <a:rPr lang="en-US" sz="2800" b="1" i="0" u="none" cap="none" spc="0" baseline="0">
              <a:ln w="22225">
                <a:solidFill>
                  <a:schemeClr val="tx1"/>
                </a:solidFill>
                <a:prstDash val="solid"/>
              </a:ln>
              <a:solidFill>
                <a:schemeClr val="bg1"/>
              </a:solidFill>
              <a:effectLst/>
              <a:latin typeface="Bahnschrift SemiBold" panose="020B0502040204020203" pitchFamily="34" charset="0"/>
            </a:rPr>
            <a:t> SHARMA</a:t>
          </a:r>
          <a:endParaRPr lang="en-US" sz="2800" b="1" i="0" u="none" cap="none" spc="0">
            <a:ln w="22225">
              <a:solidFill>
                <a:schemeClr val="tx1"/>
              </a:solidFill>
              <a:prstDash val="solid"/>
            </a:ln>
            <a:solidFill>
              <a:schemeClr val="bg1"/>
            </a:solidFill>
            <a:effectLst/>
            <a:latin typeface="Bahnschrift SemiBold" panose="020B0502040204020203" pitchFamily="34" charset="0"/>
          </a:endParaRPr>
        </a:p>
      </xdr:txBody>
    </xdr:sp>
    <xdr:clientData/>
  </xdr:oneCellAnchor>
  <xdr:twoCellAnchor>
    <xdr:from>
      <xdr:col>7</xdr:col>
      <xdr:colOff>423225</xdr:colOff>
      <xdr:row>0</xdr:row>
      <xdr:rowOff>98197</xdr:rowOff>
    </xdr:from>
    <xdr:to>
      <xdr:col>23</xdr:col>
      <xdr:colOff>488444</xdr:colOff>
      <xdr:row>5</xdr:row>
      <xdr:rowOff>122072</xdr:rowOff>
    </xdr:to>
    <xdr:sp macro="" textlink="">
      <xdr:nvSpPr>
        <xdr:cNvPr id="32" name="Rectangle 31">
          <a:extLst>
            <a:ext uri="{FF2B5EF4-FFF2-40B4-BE49-F238E27FC236}">
              <a16:creationId xmlns:a16="http://schemas.microsoft.com/office/drawing/2014/main" id="{00000000-0008-0000-0100-000020000000}"/>
            </a:ext>
          </a:extLst>
        </xdr:cNvPr>
        <xdr:cNvSpPr/>
      </xdr:nvSpPr>
      <xdr:spPr>
        <a:xfrm>
          <a:off x="4720058" y="98197"/>
          <a:ext cx="9886553" cy="923458"/>
        </a:xfrm>
        <a:prstGeom prst="rect">
          <a:avLst/>
        </a:prstGeom>
        <a:noFill/>
        <a:ln w="38100" cmpd="dbl">
          <a:noFill/>
        </a:ln>
      </xdr:spPr>
      <xdr:style>
        <a:lnRef idx="2">
          <a:schemeClr val="accent2"/>
        </a:lnRef>
        <a:fillRef idx="1">
          <a:schemeClr val="lt1"/>
        </a:fillRef>
        <a:effectRef idx="0">
          <a:schemeClr val="accent2"/>
        </a:effectRef>
        <a:fontRef idx="minor">
          <a:schemeClr val="dk1"/>
        </a:fontRef>
      </xdr:style>
      <xdr:txBody>
        <a:bodyPr wrap="none" lIns="91440" tIns="45720" rIns="91440" bIns="45720">
          <a:noAutofit/>
        </a:bodyPr>
        <a:lstStyle/>
        <a:p>
          <a:pPr algn="ctr"/>
          <a:r>
            <a:rPr lang="en-US" sz="5400" b="1" i="0" u="none" cap="none" spc="0">
              <a:ln w="22225">
                <a:solidFill>
                  <a:schemeClr val="bg1"/>
                </a:solidFill>
                <a:prstDash val="solid"/>
              </a:ln>
              <a:solidFill>
                <a:schemeClr val="accent2"/>
              </a:solidFill>
              <a:effectLst/>
              <a:latin typeface="Bahnschrift SemiBold" panose="020B0502040204020203" pitchFamily="34" charset="0"/>
            </a:rPr>
            <a:t>PRODUCT SALE </a:t>
          </a:r>
          <a:r>
            <a:rPr lang="en-US" sz="5400" b="1" i="0" u="none" cap="none" spc="0" baseline="0">
              <a:ln w="22225">
                <a:solidFill>
                  <a:schemeClr val="bg1"/>
                </a:solidFill>
                <a:prstDash val="solid"/>
              </a:ln>
              <a:solidFill>
                <a:schemeClr val="accent2"/>
              </a:solidFill>
              <a:effectLst/>
              <a:latin typeface="Bahnschrift SemiBold" panose="020B0502040204020203" pitchFamily="34" charset="0"/>
            </a:rPr>
            <a:t>ANALYSIS</a:t>
          </a:r>
          <a:endParaRPr lang="en-US" sz="5400" b="1" i="0" u="none" cap="none" spc="0">
            <a:ln w="22225">
              <a:solidFill>
                <a:schemeClr val="bg1"/>
              </a:solidFill>
              <a:prstDash val="solid"/>
            </a:ln>
            <a:solidFill>
              <a:schemeClr val="accent2"/>
            </a:solidFill>
            <a:effectLst/>
            <a:latin typeface="Bahnschrift SemiBold" panose="020B0502040204020203" pitchFamily="34" charset="0"/>
          </a:endParaRPr>
        </a:p>
      </xdr:txBody>
    </xdr:sp>
    <xdr:clientData/>
  </xdr:twoCellAnchor>
  <xdr:twoCellAnchor>
    <xdr:from>
      <xdr:col>23</xdr:col>
      <xdr:colOff>235766</xdr:colOff>
      <xdr:row>1</xdr:row>
      <xdr:rowOff>74009</xdr:rowOff>
    </xdr:from>
    <xdr:to>
      <xdr:col>24</xdr:col>
      <xdr:colOff>233622</xdr:colOff>
      <xdr:row>4</xdr:row>
      <xdr:rowOff>146259</xdr:rowOff>
    </xdr:to>
    <xdr:pic macro="[0]!Sheet8.display_infobox_sales_db">
      <xdr:nvPicPr>
        <xdr:cNvPr id="33" name="sales_db_infobutton" descr="Information">
          <a:extLst>
            <a:ext uri="{FF2B5EF4-FFF2-40B4-BE49-F238E27FC236}">
              <a16:creationId xmlns:a16="http://schemas.microsoft.com/office/drawing/2014/main" id="{00000000-0008-0000-0100-000021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14353933" y="253926"/>
          <a:ext cx="611689" cy="612000"/>
        </a:xfrm>
        <a:prstGeom prst="rect">
          <a:avLst/>
        </a:prstGeom>
      </xdr:spPr>
    </xdr:pic>
    <xdr:clientData/>
  </xdr:twoCellAnchor>
  <xdr:twoCellAnchor>
    <xdr:from>
      <xdr:col>23</xdr:col>
      <xdr:colOff>232833</xdr:colOff>
      <xdr:row>1</xdr:row>
      <xdr:rowOff>74009</xdr:rowOff>
    </xdr:from>
    <xdr:to>
      <xdr:col>24</xdr:col>
      <xdr:colOff>231000</xdr:colOff>
      <xdr:row>4</xdr:row>
      <xdr:rowOff>146259</xdr:rowOff>
    </xdr:to>
    <xdr:pic macro="[0]!Sheet8.hide_infobox_sales_db">
      <xdr:nvPicPr>
        <xdr:cNvPr id="34" name="sales_db_infobutton_active" descr="Information" hidden="1">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4351000" y="253926"/>
          <a:ext cx="612000" cy="612000"/>
        </a:xfrm>
        <a:prstGeom prst="rect">
          <a:avLst/>
        </a:prstGeom>
      </xdr:spPr>
    </xdr:pic>
    <xdr:clientData/>
  </xdr:twoCellAnchor>
  <xdr:twoCellAnchor>
    <xdr:from>
      <xdr:col>24</xdr:col>
      <xdr:colOff>402166</xdr:colOff>
      <xdr:row>1</xdr:row>
      <xdr:rowOff>21166</xdr:rowOff>
    </xdr:from>
    <xdr:to>
      <xdr:col>30</xdr:col>
      <xdr:colOff>285750</xdr:colOff>
      <xdr:row>7</xdr:row>
      <xdr:rowOff>21666</xdr:rowOff>
    </xdr:to>
    <xdr:grpSp>
      <xdr:nvGrpSpPr>
        <xdr:cNvPr id="36" name="sales_db_info" hidden="1">
          <a:extLst>
            <a:ext uri="{FF2B5EF4-FFF2-40B4-BE49-F238E27FC236}">
              <a16:creationId xmlns:a16="http://schemas.microsoft.com/office/drawing/2014/main" id="{00000000-0008-0000-0100-000024000000}"/>
            </a:ext>
          </a:extLst>
        </xdr:cNvPr>
        <xdr:cNvGrpSpPr/>
      </xdr:nvGrpSpPr>
      <xdr:grpSpPr>
        <a:xfrm>
          <a:off x="15134166" y="201083"/>
          <a:ext cx="3566584" cy="1080000"/>
          <a:chOff x="15032571" y="6788151"/>
          <a:chExt cx="2825750" cy="1143000"/>
        </a:xfrm>
      </xdr:grpSpPr>
      <xdr:sp macro="" textlink="">
        <xdr:nvSpPr>
          <xdr:cNvPr id="37" name="Rectangle: Rounded Corners 36" hidden="1">
            <a:extLst>
              <a:ext uri="{FF2B5EF4-FFF2-40B4-BE49-F238E27FC236}">
                <a16:creationId xmlns:a16="http://schemas.microsoft.com/office/drawing/2014/main" id="{00000000-0008-0000-0100-000025000000}"/>
              </a:ext>
            </a:extLst>
          </xdr:cNvPr>
          <xdr:cNvSpPr/>
        </xdr:nvSpPr>
        <xdr:spPr>
          <a:xfrm>
            <a:off x="15032571" y="6788151"/>
            <a:ext cx="2825750" cy="1143000"/>
          </a:xfrm>
          <a:prstGeom prst="roundRect">
            <a:avLst/>
          </a:prstGeom>
          <a:solidFill>
            <a:schemeClr val="bg1">
              <a:alpha val="7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38" name="TextBox 37" hidden="1">
            <a:extLst>
              <a:ext uri="{FF2B5EF4-FFF2-40B4-BE49-F238E27FC236}">
                <a16:creationId xmlns:a16="http://schemas.microsoft.com/office/drawing/2014/main" id="{00000000-0008-0000-0100-000026000000}"/>
              </a:ext>
            </a:extLst>
          </xdr:cNvPr>
          <xdr:cNvSpPr txBox="1"/>
        </xdr:nvSpPr>
        <xdr:spPr>
          <a:xfrm>
            <a:off x="15134167" y="6826250"/>
            <a:ext cx="2624666" cy="10371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t>OVERVIEW OF</a:t>
            </a:r>
            <a:r>
              <a:rPr lang="en-IN" sz="1400" b="1" baseline="0"/>
              <a:t> </a:t>
            </a:r>
            <a:r>
              <a:rPr lang="en-IN" sz="1400" b="1"/>
              <a:t>PURCHASES INFO:</a:t>
            </a:r>
          </a:p>
          <a:p>
            <a:r>
              <a:rPr lang="en-IN" sz="1400"/>
              <a:t>Analysing how different categories and groups of customers behave when making purchases and the factors affecting</a:t>
            </a:r>
            <a:r>
              <a:rPr lang="en-IN" sz="1400" baseline="0"/>
              <a:t> them.</a:t>
            </a:r>
            <a:endParaRPr lang="en-IN" sz="1400"/>
          </a:p>
        </xdr:txBody>
      </xdr:sp>
    </xdr:grpSp>
    <xdr:clientData/>
  </xdr:twoCellAnchor>
  <mc:AlternateContent xmlns:mc="http://schemas.openxmlformats.org/markup-compatibility/2006">
    <mc:Choice xmlns:a14="http://schemas.microsoft.com/office/drawing/2010/main" Requires="a14">
      <xdr:twoCellAnchor editAs="oneCell">
        <xdr:from>
          <xdr:col>12</xdr:col>
          <xdr:colOff>355600</xdr:colOff>
          <xdr:row>54</xdr:row>
          <xdr:rowOff>136525</xdr:rowOff>
        </xdr:from>
        <xdr:to>
          <xdr:col>18</xdr:col>
          <xdr:colOff>558800</xdr:colOff>
          <xdr:row>57</xdr:row>
          <xdr:rowOff>117475</xdr:rowOff>
        </xdr:to>
        <xdr:sp macro="" textlink="">
          <xdr:nvSpPr>
            <xdr:cNvPr id="8194" name="refresh2" hidden="1">
              <a:extLst>
                <a:ext uri="{63B3BB69-23CF-44E3-9099-C40C66FF867C}">
                  <a14:compatExt spid="_x0000_s8194"/>
                </a:ext>
                <a:ext uri="{FF2B5EF4-FFF2-40B4-BE49-F238E27FC236}">
                  <a16:creationId xmlns:a16="http://schemas.microsoft.com/office/drawing/2014/main" id="{00000000-0008-0000-0100-00000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29</xdr:col>
          <xdr:colOff>381000</xdr:colOff>
          <xdr:row>98</xdr:row>
          <xdr:rowOff>165100</xdr:rowOff>
        </xdr:from>
        <xdr:to>
          <xdr:col>33</xdr:col>
          <xdr:colOff>482600</xdr:colOff>
          <xdr:row>102</xdr:row>
          <xdr:rowOff>82550</xdr:rowOff>
        </xdr:to>
        <xdr:sp macro="" textlink="">
          <xdr:nvSpPr>
            <xdr:cNvPr id="6145" name="CommandButton1" hidden="1">
              <a:extLst>
                <a:ext uri="{63B3BB69-23CF-44E3-9099-C40C66FF867C}">
                  <a14:compatExt spid="_x0000_s6145"/>
                </a:ext>
                <a:ext uri="{FF2B5EF4-FFF2-40B4-BE49-F238E27FC236}">
                  <a16:creationId xmlns:a16="http://schemas.microsoft.com/office/drawing/2014/main" id="{00000000-0008-0000-02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355600</xdr:colOff>
          <xdr:row>68</xdr:row>
          <xdr:rowOff>44450</xdr:rowOff>
        </xdr:from>
        <xdr:to>
          <xdr:col>33</xdr:col>
          <xdr:colOff>495300</xdr:colOff>
          <xdr:row>71</xdr:row>
          <xdr:rowOff>101600</xdr:rowOff>
        </xdr:to>
        <xdr:sp macro="" textlink="">
          <xdr:nvSpPr>
            <xdr:cNvPr id="6146" name="CommandButton2" hidden="1">
              <a:extLst>
                <a:ext uri="{63B3BB69-23CF-44E3-9099-C40C66FF867C}">
                  <a14:compatExt spid="_x0000_s6146"/>
                </a:ext>
                <a:ext uri="{FF2B5EF4-FFF2-40B4-BE49-F238E27FC236}">
                  <a16:creationId xmlns:a16="http://schemas.microsoft.com/office/drawing/2014/main" id="{00000000-0008-0000-0200-000002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450850</xdr:colOff>
          <xdr:row>1</xdr:row>
          <xdr:rowOff>57150</xdr:rowOff>
        </xdr:from>
        <xdr:to>
          <xdr:col>32</xdr:col>
          <xdr:colOff>508000</xdr:colOff>
          <xdr:row>4</xdr:row>
          <xdr:rowOff>158750</xdr:rowOff>
        </xdr:to>
        <xdr:sp macro="" textlink="">
          <xdr:nvSpPr>
            <xdr:cNvPr id="6147" name="Add_Customer" hidden="1">
              <a:extLst>
                <a:ext uri="{63B3BB69-23CF-44E3-9099-C40C66FF867C}">
                  <a14:compatExt spid="_x0000_s6147"/>
                </a:ext>
                <a:ext uri="{FF2B5EF4-FFF2-40B4-BE49-F238E27FC236}">
                  <a16:creationId xmlns:a16="http://schemas.microsoft.com/office/drawing/2014/main" id="{00000000-0008-0000-0200-00000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 refreshedDate="45024.166695717591" createdVersion="8" refreshedVersion="8" minRefreshableVersion="3" recordCount="2055" xr:uid="{FBE49920-A4FB-42A2-930A-760EE252066B}">
  <cacheSource type="worksheet">
    <worksheetSource ref="A1:AB2056" sheet="marketing_campaign"/>
  </cacheSource>
  <cacheFields count="28">
    <cacheField name="ID" numFmtId="0">
      <sharedItems containsSemiMixedTypes="0" containsString="0" containsNumber="1" containsInteger="1" minValue="0" maxValue="11191"/>
    </cacheField>
    <cacheField name="Year_Birth" numFmtId="0">
      <sharedItems containsSemiMixedTypes="0" containsString="0" containsNumber="1" containsInteger="1" minValue="1893" maxValue="1996"/>
    </cacheField>
    <cacheField name="Age" numFmtId="0">
      <sharedItems count="6">
        <s v="80+"/>
        <s v="51-60"/>
        <s v="0-40"/>
        <s v="41-50"/>
        <s v="71-80"/>
        <s v="61-70"/>
      </sharedItems>
    </cacheField>
    <cacheField name="Education" numFmtId="0">
      <sharedItems count="5">
        <s v="Graduation"/>
        <s v="PhD"/>
        <s v="Master"/>
        <s v="Basic"/>
        <s v="2n Cycle" u="1"/>
      </sharedItems>
    </cacheField>
    <cacheField name="Marital_Status" numFmtId="0">
      <sharedItems count="5">
        <s v="Single"/>
        <s v="Together"/>
        <s v="Married"/>
        <s v="Divorced"/>
        <s v="Widow"/>
      </sharedItems>
    </cacheField>
    <cacheField name="Income" numFmtId="0">
      <sharedItems containsString="0" containsBlank="1" containsNumber="1" containsInteger="1" minValue="1730" maxValue="666666"/>
    </cacheField>
    <cacheField name="Income bracket" numFmtId="0">
      <sharedItems count="4">
        <s v="Mid-high"/>
        <s v="Mid-low"/>
        <s v="High"/>
        <s v="Low"/>
      </sharedItems>
    </cacheField>
    <cacheField name="Kidhome" numFmtId="0">
      <sharedItems containsSemiMixedTypes="0" containsString="0" containsNumber="1" containsInteger="1" minValue="0" maxValue="2"/>
    </cacheField>
    <cacheField name="Teenhome" numFmtId="0">
      <sharedItems containsSemiMixedTypes="0" containsString="0" containsNumber="1" containsInteger="1" minValue="0" maxValue="2"/>
    </cacheField>
    <cacheField name="Totalchildren" numFmtId="0">
      <sharedItems containsSemiMixedTypes="0" containsString="0" containsNumber="1" containsInteger="1" minValue="0" maxValue="3" count="4">
        <n v="0"/>
        <n v="2"/>
        <n v="1"/>
        <n v="3"/>
      </sharedItems>
    </cacheField>
    <cacheField name="Dt_Customer" numFmtId="14">
      <sharedItems containsSemiMixedTypes="0" containsNonDate="0" containsDate="1" containsString="0" minDate="2012-07-30T00:00:00" maxDate="2014-06-30T00:00:00" count="663">
        <d v="2012-09-04T00:00:00"/>
        <d v="2014-03-08T00:00:00"/>
        <d v="2013-08-21T00:00:00"/>
        <d v="2014-02-10T00:00:00"/>
        <d v="2014-01-19T00:00:00"/>
        <d v="2013-09-09T00:00:00"/>
        <d v="2012-11-13T00:00:00"/>
        <d v="2013-05-08T00:00:00"/>
        <d v="2013-06-06T00:00:00"/>
        <d v="2014-03-13T00:00:00"/>
        <d v="2013-11-15T00:00:00"/>
        <d v="2012-10-10T00:00:00"/>
        <d v="2012-11-24T00:00:00"/>
        <d v="2012-12-24T00:00:00"/>
        <d v="2012-08-31T00:00:00"/>
        <d v="2013-03-28T00:00:00"/>
        <d v="2012-11-03T00:00:00"/>
        <d v="2012-08-08T00:00:00"/>
        <d v="2013-01-06T00:00:00"/>
        <d v="2012-12-23T00:00:00"/>
        <d v="2014-01-11T00:00:00"/>
        <d v="2013-03-18T00:00:00"/>
        <d v="2013-01-02T00:00:00"/>
        <d v="2013-05-27T00:00:00"/>
        <d v="2013-02-20T00:00:00"/>
        <d v="2013-05-31T00:00:00"/>
        <d v="2013-11-22T00:00:00"/>
        <d v="2014-05-22T00:00:00"/>
        <d v="2013-05-11T00:00:00"/>
        <d v="2012-10-29T00:00:00"/>
        <d v="2013-08-29T00:00:00"/>
        <d v="2013-12-31T00:00:00"/>
        <d v="2013-09-02T00:00:00"/>
        <d v="2014-02-11T00:00:00"/>
        <d v="2013-02-01T00:00:00"/>
        <d v="2013-04-29T00:00:00"/>
        <d v="2013-03-12T00:00:00"/>
        <d v="2013-11-05T00:00:00"/>
        <d v="2013-10-02T00:00:00"/>
        <d v="2014-06-28T00:00:00"/>
        <d v="2012-11-09T00:00:00"/>
        <d v="2013-05-24T00:00:00"/>
        <d v="2014-01-01T00:00:00"/>
        <d v="2012-11-08T00:00:00"/>
        <d v="2014-05-12T00:00:00"/>
        <d v="2012-08-11T00:00:00"/>
        <d v="2014-06-07T00:00:00"/>
        <d v="2013-06-12T00:00:00"/>
        <d v="2012-11-19T00:00:00"/>
        <d v="2013-04-02T00:00:00"/>
        <d v="2014-04-28T00:00:00"/>
        <d v="2013-06-17T00:00:00"/>
        <d v="2014-03-03T00:00:00"/>
        <d v="2013-07-04T00:00:00"/>
        <d v="2012-09-07T00:00:00"/>
        <d v="2013-02-18T00:00:00"/>
        <d v="2013-06-11T00:00:00"/>
        <d v="2013-12-06T00:00:00"/>
        <d v="2013-05-21T00:00:00"/>
        <d v="2014-05-11T00:00:00"/>
        <d v="2014-03-19T00:00:00"/>
        <d v="2013-09-27T00:00:00"/>
        <d v="2013-04-08T00:00:00"/>
        <d v="2012-09-11T00:00:00"/>
        <d v="2012-09-14T00:00:00"/>
        <d v="2013-03-17T00:00:00"/>
        <d v="2013-04-05T00:00:00"/>
        <d v="2014-04-30T00:00:00"/>
        <d v="2012-12-19T00:00:00"/>
        <d v="2012-08-27T00:00:00"/>
        <d v="2012-10-12T00:00:00"/>
        <d v="2013-09-04T00:00:00"/>
        <d v="2012-08-29T00:00:00"/>
        <d v="2013-06-23T00:00:00"/>
        <d v="2013-07-03T00:00:00"/>
        <d v="2014-02-25T00:00:00"/>
        <d v="2013-08-11T00:00:00"/>
        <d v="2013-07-16T00:00:00"/>
        <d v="2014-05-28T00:00:00"/>
        <d v="2014-01-21T00:00:00"/>
        <d v="2014-05-27T00:00:00"/>
        <d v="2013-11-23T00:00:00"/>
        <d v="2014-03-23T00:00:00"/>
        <d v="2014-05-24T00:00:00"/>
        <d v="2012-11-22T00:00:00"/>
        <d v="2013-04-11T00:00:00"/>
        <d v="2013-12-01T00:00:00"/>
        <d v="2013-06-20T00:00:00"/>
        <d v="2013-07-23T00:00:00"/>
        <d v="2014-03-30T00:00:00"/>
        <d v="2013-04-20T00:00:00"/>
        <d v="2013-05-17T00:00:00"/>
        <d v="2014-05-08T00:00:00"/>
        <d v="2013-12-10T00:00:00"/>
        <d v="2013-09-24T00:00:00"/>
        <d v="2013-02-02T00:00:00"/>
        <d v="2012-12-07T00:00:00"/>
        <d v="2013-11-02T00:00:00"/>
        <d v="2012-11-10T00:00:00"/>
        <d v="2014-06-25T00:00:00"/>
        <d v="2012-12-12T00:00:00"/>
        <d v="2013-09-10T00:00:00"/>
        <d v="2014-01-24T00:00:00"/>
        <d v="2013-02-19T00:00:00"/>
        <d v="2013-07-11T00:00:00"/>
        <d v="2013-11-14T00:00:00"/>
        <d v="2014-02-24T00:00:00"/>
        <d v="2013-04-22T00:00:00"/>
        <d v="2013-04-21T00:00:00"/>
        <d v="2014-06-08T00:00:00"/>
        <d v="2014-05-10T00:00:00"/>
        <d v="2013-09-30T00:00:00"/>
        <d v="2013-03-10T00:00:00"/>
        <d v="2013-08-14T00:00:00"/>
        <d v="2013-07-07T00:00:00"/>
        <d v="2014-05-19T00:00:00"/>
        <d v="2013-07-28T00:00:00"/>
        <d v="2012-10-19T00:00:00"/>
        <d v="2013-04-19T00:00:00"/>
        <d v="2013-08-28T00:00:00"/>
        <d v="2013-03-19T00:00:00"/>
        <d v="2012-10-18T00:00:00"/>
        <d v="2012-10-28T00:00:00"/>
        <d v="2012-08-22T00:00:00"/>
        <d v="2014-06-21T00:00:00"/>
        <d v="2014-04-24T00:00:00"/>
        <d v="2014-03-07T00:00:00"/>
        <d v="2012-12-14T00:00:00"/>
        <d v="2012-10-09T00:00:00"/>
        <d v="2013-07-08T00:00:00"/>
        <d v="2013-09-12T00:00:00"/>
        <d v="2013-10-17T00:00:00"/>
        <d v="2013-08-20T00:00:00"/>
        <d v="2013-07-01T00:00:00"/>
        <d v="2012-11-05T00:00:00"/>
        <d v="2014-01-05T00:00:00"/>
        <d v="2013-05-01T00:00:00"/>
        <d v="2014-03-01T00:00:00"/>
        <d v="2013-11-13T00:00:00"/>
        <d v="2013-11-18T00:00:00"/>
        <d v="2014-04-21T00:00:00"/>
        <d v="2013-07-13T00:00:00"/>
        <d v="2014-01-30T00:00:00"/>
        <d v="2014-04-04T00:00:00"/>
        <d v="2012-09-12T00:00:00"/>
        <d v="2012-12-16T00:00:00"/>
        <d v="2014-05-23T00:00:00"/>
        <d v="2014-06-24T00:00:00"/>
        <d v="2013-09-28T00:00:00"/>
        <d v="2014-01-22T00:00:00"/>
        <d v="2014-06-15T00:00:00"/>
        <d v="2012-12-05T00:00:00"/>
        <d v="2013-08-02T00:00:00"/>
        <d v="2013-02-23T00:00:00"/>
        <d v="2012-09-09T00:00:00"/>
        <d v="2013-09-26T00:00:00"/>
        <d v="2013-05-30T00:00:00"/>
        <d v="2013-12-29T00:00:00"/>
        <d v="2014-05-13T00:00:00"/>
        <d v="2013-09-19T00:00:00"/>
        <d v="2013-01-17T00:00:00"/>
        <d v="2014-03-31T00:00:00"/>
        <d v="2014-06-29T00:00:00"/>
        <d v="2013-12-09T00:00:00"/>
        <d v="2013-10-14T00:00:00"/>
        <d v="2012-11-02T00:00:00"/>
        <d v="2013-07-17T00:00:00"/>
        <d v="2013-12-08T00:00:00"/>
        <d v="2013-05-13T00:00:00"/>
        <d v="2012-09-10T00:00:00"/>
        <d v="2013-03-31T00:00:00"/>
        <d v="2014-03-18T00:00:00"/>
        <d v="2012-10-05T00:00:00"/>
        <d v="2013-01-21T00:00:00"/>
        <d v="2013-05-04T00:00:00"/>
        <d v="2014-04-01T00:00:00"/>
        <d v="2013-08-31T00:00:00"/>
        <d v="2012-11-14T00:00:00"/>
        <d v="2014-04-11T00:00:00"/>
        <d v="2014-04-14T00:00:00"/>
        <d v="2013-01-05T00:00:00"/>
        <d v="2012-09-08T00:00:00"/>
        <d v="2013-03-26T00:00:00"/>
        <d v="2012-10-25T00:00:00"/>
        <d v="2012-12-09T00:00:00"/>
        <d v="2014-02-16T00:00:00"/>
        <d v="2013-03-20T00:00:00"/>
        <d v="2013-05-15T00:00:00"/>
        <d v="2014-04-16T00:00:00"/>
        <d v="2013-03-23T00:00:00"/>
        <d v="2013-12-04T00:00:00"/>
        <d v="2013-10-04T00:00:00"/>
        <d v="2013-12-26T00:00:00"/>
        <d v="2014-05-17T00:00:00"/>
        <d v="2013-10-28T00:00:00"/>
        <d v="2013-07-31T00:00:00"/>
        <d v="2013-11-28T00:00:00"/>
        <d v="2012-08-17T00:00:00"/>
        <d v="2014-06-05T00:00:00"/>
        <d v="2013-05-20T00:00:00"/>
        <d v="2013-01-09T00:00:00"/>
        <d v="2013-09-16T00:00:00"/>
        <d v="2013-10-27T00:00:00"/>
        <d v="2012-09-22T00:00:00"/>
        <d v="2012-10-13T00:00:00"/>
        <d v="2012-10-16T00:00:00"/>
        <d v="2012-10-22T00:00:00"/>
        <d v="2013-06-04T00:00:00"/>
        <d v="2013-05-22T00:00:00"/>
        <d v="2014-06-17T00:00:00"/>
        <d v="2012-11-23T00:00:00"/>
        <d v="2013-02-03T00:00:00"/>
        <d v="2013-03-14T00:00:00"/>
        <d v="2014-06-26T00:00:00"/>
        <d v="2012-10-15T00:00:00"/>
        <d v="2013-06-19T00:00:00"/>
        <d v="2014-03-20T00:00:00"/>
        <d v="2014-02-04T00:00:00"/>
        <d v="2014-04-06T00:00:00"/>
        <d v="2013-02-06T00:00:00"/>
        <d v="2013-02-11T00:00:00"/>
        <d v="2014-04-17T00:00:00"/>
        <d v="2013-07-12T00:00:00"/>
        <d v="2013-01-29T00:00:00"/>
        <d v="2013-01-08T00:00:00"/>
        <d v="2013-06-13T00:00:00"/>
        <d v="2013-12-27T00:00:00"/>
        <d v="2012-10-31T00:00:00"/>
        <d v="2014-01-15T00:00:00"/>
        <d v="2012-08-23T00:00:00"/>
        <d v="2013-03-07T00:00:00"/>
        <d v="2013-01-13T00:00:00"/>
        <d v="2013-01-12T00:00:00"/>
        <d v="2014-03-17T00:00:00"/>
        <d v="2013-10-12T00:00:00"/>
        <d v="2014-04-13T00:00:00"/>
        <d v="2012-09-18T00:00:00"/>
        <d v="2014-03-05T00:00:00"/>
        <d v="2013-04-27T00:00:00"/>
        <d v="2014-01-18T00:00:00"/>
        <d v="2013-06-03T00:00:00"/>
        <d v="2013-12-17T00:00:00"/>
        <d v="2014-03-11T00:00:00"/>
        <d v="2013-07-29T00:00:00"/>
        <d v="2012-08-14T00:00:00"/>
        <d v="2013-08-23T00:00:00"/>
        <d v="2014-02-09T00:00:00"/>
        <d v="2013-02-07T00:00:00"/>
        <d v="2013-01-11T00:00:00"/>
        <d v="2013-07-05T00:00:00"/>
        <d v="2013-07-02T00:00:00"/>
        <d v="2013-11-07T00:00:00"/>
        <d v="2013-05-09T00:00:00"/>
        <d v="2013-02-13T00:00:00"/>
        <d v="2013-04-16T00:00:00"/>
        <d v="2013-09-11T00:00:00"/>
        <d v="2013-04-03T00:00:00"/>
        <d v="2013-01-10T00:00:00"/>
        <d v="2013-06-30T00:00:00"/>
        <d v="2012-12-06T00:00:00"/>
        <d v="2012-11-12T00:00:00"/>
        <d v="2013-03-03T00:00:00"/>
        <d v="2012-08-10T00:00:00"/>
        <d v="2013-12-07T00:00:00"/>
        <d v="2013-08-15T00:00:00"/>
        <d v="2013-11-10T00:00:00"/>
        <d v="2014-06-16T00:00:00"/>
        <d v="2012-12-25T00:00:00"/>
        <d v="2014-01-03T00:00:00"/>
        <d v="2012-10-27T00:00:00"/>
        <d v="2012-12-22T00:00:00"/>
        <d v="2013-11-29T00:00:00"/>
        <d v="2013-10-08T00:00:00"/>
        <d v="2012-09-28T00:00:00"/>
        <d v="2014-03-22T00:00:00"/>
        <d v="2012-12-28T00:00:00"/>
        <d v="2012-08-21T00:00:00"/>
        <d v="2013-03-16T00:00:00"/>
        <d v="2012-11-17T00:00:00"/>
        <d v="2012-12-01T00:00:00"/>
        <d v="2014-04-22T00:00:00"/>
        <d v="2012-11-11T00:00:00"/>
        <d v="2013-06-22T00:00:00"/>
        <d v="2012-08-18T00:00:00"/>
        <d v="2012-12-30T00:00:00"/>
        <d v="2013-06-14T00:00:00"/>
        <d v="2013-10-16T00:00:00"/>
        <d v="2012-08-30T00:00:00"/>
        <d v="2014-05-04T00:00:00"/>
        <d v="2013-04-18T00:00:00"/>
        <d v="2013-10-06T00:00:00"/>
        <d v="2012-09-15T00:00:00"/>
        <d v="2012-09-27T00:00:00"/>
        <d v="2013-03-11T00:00:00"/>
        <d v="2013-10-22T00:00:00"/>
        <d v="2014-06-09T00:00:00"/>
        <d v="2014-05-30T00:00:00"/>
        <d v="2012-10-17T00:00:00"/>
        <d v="2013-03-30T00:00:00"/>
        <d v="2013-01-23T00:00:00"/>
        <d v="2013-11-20T00:00:00"/>
        <d v="2014-02-14T00:00:00"/>
        <d v="2013-02-22T00:00:00"/>
        <d v="2013-03-05T00:00:00"/>
        <d v="2014-05-06T00:00:00"/>
        <d v="2013-04-13T00:00:00"/>
        <d v="2014-04-05T00:00:00"/>
        <d v="2013-04-25T00:00:00"/>
        <d v="2013-11-25T00:00:00"/>
        <d v="2014-02-02T00:00:00"/>
        <d v="2013-06-21T00:00:00"/>
        <d v="2013-12-21T00:00:00"/>
        <d v="2013-09-07T00:00:00"/>
        <d v="2013-08-22T00:00:00"/>
        <d v="2013-12-20T00:00:00"/>
        <d v="2013-08-06T00:00:00"/>
        <d v="2013-10-09T00:00:00"/>
        <d v="2013-06-09T00:00:00"/>
        <d v="2013-12-22T00:00:00"/>
        <d v="2013-05-02T00:00:00"/>
        <d v="2013-02-16T00:00:00"/>
        <d v="2012-08-20T00:00:00"/>
        <d v="2013-04-01T00:00:00"/>
        <d v="2014-05-25T00:00:00"/>
        <d v="2012-09-25T00:00:00"/>
        <d v="2013-09-22T00:00:00"/>
        <d v="2014-01-28T00:00:00"/>
        <d v="2013-04-23T00:00:00"/>
        <d v="2014-03-06T00:00:00"/>
        <d v="2012-08-15T00:00:00"/>
        <d v="2013-03-27T00:00:00"/>
        <d v="2013-10-10T00:00:00"/>
        <d v="2012-08-04T00:00:00"/>
        <d v="2014-05-18T00:00:00"/>
        <d v="2014-05-09T00:00:00"/>
        <d v="2012-10-23T00:00:00"/>
        <d v="2013-12-30T00:00:00"/>
        <d v="2012-08-19T00:00:00"/>
        <d v="2013-10-30T00:00:00"/>
        <d v="2013-06-26T00:00:00"/>
        <d v="2014-01-26T00:00:00"/>
        <d v="2012-09-24T00:00:00"/>
        <d v="2012-12-03T00:00:00"/>
        <d v="2013-11-27T00:00:00"/>
        <d v="2012-08-06T00:00:00"/>
        <d v="2012-12-29T00:00:00"/>
        <d v="2012-08-24T00:00:00"/>
        <d v="2012-11-07T00:00:00"/>
        <d v="2013-12-02T00:00:00"/>
        <d v="2013-07-19T00:00:00"/>
        <d v="2013-05-25T00:00:00"/>
        <d v="2013-10-20T00:00:00"/>
        <d v="2013-04-14T00:00:00"/>
        <d v="2014-01-27T00:00:00"/>
        <d v="2013-08-16T00:00:00"/>
        <d v="2012-09-30T00:00:00"/>
        <d v="2012-12-04T00:00:00"/>
        <d v="2012-08-12T00:00:00"/>
        <d v="2013-11-03T00:00:00"/>
        <d v="2013-02-15T00:00:00"/>
        <d v="2013-09-18T00:00:00"/>
        <d v="2014-06-18T00:00:00"/>
        <d v="2013-04-24T00:00:00"/>
        <d v="2014-02-15T00:00:00"/>
        <d v="2013-08-08T00:00:00"/>
        <d v="2013-12-23T00:00:00"/>
        <d v="2012-11-28T00:00:00"/>
        <d v="2013-08-07T00:00:00"/>
        <d v="2014-01-07T00:00:00"/>
        <d v="2013-12-03T00:00:00"/>
        <d v="2014-03-29T00:00:00"/>
        <d v="2014-04-08T00:00:00"/>
        <d v="2014-02-07T00:00:00"/>
        <d v="2013-11-06T00:00:00"/>
        <d v="2013-03-01T00:00:00"/>
        <d v="2013-08-03T00:00:00"/>
        <d v="2013-06-16T00:00:00"/>
        <d v="2013-06-25T00:00:00"/>
        <d v="2013-09-13T00:00:00"/>
        <d v="2013-08-01T00:00:00"/>
        <d v="2013-01-31T00:00:00"/>
        <d v="2013-07-09T00:00:00"/>
        <d v="2013-04-15T00:00:00"/>
        <d v="2014-04-03T00:00:00"/>
        <d v="2014-04-18T00:00:00"/>
        <d v="2012-09-23T00:00:00"/>
        <d v="2013-09-14T00:00:00"/>
        <d v="2012-10-26T00:00:00"/>
        <d v="2013-10-19T00:00:00"/>
        <d v="2013-02-21T00:00:00"/>
        <d v="2013-09-17T00:00:00"/>
        <d v="2013-01-26T00:00:00"/>
        <d v="2014-05-07T00:00:00"/>
        <d v="2013-08-19T00:00:00"/>
        <d v="2013-07-18T00:00:00"/>
        <d v="2012-12-11T00:00:00"/>
        <d v="2013-07-26T00:00:00"/>
        <d v="2013-05-06T00:00:00"/>
        <d v="2013-07-14T00:00:00"/>
        <d v="2014-03-10T00:00:00"/>
        <d v="2013-12-28T00:00:00"/>
        <d v="2013-01-20T00:00:00"/>
        <d v="2012-09-21T00:00:00"/>
        <d v="2012-09-06T00:00:00"/>
        <d v="2012-12-18T00:00:00"/>
        <d v="2013-11-19T00:00:00"/>
        <d v="2014-06-13T00:00:00"/>
        <d v="2013-05-07T00:00:00"/>
        <d v="2013-08-18T00:00:00"/>
        <d v="2013-12-13T00:00:00"/>
        <d v="2014-02-17T00:00:00"/>
        <d v="2012-08-03T00:00:00"/>
        <d v="2014-01-04T00:00:00"/>
        <d v="2013-10-21T00:00:00"/>
        <d v="2013-12-25T00:00:00"/>
        <d v="2013-01-01T00:00:00"/>
        <d v="2013-05-16T00:00:00"/>
        <d v="2013-09-25T00:00:00"/>
        <d v="2013-11-08T00:00:00"/>
        <d v="2013-12-16T00:00:00"/>
        <d v="2012-10-30T00:00:00"/>
        <d v="2014-01-02T00:00:00"/>
        <d v="2013-10-18T00:00:00"/>
        <d v="2013-07-25T00:00:00"/>
        <d v="2013-10-24T00:00:00"/>
        <d v="2013-12-19T00:00:00"/>
        <d v="2014-05-16T00:00:00"/>
        <d v="2012-10-04T00:00:00"/>
        <d v="2013-08-25T00:00:00"/>
        <d v="2013-05-29T00:00:00"/>
        <d v="2014-03-26T00:00:00"/>
        <d v="2014-04-09T00:00:00"/>
        <d v="2014-03-12T00:00:00"/>
        <d v="2014-04-29T00:00:00"/>
        <d v="2014-06-27T00:00:00"/>
        <d v="2013-04-10T00:00:00"/>
        <d v="2013-11-21T00:00:00"/>
        <d v="2012-10-21T00:00:00"/>
        <d v="2013-05-14T00:00:00"/>
        <d v="2012-08-01T00:00:00"/>
        <d v="2014-01-25T00:00:00"/>
        <d v="2013-10-11T00:00:00"/>
        <d v="2012-08-07T00:00:00"/>
        <d v="2013-03-29T00:00:00"/>
        <d v="2014-06-03T00:00:00"/>
        <d v="2012-08-09T00:00:00"/>
        <d v="2013-03-06T00:00:00"/>
        <d v="2013-05-12T00:00:00"/>
        <d v="2014-03-09T00:00:00"/>
        <d v="2013-09-15T00:00:00"/>
        <d v="2014-01-29T00:00:00"/>
        <d v="2013-10-03T00:00:00"/>
        <d v="2013-02-28T00:00:00"/>
        <d v="2014-05-02T00:00:00"/>
        <d v="2013-02-09T00:00:00"/>
        <d v="2013-03-15T00:00:00"/>
        <d v="2013-05-10T00:00:00"/>
        <d v="2012-09-05T00:00:00"/>
        <d v="2013-09-01T00:00:00"/>
        <d v="2013-05-26T00:00:00"/>
        <d v="2013-12-12T00:00:00"/>
        <d v="2012-12-08T00:00:00"/>
        <d v="2013-08-30T00:00:00"/>
        <d v="2013-12-18T00:00:00"/>
        <d v="2013-06-18T00:00:00"/>
        <d v="2014-05-29T00:00:00"/>
        <d v="2013-01-15T00:00:00"/>
        <d v="2013-10-29T00:00:00"/>
        <d v="2013-03-02T00:00:00"/>
        <d v="2013-12-14T00:00:00"/>
        <d v="2013-01-19T00:00:00"/>
        <d v="2013-04-06T00:00:00"/>
        <d v="2013-11-04T00:00:00"/>
        <d v="2013-03-22T00:00:00"/>
        <d v="2014-05-31T00:00:00"/>
        <d v="2013-02-04T00:00:00"/>
        <d v="2013-05-05T00:00:00"/>
        <d v="2013-02-14T00:00:00"/>
        <d v="2014-03-21T00:00:00"/>
        <d v="2013-08-05T00:00:00"/>
        <d v="2012-11-29T00:00:00"/>
        <d v="2013-07-27T00:00:00"/>
        <d v="2014-01-13T00:00:00"/>
        <d v="2012-09-29T00:00:00"/>
        <d v="2013-10-23T00:00:00"/>
        <d v="2012-11-06T00:00:00"/>
        <d v="2014-05-26T00:00:00"/>
        <d v="2014-03-04T00:00:00"/>
        <d v="2014-01-06T00:00:00"/>
        <d v="2014-06-11T00:00:00"/>
        <d v="2014-06-19T00:00:00"/>
        <d v="2012-11-26T00:00:00"/>
        <d v="2013-12-11T00:00:00"/>
        <d v="2014-01-14T00:00:00"/>
        <d v="2014-01-23T00:00:00"/>
        <d v="2013-03-24T00:00:00"/>
        <d v="2013-06-29T00:00:00"/>
        <d v="2013-01-25T00:00:00"/>
        <d v="2013-11-17T00:00:00"/>
        <d v="2013-05-18T00:00:00"/>
        <d v="2013-04-17T00:00:00"/>
        <d v="2013-01-24T00:00:00"/>
        <d v="2013-08-09T00:00:00"/>
        <d v="2013-06-10T00:00:00"/>
        <d v="2013-07-20T00:00:00"/>
        <d v="2013-05-28T00:00:00"/>
        <d v="2013-03-04T00:00:00"/>
        <d v="2012-10-01T00:00:00"/>
        <d v="2013-02-10T00:00:00"/>
        <d v="2012-10-14T00:00:00"/>
        <d v="2014-02-03T00:00:00"/>
        <d v="2014-06-22T00:00:00"/>
        <d v="2013-10-25T00:00:00"/>
        <d v="2014-02-18T00:00:00"/>
        <d v="2013-11-09T00:00:00"/>
        <d v="2013-08-13T00:00:00"/>
        <d v="2012-08-25T00:00:00"/>
        <d v="2014-04-19T00:00:00"/>
        <d v="2014-04-07T00:00:00"/>
        <d v="2013-01-03T00:00:00"/>
        <d v="2012-11-04T00:00:00"/>
        <d v="2013-01-22T00:00:00"/>
        <d v="2014-02-26T00:00:00"/>
        <d v="2014-04-23T00:00:00"/>
        <d v="2013-07-30T00:00:00"/>
        <d v="2013-10-13T00:00:00"/>
        <d v="2012-11-27T00:00:00"/>
        <d v="2014-05-01T00:00:00"/>
        <d v="2012-11-30T00:00:00"/>
        <d v="2013-08-17T00:00:00"/>
        <d v="2013-01-04T00:00:00"/>
        <d v="2014-05-03T00:00:00"/>
        <d v="2014-04-26T00:00:00"/>
        <d v="2014-06-02T00:00:00"/>
        <d v="2013-10-26T00:00:00"/>
        <d v="2014-03-24T00:00:00"/>
        <d v="2013-02-25T00:00:00"/>
        <d v="2013-09-20T00:00:00"/>
        <d v="2013-01-16T00:00:00"/>
        <d v="2013-12-24T00:00:00"/>
        <d v="2012-11-18T00:00:00"/>
        <d v="2012-08-05T00:00:00"/>
        <d v="2013-05-03T00:00:00"/>
        <d v="2013-11-12T00:00:00"/>
        <d v="2013-07-06T00:00:00"/>
        <d v="2013-07-21T00:00:00"/>
        <d v="2012-10-20T00:00:00"/>
        <d v="2013-05-23T00:00:00"/>
        <d v="2012-08-26T00:00:00"/>
        <d v="2014-01-12T00:00:00"/>
        <d v="2014-02-13T00:00:00"/>
        <d v="2014-02-27T00:00:00"/>
        <d v="2014-04-20T00:00:00"/>
        <d v="2013-06-28T00:00:00"/>
        <d v="2013-04-28T00:00:00"/>
        <d v="2013-03-21T00:00:00"/>
        <d v="2013-08-27T00:00:00"/>
        <d v="2012-07-30T00:00:00"/>
        <d v="2013-12-05T00:00:00"/>
        <d v="2013-02-08T00:00:00"/>
        <d v="2012-11-21T00:00:00"/>
        <d v="2013-02-26T00:00:00"/>
        <d v="2012-09-20T00:00:00"/>
        <d v="2013-06-08T00:00:00"/>
        <d v="2013-09-05T00:00:00"/>
        <d v="2014-04-12T00:00:00"/>
        <d v="2013-06-24T00:00:00"/>
        <d v="2014-02-19T00:00:00"/>
        <d v="2012-12-27T00:00:00"/>
        <d v="2012-11-01T00:00:00"/>
        <d v="2013-07-22T00:00:00"/>
        <d v="2014-01-31T00:00:00"/>
        <d v="2013-08-26T00:00:00"/>
        <d v="2013-10-01T00:00:00"/>
        <d v="2014-06-10T00:00:00"/>
        <d v="2014-02-01T00:00:00"/>
        <d v="2012-09-03T00:00:00"/>
        <d v="2012-09-26T00:00:00"/>
        <d v="2012-07-31T00:00:00"/>
        <d v="2012-12-02T00:00:00"/>
        <d v="2014-05-05T00:00:00"/>
        <d v="2012-10-06T00:00:00"/>
        <d v="2014-03-02T00:00:00"/>
        <d v="2014-05-15T00:00:00"/>
        <d v="2012-12-10T00:00:00"/>
        <d v="2012-08-13T00:00:00"/>
        <d v="2014-02-23T00:00:00"/>
        <d v="2014-03-16T00:00:00"/>
        <d v="2013-09-21T00:00:00"/>
        <d v="2012-10-24T00:00:00"/>
        <d v="2013-10-15T00:00:00"/>
        <d v="2013-02-17T00:00:00"/>
        <d v="2012-08-28T00:00:00"/>
        <d v="2014-02-12T00:00:00"/>
        <d v="2014-02-08T00:00:00"/>
        <d v="2012-09-01T00:00:00"/>
        <d v="2012-11-16T00:00:00"/>
        <d v="2013-02-12T00:00:00"/>
        <d v="2012-08-02T00:00:00"/>
        <d v="2012-08-16T00:00:00"/>
        <d v="2012-11-25T00:00:00"/>
        <d v="2014-04-27T00:00:00"/>
        <d v="2013-04-30T00:00:00"/>
        <d v="2012-11-20T00:00:00"/>
        <d v="2014-06-14T00:00:00"/>
        <d v="2014-03-28T00:00:00"/>
        <d v="2013-03-08T00:00:00"/>
        <d v="2012-09-02T00:00:00"/>
        <d v="2014-04-15T00:00:00"/>
        <d v="2014-04-25T00:00:00"/>
        <d v="2013-06-27T00:00:00"/>
        <d v="2013-06-01T00:00:00"/>
        <d v="2013-10-05T00:00:00"/>
        <d v="2014-02-22T00:00:00"/>
        <d v="2013-04-12T00:00:00"/>
        <d v="2013-09-23T00:00:00"/>
        <d v="2013-07-24T00:00:00"/>
        <d v="2014-06-23T00:00:00"/>
        <d v="2014-01-10T00:00:00"/>
        <d v="2013-03-25T00:00:00"/>
        <d v="2014-01-17T00:00:00"/>
        <d v="2014-06-04T00:00:00"/>
        <d v="2014-03-25T00:00:00"/>
        <d v="2012-12-31T00:00:00"/>
        <d v="2012-09-19T00:00:00"/>
        <d v="2013-02-27T00:00:00"/>
        <d v="2012-10-02T00:00:00"/>
        <d v="2013-04-09T00:00:00"/>
        <d v="2014-04-02T00:00:00"/>
        <d v="2013-01-07T00:00:00"/>
        <d v="2013-11-26T00:00:00"/>
        <d v="2013-08-04T00:00:00"/>
        <d v="2012-12-17T00:00:00"/>
        <d v="2014-06-06T00:00:00"/>
        <d v="2013-05-19T00:00:00"/>
        <d v="2013-08-12T00:00:00"/>
        <d v="2013-12-15T00:00:00"/>
        <d v="2012-10-07T00:00:00"/>
        <d v="2013-09-06T00:00:00"/>
        <d v="2013-07-15T00:00:00"/>
        <d v="2013-01-27T00:00:00"/>
        <d v="2014-02-05T00:00:00"/>
        <d v="2012-12-26T00:00:00"/>
        <d v="2014-02-06T00:00:00"/>
        <d v="2013-01-14T00:00:00"/>
        <d v="2014-06-20T00:00:00"/>
        <d v="2013-08-24T00:00:00"/>
        <d v="2014-02-28T00:00:00"/>
        <d v="2013-04-07T00:00:00"/>
        <d v="2014-04-10T00:00:00"/>
        <d v="2014-06-12T00:00:00"/>
        <d v="2013-11-30T00:00:00"/>
        <d v="2013-03-09T00:00:00"/>
        <d v="2014-03-27T00:00:00"/>
        <d v="2012-12-15T00:00:00"/>
        <d v="2012-09-17T00:00:00"/>
        <d v="2013-06-02T00:00:00"/>
        <d v="2012-12-21T00:00:00"/>
        <d v="2013-11-01T00:00:00"/>
        <d v="2013-08-10T00:00:00"/>
        <d v="2012-10-11T00:00:00"/>
        <d v="2012-12-20T00:00:00"/>
        <d v="2014-01-09T00:00:00"/>
      </sharedItems>
    </cacheField>
    <cacheField name="Recency" numFmtId="0">
      <sharedItems containsSemiMixedTypes="0" containsString="0" containsNumber="1" containsInteger="1" minValue="0" maxValue="99"/>
    </cacheField>
    <cacheField name="Activity" numFmtId="0">
      <sharedItems count="2">
        <s v="Inactive"/>
        <s v="Active"/>
      </sharedItems>
    </cacheField>
    <cacheField name="Complain" numFmtId="0">
      <sharedItems containsSemiMixedTypes="0" containsString="0" containsNumber="1" containsInteger="1" minValue="0" maxValue="1"/>
    </cacheField>
    <cacheField name="MntWines" numFmtId="0">
      <sharedItems containsSemiMixedTypes="0" containsString="0" containsNumber="1" containsInteger="1" minValue="0" maxValue="1493"/>
    </cacheField>
    <cacheField name="MntFruits" numFmtId="0">
      <sharedItems containsSemiMixedTypes="0" containsString="0" containsNumber="1" containsInteger="1" minValue="0" maxValue="199"/>
    </cacheField>
    <cacheField name="MntMeatProducts" numFmtId="0">
      <sharedItems containsSemiMixedTypes="0" containsString="0" containsNumber="1" containsInteger="1" minValue="0" maxValue="1725"/>
    </cacheField>
    <cacheField name="MntFishProducts" numFmtId="0">
      <sharedItems containsSemiMixedTypes="0" containsString="0" containsNumber="1" containsInteger="1" minValue="0" maxValue="259"/>
    </cacheField>
    <cacheField name="MntSweetProducts" numFmtId="0">
      <sharedItems containsSemiMixedTypes="0" containsString="0" containsNumber="1" containsInteger="1" minValue="0" maxValue="263"/>
    </cacheField>
    <cacheField name="MntGoldProds" numFmtId="0">
      <sharedItems containsSemiMixedTypes="0" containsString="0" containsNumber="1" containsInteger="1" minValue="0" maxValue="362"/>
    </cacheField>
    <cacheField name="Total" numFmtId="0">
      <sharedItems containsSemiMixedTypes="0" containsString="0" containsNumber="1" containsInteger="1" minValue="5" maxValue="2525"/>
    </cacheField>
    <cacheField name="NumDealsPurchases" numFmtId="0">
      <sharedItems containsSemiMixedTypes="0" containsString="0" containsNumber="1" containsInteger="1" minValue="0" maxValue="15"/>
    </cacheField>
    <cacheField name="NumWebPurchases" numFmtId="0">
      <sharedItems containsSemiMixedTypes="0" containsString="0" containsNumber="1" containsInteger="1" minValue="0" maxValue="27"/>
    </cacheField>
    <cacheField name="NumCatalogPurchases" numFmtId="0">
      <sharedItems containsSemiMixedTypes="0" containsString="0" containsNumber="1" containsInteger="1" minValue="0" maxValue="28"/>
    </cacheField>
    <cacheField name="NumStorePurchases" numFmtId="0">
      <sharedItems containsSemiMixedTypes="0" containsString="0" containsNumber="1" containsInteger="1" minValue="0" maxValue="13"/>
    </cacheField>
    <cacheField name="TotalPurchases" numFmtId="0">
      <sharedItems containsSemiMixedTypes="0" containsString="0" containsNumber="1" containsInteger="1" minValue="0" maxValue="32"/>
    </cacheField>
    <cacheField name="NumWebVisitsMonth" numFmtId="0">
      <sharedItems containsSemiMixedTypes="0" containsString="0" containsNumber="1" containsInteger="1" minValue="0" maxValue="20"/>
    </cacheField>
    <cacheField name="Customer type" numFmtId="0">
      <sharedItems count="2">
        <s v="Below average customer"/>
        <s v="Above average customer"/>
      </sharedItems>
    </cacheField>
  </cacheFields>
  <extLst>
    <ext xmlns:x14="http://schemas.microsoft.com/office/spreadsheetml/2009/9/main" uri="{725AE2AE-9491-48be-B2B4-4EB974FC3084}">
      <x14:pivotCacheDefinition pivotCacheId="187296628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55">
  <r>
    <n v="5524"/>
    <n v="1957"/>
    <x v="0"/>
    <x v="0"/>
    <x v="0"/>
    <n v="58138"/>
    <x v="0"/>
    <n v="0"/>
    <n v="0"/>
    <x v="0"/>
    <x v="0"/>
    <n v="58"/>
    <x v="0"/>
    <n v="0"/>
    <n v="635"/>
    <n v="88"/>
    <n v="546"/>
    <n v="172"/>
    <n v="88"/>
    <n v="88"/>
    <n v="1617"/>
    <n v="3"/>
    <n v="8"/>
    <n v="10"/>
    <n v="4"/>
    <n v="22"/>
    <n v="7"/>
    <x v="0"/>
  </r>
  <r>
    <n v="2174"/>
    <n v="1954"/>
    <x v="0"/>
    <x v="0"/>
    <x v="0"/>
    <n v="46344"/>
    <x v="1"/>
    <n v="1"/>
    <n v="1"/>
    <x v="1"/>
    <x v="1"/>
    <n v="38"/>
    <x v="1"/>
    <n v="0"/>
    <n v="11"/>
    <n v="1"/>
    <n v="6"/>
    <n v="2"/>
    <n v="1"/>
    <n v="6"/>
    <n v="27"/>
    <n v="2"/>
    <n v="1"/>
    <n v="1"/>
    <n v="2"/>
    <n v="4"/>
    <n v="5"/>
    <x v="0"/>
  </r>
  <r>
    <n v="4141"/>
    <n v="1965"/>
    <x v="1"/>
    <x v="0"/>
    <x v="1"/>
    <n v="71613"/>
    <x v="2"/>
    <n v="0"/>
    <n v="0"/>
    <x v="0"/>
    <x v="2"/>
    <n v="26"/>
    <x v="1"/>
    <n v="0"/>
    <n v="426"/>
    <n v="49"/>
    <n v="127"/>
    <n v="111"/>
    <n v="21"/>
    <n v="42"/>
    <n v="776"/>
    <n v="1"/>
    <n v="8"/>
    <n v="2"/>
    <n v="10"/>
    <n v="20"/>
    <n v="4"/>
    <x v="1"/>
  </r>
  <r>
    <n v="6182"/>
    <n v="1984"/>
    <x v="2"/>
    <x v="0"/>
    <x v="1"/>
    <n v="26646"/>
    <x v="3"/>
    <n v="1"/>
    <n v="0"/>
    <x v="2"/>
    <x v="3"/>
    <n v="26"/>
    <x v="1"/>
    <n v="0"/>
    <n v="11"/>
    <n v="4"/>
    <n v="20"/>
    <n v="10"/>
    <n v="3"/>
    <n v="5"/>
    <n v="53"/>
    <n v="2"/>
    <n v="2"/>
    <n v="0"/>
    <n v="4"/>
    <n v="6"/>
    <n v="6"/>
    <x v="0"/>
  </r>
  <r>
    <n v="5324"/>
    <n v="1981"/>
    <x v="3"/>
    <x v="1"/>
    <x v="2"/>
    <n v="58293"/>
    <x v="0"/>
    <n v="1"/>
    <n v="0"/>
    <x v="2"/>
    <x v="4"/>
    <n v="94"/>
    <x v="0"/>
    <n v="0"/>
    <n v="173"/>
    <n v="43"/>
    <n v="118"/>
    <n v="46"/>
    <n v="27"/>
    <n v="15"/>
    <n v="422"/>
    <n v="5"/>
    <n v="5"/>
    <n v="3"/>
    <n v="6"/>
    <n v="14"/>
    <n v="5"/>
    <x v="0"/>
  </r>
  <r>
    <n v="7446"/>
    <n v="1967"/>
    <x v="1"/>
    <x v="2"/>
    <x v="1"/>
    <n v="62513"/>
    <x v="0"/>
    <n v="0"/>
    <n v="1"/>
    <x v="2"/>
    <x v="5"/>
    <n v="16"/>
    <x v="1"/>
    <n v="0"/>
    <n v="520"/>
    <n v="42"/>
    <n v="98"/>
    <n v="0"/>
    <n v="42"/>
    <n v="14"/>
    <n v="716"/>
    <n v="2"/>
    <n v="6"/>
    <n v="4"/>
    <n v="10"/>
    <n v="20"/>
    <n v="6"/>
    <x v="1"/>
  </r>
  <r>
    <n v="965"/>
    <n v="1971"/>
    <x v="1"/>
    <x v="0"/>
    <x v="3"/>
    <n v="55635"/>
    <x v="0"/>
    <n v="0"/>
    <n v="1"/>
    <x v="2"/>
    <x v="6"/>
    <n v="34"/>
    <x v="1"/>
    <n v="0"/>
    <n v="235"/>
    <n v="65"/>
    <n v="164"/>
    <n v="50"/>
    <n v="49"/>
    <n v="27"/>
    <n v="590"/>
    <n v="4"/>
    <n v="7"/>
    <n v="3"/>
    <n v="7"/>
    <n v="17"/>
    <n v="6"/>
    <x v="0"/>
  </r>
  <r>
    <n v="6177"/>
    <n v="1985"/>
    <x v="2"/>
    <x v="1"/>
    <x v="2"/>
    <n v="33454"/>
    <x v="3"/>
    <n v="1"/>
    <n v="0"/>
    <x v="2"/>
    <x v="7"/>
    <n v="32"/>
    <x v="1"/>
    <n v="0"/>
    <n v="76"/>
    <n v="10"/>
    <n v="56"/>
    <n v="3"/>
    <n v="1"/>
    <n v="23"/>
    <n v="169"/>
    <n v="2"/>
    <n v="4"/>
    <n v="0"/>
    <n v="4"/>
    <n v="8"/>
    <n v="8"/>
    <x v="0"/>
  </r>
  <r>
    <n v="4855"/>
    <n v="1974"/>
    <x v="3"/>
    <x v="1"/>
    <x v="1"/>
    <n v="30351"/>
    <x v="3"/>
    <n v="1"/>
    <n v="0"/>
    <x v="2"/>
    <x v="8"/>
    <n v="19"/>
    <x v="1"/>
    <n v="0"/>
    <n v="14"/>
    <n v="0"/>
    <n v="24"/>
    <n v="3"/>
    <n v="3"/>
    <n v="2"/>
    <n v="46"/>
    <n v="1"/>
    <n v="3"/>
    <n v="0"/>
    <n v="2"/>
    <n v="5"/>
    <n v="9"/>
    <x v="0"/>
  </r>
  <r>
    <n v="5899"/>
    <n v="1950"/>
    <x v="4"/>
    <x v="1"/>
    <x v="1"/>
    <n v="5648"/>
    <x v="3"/>
    <n v="1"/>
    <n v="1"/>
    <x v="1"/>
    <x v="9"/>
    <n v="68"/>
    <x v="0"/>
    <n v="0"/>
    <n v="28"/>
    <n v="0"/>
    <n v="6"/>
    <n v="1"/>
    <n v="1"/>
    <n v="13"/>
    <n v="49"/>
    <n v="1"/>
    <n v="1"/>
    <n v="0"/>
    <n v="0"/>
    <n v="1"/>
    <n v="20"/>
    <x v="0"/>
  </r>
  <r>
    <n v="1994"/>
    <n v="1983"/>
    <x v="2"/>
    <x v="0"/>
    <x v="2"/>
    <m/>
    <x v="3"/>
    <n v="1"/>
    <n v="0"/>
    <x v="2"/>
    <x v="10"/>
    <n v="11"/>
    <x v="1"/>
    <n v="0"/>
    <n v="5"/>
    <n v="5"/>
    <n v="6"/>
    <n v="0"/>
    <n v="2"/>
    <n v="1"/>
    <n v="19"/>
    <n v="1"/>
    <n v="1"/>
    <n v="0"/>
    <n v="2"/>
    <n v="3"/>
    <n v="7"/>
    <x v="0"/>
  </r>
  <r>
    <n v="387"/>
    <n v="1976"/>
    <x v="3"/>
    <x v="3"/>
    <x v="2"/>
    <n v="7500"/>
    <x v="3"/>
    <n v="0"/>
    <n v="0"/>
    <x v="0"/>
    <x v="6"/>
    <n v="59"/>
    <x v="0"/>
    <n v="0"/>
    <n v="6"/>
    <n v="16"/>
    <n v="11"/>
    <n v="11"/>
    <n v="1"/>
    <n v="16"/>
    <n v="61"/>
    <n v="1"/>
    <n v="2"/>
    <n v="0"/>
    <n v="3"/>
    <n v="5"/>
    <n v="8"/>
    <x v="0"/>
  </r>
  <r>
    <n v="2125"/>
    <n v="1959"/>
    <x v="0"/>
    <x v="0"/>
    <x v="3"/>
    <n v="63033"/>
    <x v="0"/>
    <n v="0"/>
    <n v="0"/>
    <x v="0"/>
    <x v="10"/>
    <n v="82"/>
    <x v="0"/>
    <n v="0"/>
    <n v="194"/>
    <n v="61"/>
    <n v="480"/>
    <n v="225"/>
    <n v="112"/>
    <n v="30"/>
    <n v="1102"/>
    <n v="1"/>
    <n v="3"/>
    <n v="4"/>
    <n v="8"/>
    <n v="15"/>
    <n v="2"/>
    <x v="0"/>
  </r>
  <r>
    <n v="8180"/>
    <n v="1952"/>
    <x v="4"/>
    <x v="2"/>
    <x v="3"/>
    <n v="59354"/>
    <x v="0"/>
    <n v="1"/>
    <n v="1"/>
    <x v="1"/>
    <x v="10"/>
    <n v="53"/>
    <x v="0"/>
    <n v="0"/>
    <n v="233"/>
    <n v="2"/>
    <n v="53"/>
    <n v="3"/>
    <n v="5"/>
    <n v="14"/>
    <n v="310"/>
    <n v="3"/>
    <n v="6"/>
    <n v="1"/>
    <n v="5"/>
    <n v="12"/>
    <n v="6"/>
    <x v="0"/>
  </r>
  <r>
    <n v="2569"/>
    <n v="1987"/>
    <x v="2"/>
    <x v="0"/>
    <x v="2"/>
    <n v="17323"/>
    <x v="3"/>
    <n v="0"/>
    <n v="0"/>
    <x v="0"/>
    <x v="11"/>
    <n v="38"/>
    <x v="1"/>
    <n v="0"/>
    <n v="3"/>
    <n v="14"/>
    <n v="17"/>
    <n v="6"/>
    <n v="1"/>
    <n v="5"/>
    <n v="46"/>
    <n v="1"/>
    <n v="1"/>
    <n v="0"/>
    <n v="3"/>
    <n v="4"/>
    <n v="8"/>
    <x v="0"/>
  </r>
  <r>
    <n v="2114"/>
    <n v="1946"/>
    <x v="4"/>
    <x v="1"/>
    <x v="0"/>
    <n v="82800"/>
    <x v="2"/>
    <n v="0"/>
    <n v="0"/>
    <x v="0"/>
    <x v="12"/>
    <n v="23"/>
    <x v="1"/>
    <n v="0"/>
    <n v="1006"/>
    <n v="22"/>
    <n v="115"/>
    <n v="59"/>
    <n v="68"/>
    <n v="45"/>
    <n v="1315"/>
    <n v="1"/>
    <n v="7"/>
    <n v="6"/>
    <n v="12"/>
    <n v="25"/>
    <n v="3"/>
    <x v="1"/>
  </r>
  <r>
    <n v="9736"/>
    <n v="1980"/>
    <x v="3"/>
    <x v="0"/>
    <x v="2"/>
    <n v="41850"/>
    <x v="1"/>
    <n v="1"/>
    <n v="1"/>
    <x v="1"/>
    <x v="13"/>
    <n v="51"/>
    <x v="0"/>
    <n v="0"/>
    <n v="53"/>
    <n v="5"/>
    <n v="19"/>
    <n v="2"/>
    <n v="13"/>
    <n v="4"/>
    <n v="96"/>
    <n v="3"/>
    <n v="3"/>
    <n v="0"/>
    <n v="3"/>
    <n v="6"/>
    <n v="8"/>
    <x v="0"/>
  </r>
  <r>
    <n v="4939"/>
    <n v="1946"/>
    <x v="4"/>
    <x v="0"/>
    <x v="1"/>
    <n v="37760"/>
    <x v="1"/>
    <n v="0"/>
    <n v="0"/>
    <x v="0"/>
    <x v="14"/>
    <n v="20"/>
    <x v="1"/>
    <n v="0"/>
    <n v="84"/>
    <n v="5"/>
    <n v="38"/>
    <n v="150"/>
    <n v="12"/>
    <n v="28"/>
    <n v="317"/>
    <n v="2"/>
    <n v="4"/>
    <n v="1"/>
    <n v="6"/>
    <n v="11"/>
    <n v="7"/>
    <x v="0"/>
  </r>
  <r>
    <n v="6565"/>
    <n v="1949"/>
    <x v="4"/>
    <x v="2"/>
    <x v="2"/>
    <n v="76995"/>
    <x v="2"/>
    <n v="0"/>
    <n v="1"/>
    <x v="2"/>
    <x v="15"/>
    <n v="91"/>
    <x v="0"/>
    <n v="0"/>
    <n v="1012"/>
    <n v="80"/>
    <n v="498"/>
    <n v="0"/>
    <n v="16"/>
    <n v="176"/>
    <n v="1782"/>
    <n v="2"/>
    <n v="11"/>
    <n v="4"/>
    <n v="9"/>
    <n v="24"/>
    <n v="5"/>
    <x v="0"/>
  </r>
  <r>
    <n v="2278"/>
    <n v="1985"/>
    <x v="2"/>
    <x v="2"/>
    <x v="0"/>
    <n v="33812"/>
    <x v="3"/>
    <n v="1"/>
    <n v="0"/>
    <x v="2"/>
    <x v="16"/>
    <n v="86"/>
    <x v="0"/>
    <n v="0"/>
    <n v="4"/>
    <n v="17"/>
    <n v="19"/>
    <n v="30"/>
    <n v="24"/>
    <n v="39"/>
    <n v="133"/>
    <n v="2"/>
    <n v="2"/>
    <n v="1"/>
    <n v="3"/>
    <n v="6"/>
    <n v="6"/>
    <x v="0"/>
  </r>
  <r>
    <n v="9360"/>
    <n v="1982"/>
    <x v="3"/>
    <x v="0"/>
    <x v="2"/>
    <n v="37040"/>
    <x v="1"/>
    <n v="0"/>
    <n v="0"/>
    <x v="0"/>
    <x v="17"/>
    <n v="41"/>
    <x v="1"/>
    <n v="0"/>
    <n v="86"/>
    <n v="2"/>
    <n v="73"/>
    <n v="69"/>
    <n v="38"/>
    <n v="48"/>
    <n v="316"/>
    <n v="1"/>
    <n v="4"/>
    <n v="2"/>
    <n v="5"/>
    <n v="11"/>
    <n v="8"/>
    <x v="0"/>
  </r>
  <r>
    <n v="5376"/>
    <n v="1979"/>
    <x v="3"/>
    <x v="0"/>
    <x v="2"/>
    <n v="2447"/>
    <x v="3"/>
    <n v="1"/>
    <n v="0"/>
    <x v="2"/>
    <x v="18"/>
    <n v="42"/>
    <x v="1"/>
    <n v="0"/>
    <n v="1"/>
    <n v="1"/>
    <n v="1725"/>
    <n v="1"/>
    <n v="1"/>
    <n v="1"/>
    <n v="1730"/>
    <n v="15"/>
    <n v="0"/>
    <n v="28"/>
    <n v="0"/>
    <n v="28"/>
    <n v="1"/>
    <x v="0"/>
  </r>
  <r>
    <n v="1993"/>
    <n v="1949"/>
    <x v="4"/>
    <x v="1"/>
    <x v="2"/>
    <n v="58607"/>
    <x v="0"/>
    <n v="0"/>
    <n v="1"/>
    <x v="2"/>
    <x v="19"/>
    <n v="63"/>
    <x v="0"/>
    <n v="0"/>
    <n v="867"/>
    <n v="0"/>
    <n v="86"/>
    <n v="0"/>
    <n v="0"/>
    <n v="19"/>
    <n v="972"/>
    <n v="3"/>
    <n v="2"/>
    <n v="3"/>
    <n v="9"/>
    <n v="14"/>
    <n v="8"/>
    <x v="0"/>
  </r>
  <r>
    <n v="4047"/>
    <n v="1954"/>
    <x v="0"/>
    <x v="1"/>
    <x v="2"/>
    <n v="65324"/>
    <x v="0"/>
    <n v="0"/>
    <n v="1"/>
    <x v="2"/>
    <x v="20"/>
    <n v="0"/>
    <x v="1"/>
    <n v="0"/>
    <n v="384"/>
    <n v="0"/>
    <n v="102"/>
    <n v="21"/>
    <n v="32"/>
    <n v="5"/>
    <n v="544"/>
    <n v="3"/>
    <n v="6"/>
    <n v="2"/>
    <n v="9"/>
    <n v="17"/>
    <n v="4"/>
    <x v="0"/>
  </r>
  <r>
    <n v="1409"/>
    <n v="1951"/>
    <x v="4"/>
    <x v="0"/>
    <x v="1"/>
    <n v="40689"/>
    <x v="1"/>
    <n v="0"/>
    <n v="1"/>
    <x v="2"/>
    <x v="21"/>
    <n v="69"/>
    <x v="0"/>
    <n v="0"/>
    <n v="270"/>
    <n v="3"/>
    <n v="27"/>
    <n v="39"/>
    <n v="6"/>
    <n v="99"/>
    <n v="444"/>
    <n v="7"/>
    <n v="7"/>
    <n v="1"/>
    <n v="5"/>
    <n v="13"/>
    <n v="8"/>
    <x v="0"/>
  </r>
  <r>
    <n v="7892"/>
    <n v="1969"/>
    <x v="1"/>
    <x v="0"/>
    <x v="0"/>
    <n v="18589"/>
    <x v="3"/>
    <n v="0"/>
    <n v="0"/>
    <x v="0"/>
    <x v="22"/>
    <n v="89"/>
    <x v="0"/>
    <n v="0"/>
    <n v="6"/>
    <n v="4"/>
    <n v="25"/>
    <n v="15"/>
    <n v="12"/>
    <n v="13"/>
    <n v="75"/>
    <n v="2"/>
    <n v="2"/>
    <n v="1"/>
    <n v="3"/>
    <n v="6"/>
    <n v="7"/>
    <x v="0"/>
  </r>
  <r>
    <n v="2404"/>
    <n v="1976"/>
    <x v="3"/>
    <x v="0"/>
    <x v="2"/>
    <n v="53359"/>
    <x v="0"/>
    <n v="1"/>
    <n v="1"/>
    <x v="1"/>
    <x v="23"/>
    <n v="4"/>
    <x v="1"/>
    <n v="0"/>
    <n v="173"/>
    <n v="4"/>
    <n v="30"/>
    <n v="3"/>
    <n v="6"/>
    <n v="41"/>
    <n v="257"/>
    <n v="4"/>
    <n v="5"/>
    <n v="1"/>
    <n v="4"/>
    <n v="10"/>
    <n v="7"/>
    <x v="0"/>
  </r>
  <r>
    <n v="5255"/>
    <n v="1986"/>
    <x v="2"/>
    <x v="0"/>
    <x v="0"/>
    <m/>
    <x v="3"/>
    <n v="1"/>
    <n v="0"/>
    <x v="2"/>
    <x v="24"/>
    <n v="19"/>
    <x v="1"/>
    <n v="0"/>
    <n v="5"/>
    <n v="1"/>
    <n v="3"/>
    <n v="3"/>
    <n v="263"/>
    <n v="362"/>
    <n v="637"/>
    <n v="0"/>
    <n v="27"/>
    <n v="0"/>
    <n v="0"/>
    <n v="27"/>
    <n v="1"/>
    <x v="0"/>
  </r>
  <r>
    <n v="9422"/>
    <n v="1989"/>
    <x v="2"/>
    <x v="0"/>
    <x v="2"/>
    <n v="38360"/>
    <x v="1"/>
    <n v="1"/>
    <n v="0"/>
    <x v="2"/>
    <x v="25"/>
    <n v="26"/>
    <x v="1"/>
    <n v="0"/>
    <n v="36"/>
    <n v="2"/>
    <n v="42"/>
    <n v="20"/>
    <n v="21"/>
    <n v="10"/>
    <n v="131"/>
    <n v="2"/>
    <n v="2"/>
    <n v="1"/>
    <n v="4"/>
    <n v="7"/>
    <n v="3"/>
    <x v="0"/>
  </r>
  <r>
    <n v="1966"/>
    <n v="1965"/>
    <x v="1"/>
    <x v="1"/>
    <x v="2"/>
    <n v="84618"/>
    <x v="2"/>
    <n v="0"/>
    <n v="0"/>
    <x v="0"/>
    <x v="26"/>
    <n v="96"/>
    <x v="0"/>
    <n v="0"/>
    <n v="684"/>
    <n v="100"/>
    <n v="801"/>
    <n v="21"/>
    <n v="66"/>
    <n v="0"/>
    <n v="1672"/>
    <n v="1"/>
    <n v="6"/>
    <n v="9"/>
    <n v="10"/>
    <n v="25"/>
    <n v="2"/>
    <x v="0"/>
  </r>
  <r>
    <n v="6864"/>
    <n v="1989"/>
    <x v="2"/>
    <x v="2"/>
    <x v="3"/>
    <n v="10979"/>
    <x v="3"/>
    <n v="0"/>
    <n v="0"/>
    <x v="0"/>
    <x v="27"/>
    <n v="34"/>
    <x v="1"/>
    <n v="0"/>
    <n v="8"/>
    <n v="4"/>
    <n v="10"/>
    <n v="2"/>
    <n v="2"/>
    <n v="4"/>
    <n v="30"/>
    <n v="2"/>
    <n v="3"/>
    <n v="0"/>
    <n v="3"/>
    <n v="6"/>
    <n v="5"/>
    <x v="0"/>
  </r>
  <r>
    <n v="3033"/>
    <n v="1963"/>
    <x v="1"/>
    <x v="2"/>
    <x v="1"/>
    <n v="38620"/>
    <x v="1"/>
    <n v="0"/>
    <n v="0"/>
    <x v="0"/>
    <x v="28"/>
    <n v="56"/>
    <x v="0"/>
    <n v="0"/>
    <n v="112"/>
    <n v="17"/>
    <n v="44"/>
    <n v="34"/>
    <n v="22"/>
    <n v="89"/>
    <n v="318"/>
    <n v="1"/>
    <n v="2"/>
    <n v="5"/>
    <n v="3"/>
    <n v="10"/>
    <n v="3"/>
    <x v="0"/>
  </r>
  <r>
    <n v="5710"/>
    <n v="1970"/>
    <x v="1"/>
    <x v="0"/>
    <x v="1"/>
    <n v="40548"/>
    <x v="1"/>
    <n v="0"/>
    <n v="1"/>
    <x v="2"/>
    <x v="11"/>
    <n v="31"/>
    <x v="1"/>
    <n v="0"/>
    <n v="110"/>
    <n v="0"/>
    <n v="5"/>
    <n v="2"/>
    <n v="0"/>
    <n v="3"/>
    <n v="120"/>
    <n v="2"/>
    <n v="2"/>
    <n v="1"/>
    <n v="4"/>
    <n v="7"/>
    <n v="5"/>
    <x v="0"/>
  </r>
  <r>
    <n v="7373"/>
    <n v="1952"/>
    <x v="4"/>
    <x v="1"/>
    <x v="3"/>
    <n v="46610"/>
    <x v="1"/>
    <n v="0"/>
    <n v="2"/>
    <x v="1"/>
    <x v="29"/>
    <n v="8"/>
    <x v="1"/>
    <n v="0"/>
    <n v="96"/>
    <n v="12"/>
    <n v="96"/>
    <n v="33"/>
    <n v="22"/>
    <n v="43"/>
    <n v="302"/>
    <n v="6"/>
    <n v="4"/>
    <n v="1"/>
    <n v="6"/>
    <n v="11"/>
    <n v="6"/>
    <x v="0"/>
  </r>
  <r>
    <n v="8755"/>
    <n v="1946"/>
    <x v="4"/>
    <x v="2"/>
    <x v="2"/>
    <n v="68657"/>
    <x v="2"/>
    <n v="0"/>
    <n v="0"/>
    <x v="0"/>
    <x v="24"/>
    <n v="4"/>
    <x v="1"/>
    <n v="0"/>
    <n v="482"/>
    <n v="34"/>
    <n v="471"/>
    <n v="119"/>
    <n v="68"/>
    <n v="22"/>
    <n v="1196"/>
    <n v="1"/>
    <n v="3"/>
    <n v="5"/>
    <n v="9"/>
    <n v="17"/>
    <n v="7"/>
    <x v="1"/>
  </r>
  <r>
    <n v="10738"/>
    <n v="1951"/>
    <x v="4"/>
    <x v="2"/>
    <x v="0"/>
    <n v="49389"/>
    <x v="1"/>
    <n v="1"/>
    <n v="1"/>
    <x v="1"/>
    <x v="30"/>
    <n v="55"/>
    <x v="0"/>
    <n v="0"/>
    <n v="40"/>
    <n v="0"/>
    <n v="19"/>
    <n v="2"/>
    <n v="1"/>
    <n v="3"/>
    <n v="65"/>
    <n v="1"/>
    <n v="2"/>
    <n v="0"/>
    <n v="3"/>
    <n v="5"/>
    <n v="7"/>
    <x v="0"/>
  </r>
  <r>
    <n v="4339"/>
    <n v="1970"/>
    <x v="1"/>
    <x v="1"/>
    <x v="2"/>
    <n v="67353"/>
    <x v="0"/>
    <n v="0"/>
    <n v="1"/>
    <x v="2"/>
    <x v="31"/>
    <n v="37"/>
    <x v="1"/>
    <n v="0"/>
    <n v="702"/>
    <n v="17"/>
    <n v="151"/>
    <n v="0"/>
    <n v="8"/>
    <n v="35"/>
    <n v="913"/>
    <n v="5"/>
    <n v="5"/>
    <n v="6"/>
    <n v="12"/>
    <n v="23"/>
    <n v="2"/>
    <x v="1"/>
  </r>
  <r>
    <n v="10755"/>
    <n v="1976"/>
    <x v="3"/>
    <x v="2"/>
    <x v="2"/>
    <n v="23718"/>
    <x v="3"/>
    <n v="1"/>
    <n v="0"/>
    <x v="2"/>
    <x v="32"/>
    <n v="76"/>
    <x v="0"/>
    <n v="0"/>
    <n v="6"/>
    <n v="3"/>
    <n v="14"/>
    <n v="15"/>
    <n v="7"/>
    <n v="36"/>
    <n v="81"/>
    <n v="3"/>
    <n v="3"/>
    <n v="1"/>
    <n v="2"/>
    <n v="6"/>
    <n v="7"/>
    <x v="0"/>
  </r>
  <r>
    <n v="8595"/>
    <n v="1973"/>
    <x v="3"/>
    <x v="0"/>
    <x v="4"/>
    <n v="42429"/>
    <x v="1"/>
    <n v="0"/>
    <n v="1"/>
    <x v="2"/>
    <x v="33"/>
    <n v="99"/>
    <x v="0"/>
    <n v="0"/>
    <n v="55"/>
    <n v="0"/>
    <n v="6"/>
    <n v="2"/>
    <n v="0"/>
    <n v="4"/>
    <n v="67"/>
    <n v="2"/>
    <n v="1"/>
    <n v="1"/>
    <n v="3"/>
    <n v="5"/>
    <n v="5"/>
    <x v="0"/>
  </r>
  <r>
    <n v="2968"/>
    <n v="1943"/>
    <x v="4"/>
    <x v="1"/>
    <x v="3"/>
    <n v="48948"/>
    <x v="1"/>
    <n v="0"/>
    <n v="0"/>
    <x v="0"/>
    <x v="34"/>
    <n v="53"/>
    <x v="0"/>
    <n v="0"/>
    <n v="437"/>
    <n v="8"/>
    <n v="206"/>
    <n v="160"/>
    <n v="49"/>
    <n v="42"/>
    <n v="902"/>
    <n v="2"/>
    <n v="7"/>
    <n v="10"/>
    <n v="5"/>
    <n v="22"/>
    <n v="6"/>
    <x v="0"/>
  </r>
  <r>
    <n v="8601"/>
    <n v="1980"/>
    <x v="3"/>
    <x v="0"/>
    <x v="2"/>
    <n v="80011"/>
    <x v="2"/>
    <n v="0"/>
    <n v="1"/>
    <x v="2"/>
    <x v="35"/>
    <n v="3"/>
    <x v="1"/>
    <n v="0"/>
    <n v="421"/>
    <n v="76"/>
    <n v="536"/>
    <n v="82"/>
    <n v="178"/>
    <n v="102"/>
    <n v="1395"/>
    <n v="2"/>
    <n v="8"/>
    <n v="6"/>
    <n v="5"/>
    <n v="19"/>
    <n v="4"/>
    <x v="1"/>
  </r>
  <r>
    <n v="503"/>
    <n v="1985"/>
    <x v="2"/>
    <x v="2"/>
    <x v="2"/>
    <n v="20559"/>
    <x v="3"/>
    <n v="1"/>
    <n v="0"/>
    <x v="2"/>
    <x v="36"/>
    <n v="88"/>
    <x v="0"/>
    <n v="0"/>
    <n v="13"/>
    <n v="1"/>
    <n v="29"/>
    <n v="3"/>
    <n v="0"/>
    <n v="7"/>
    <n v="53"/>
    <n v="2"/>
    <n v="2"/>
    <n v="0"/>
    <n v="3"/>
    <n v="5"/>
    <n v="8"/>
    <x v="0"/>
  </r>
  <r>
    <n v="8430"/>
    <n v="1957"/>
    <x v="0"/>
    <x v="0"/>
    <x v="1"/>
    <n v="21994"/>
    <x v="3"/>
    <n v="0"/>
    <n v="1"/>
    <x v="2"/>
    <x v="13"/>
    <n v="4"/>
    <x v="1"/>
    <n v="0"/>
    <n v="9"/>
    <n v="0"/>
    <n v="6"/>
    <n v="3"/>
    <n v="1"/>
    <n v="3"/>
    <n v="22"/>
    <n v="1"/>
    <n v="0"/>
    <n v="0"/>
    <n v="3"/>
    <n v="3"/>
    <n v="5"/>
    <x v="0"/>
  </r>
  <r>
    <n v="7281"/>
    <n v="1959"/>
    <x v="0"/>
    <x v="1"/>
    <x v="0"/>
    <m/>
    <x v="3"/>
    <n v="0"/>
    <n v="0"/>
    <x v="0"/>
    <x v="37"/>
    <n v="80"/>
    <x v="0"/>
    <n v="0"/>
    <n v="81"/>
    <n v="11"/>
    <n v="50"/>
    <n v="3"/>
    <n v="2"/>
    <n v="39"/>
    <n v="186"/>
    <n v="1"/>
    <n v="1"/>
    <n v="3"/>
    <n v="4"/>
    <n v="8"/>
    <n v="2"/>
    <x v="0"/>
  </r>
  <r>
    <n v="2139"/>
    <n v="1975"/>
    <x v="3"/>
    <x v="2"/>
    <x v="2"/>
    <n v="7500"/>
    <x v="3"/>
    <n v="1"/>
    <n v="0"/>
    <x v="2"/>
    <x v="38"/>
    <n v="19"/>
    <x v="1"/>
    <n v="0"/>
    <n v="3"/>
    <n v="1"/>
    <n v="10"/>
    <n v="3"/>
    <n v="2"/>
    <n v="12"/>
    <n v="31"/>
    <n v="3"/>
    <n v="2"/>
    <n v="0"/>
    <n v="3"/>
    <n v="5"/>
    <n v="5"/>
    <x v="0"/>
  </r>
  <r>
    <n v="1371"/>
    <n v="1976"/>
    <x v="3"/>
    <x v="0"/>
    <x v="0"/>
    <n v="79941"/>
    <x v="2"/>
    <n v="0"/>
    <n v="0"/>
    <x v="0"/>
    <x v="39"/>
    <n v="72"/>
    <x v="0"/>
    <n v="0"/>
    <n v="123"/>
    <n v="164"/>
    <n v="266"/>
    <n v="227"/>
    <n v="30"/>
    <n v="174"/>
    <n v="984"/>
    <n v="1"/>
    <n v="2"/>
    <n v="4"/>
    <n v="9"/>
    <n v="15"/>
    <n v="1"/>
    <x v="0"/>
  </r>
  <r>
    <n v="9909"/>
    <n v="1996"/>
    <x v="2"/>
    <x v="2"/>
    <x v="2"/>
    <n v="7500"/>
    <x v="3"/>
    <n v="0"/>
    <n v="0"/>
    <x v="0"/>
    <x v="40"/>
    <n v="24"/>
    <x v="1"/>
    <n v="0"/>
    <n v="3"/>
    <n v="18"/>
    <n v="14"/>
    <n v="15"/>
    <n v="22"/>
    <n v="50"/>
    <n v="122"/>
    <n v="3"/>
    <n v="3"/>
    <n v="1"/>
    <n v="3"/>
    <n v="7"/>
    <n v="9"/>
    <x v="0"/>
  </r>
  <r>
    <n v="7286"/>
    <n v="1968"/>
    <x v="1"/>
    <x v="0"/>
    <x v="1"/>
    <n v="41728"/>
    <x v="1"/>
    <n v="1"/>
    <n v="0"/>
    <x v="2"/>
    <x v="41"/>
    <n v="92"/>
    <x v="0"/>
    <n v="0"/>
    <n v="13"/>
    <n v="6"/>
    <n v="15"/>
    <n v="3"/>
    <n v="5"/>
    <n v="13"/>
    <n v="55"/>
    <n v="1"/>
    <n v="2"/>
    <n v="0"/>
    <n v="2"/>
    <n v="4"/>
    <n v="10"/>
    <x v="0"/>
  </r>
  <r>
    <n v="7244"/>
    <n v="1951"/>
    <x v="4"/>
    <x v="0"/>
    <x v="0"/>
    <m/>
    <x v="3"/>
    <n v="2"/>
    <n v="1"/>
    <x v="3"/>
    <x v="42"/>
    <n v="96"/>
    <x v="0"/>
    <n v="0"/>
    <n v="48"/>
    <n v="5"/>
    <n v="48"/>
    <n v="6"/>
    <n v="10"/>
    <n v="7"/>
    <n v="124"/>
    <n v="3"/>
    <n v="2"/>
    <n v="1"/>
    <n v="4"/>
    <n v="7"/>
    <n v="6"/>
    <x v="0"/>
  </r>
  <r>
    <n v="6566"/>
    <n v="1954"/>
    <x v="0"/>
    <x v="1"/>
    <x v="2"/>
    <n v="72550"/>
    <x v="2"/>
    <n v="1"/>
    <n v="1"/>
    <x v="1"/>
    <x v="43"/>
    <n v="39"/>
    <x v="1"/>
    <n v="0"/>
    <n v="826"/>
    <n v="50"/>
    <n v="317"/>
    <n v="50"/>
    <n v="38"/>
    <n v="38"/>
    <n v="1319"/>
    <n v="9"/>
    <n v="5"/>
    <n v="2"/>
    <n v="12"/>
    <n v="19"/>
    <n v="8"/>
    <x v="1"/>
  </r>
  <r>
    <n v="8614"/>
    <n v="1957"/>
    <x v="0"/>
    <x v="0"/>
    <x v="4"/>
    <n v="65486"/>
    <x v="0"/>
    <n v="0"/>
    <n v="1"/>
    <x v="2"/>
    <x v="44"/>
    <n v="29"/>
    <x v="1"/>
    <n v="0"/>
    <n v="245"/>
    <n v="19"/>
    <n v="125"/>
    <n v="37"/>
    <n v="67"/>
    <n v="14"/>
    <n v="507"/>
    <n v="1"/>
    <n v="4"/>
    <n v="2"/>
    <n v="10"/>
    <n v="16"/>
    <n v="2"/>
    <x v="0"/>
  </r>
  <r>
    <n v="4114"/>
    <n v="1964"/>
    <x v="1"/>
    <x v="2"/>
    <x v="2"/>
    <n v="79143"/>
    <x v="2"/>
    <n v="0"/>
    <n v="0"/>
    <x v="0"/>
    <x v="45"/>
    <n v="2"/>
    <x v="1"/>
    <n v="0"/>
    <n v="650"/>
    <n v="37"/>
    <n v="780"/>
    <n v="27"/>
    <n v="167"/>
    <n v="32"/>
    <n v="1693"/>
    <n v="1"/>
    <n v="6"/>
    <n v="9"/>
    <n v="13"/>
    <n v="28"/>
    <n v="3"/>
    <x v="1"/>
  </r>
  <r>
    <n v="1331"/>
    <n v="1977"/>
    <x v="3"/>
    <x v="0"/>
    <x v="0"/>
    <n v="35790"/>
    <x v="1"/>
    <n v="1"/>
    <n v="0"/>
    <x v="2"/>
    <x v="22"/>
    <n v="54"/>
    <x v="0"/>
    <n v="0"/>
    <n v="12"/>
    <n v="6"/>
    <n v="20"/>
    <n v="30"/>
    <n v="1"/>
    <n v="3"/>
    <n v="72"/>
    <n v="2"/>
    <n v="2"/>
    <n v="0"/>
    <n v="3"/>
    <n v="5"/>
    <n v="7"/>
    <x v="0"/>
  </r>
  <r>
    <n v="2225"/>
    <n v="1977"/>
    <x v="3"/>
    <x v="0"/>
    <x v="3"/>
    <n v="82582"/>
    <x v="2"/>
    <n v="0"/>
    <n v="0"/>
    <x v="0"/>
    <x v="46"/>
    <n v="54"/>
    <x v="0"/>
    <n v="0"/>
    <n v="510"/>
    <n v="120"/>
    <n v="550"/>
    <n v="156"/>
    <n v="40"/>
    <n v="241"/>
    <n v="1617"/>
    <n v="1"/>
    <n v="4"/>
    <n v="9"/>
    <n v="7"/>
    <n v="20"/>
    <n v="1"/>
    <x v="0"/>
  </r>
  <r>
    <n v="9381"/>
    <n v="1978"/>
    <x v="3"/>
    <x v="0"/>
    <x v="2"/>
    <n v="66373"/>
    <x v="0"/>
    <n v="1"/>
    <n v="1"/>
    <x v="1"/>
    <x v="47"/>
    <n v="57"/>
    <x v="0"/>
    <n v="0"/>
    <n v="328"/>
    <n v="9"/>
    <n v="124"/>
    <n v="12"/>
    <n v="24"/>
    <n v="109"/>
    <n v="606"/>
    <n v="7"/>
    <n v="4"/>
    <n v="2"/>
    <n v="10"/>
    <n v="16"/>
    <n v="3"/>
    <x v="0"/>
  </r>
  <r>
    <n v="6260"/>
    <n v="1955"/>
    <x v="0"/>
    <x v="2"/>
    <x v="1"/>
    <n v="82384"/>
    <x v="2"/>
    <n v="0"/>
    <n v="0"/>
    <x v="0"/>
    <x v="48"/>
    <n v="55"/>
    <x v="0"/>
    <n v="0"/>
    <n v="984"/>
    <n v="51"/>
    <n v="432"/>
    <n v="180"/>
    <n v="120"/>
    <n v="190"/>
    <n v="1957"/>
    <n v="1"/>
    <n v="3"/>
    <n v="10"/>
    <n v="13"/>
    <n v="26"/>
    <n v="1"/>
    <x v="0"/>
  </r>
  <r>
    <n v="10383"/>
    <n v="1966"/>
    <x v="1"/>
    <x v="0"/>
    <x v="3"/>
    <n v="70287"/>
    <x v="2"/>
    <n v="0"/>
    <n v="0"/>
    <x v="0"/>
    <x v="49"/>
    <n v="30"/>
    <x v="1"/>
    <n v="0"/>
    <n v="295"/>
    <n v="35"/>
    <n v="482"/>
    <n v="121"/>
    <n v="120"/>
    <n v="40"/>
    <n v="1093"/>
    <n v="1"/>
    <n v="5"/>
    <n v="5"/>
    <n v="10"/>
    <n v="20"/>
    <n v="3"/>
    <x v="1"/>
  </r>
  <r>
    <n v="7437"/>
    <n v="1988"/>
    <x v="2"/>
    <x v="0"/>
    <x v="0"/>
    <n v="27938"/>
    <x v="3"/>
    <n v="1"/>
    <n v="0"/>
    <x v="2"/>
    <x v="50"/>
    <n v="31"/>
    <x v="1"/>
    <n v="0"/>
    <n v="13"/>
    <n v="0"/>
    <n v="8"/>
    <n v="2"/>
    <n v="1"/>
    <n v="5"/>
    <n v="29"/>
    <n v="1"/>
    <n v="1"/>
    <n v="0"/>
    <n v="4"/>
    <n v="5"/>
    <n v="3"/>
    <x v="0"/>
  </r>
  <r>
    <n v="8557"/>
    <n v="1982"/>
    <x v="3"/>
    <x v="0"/>
    <x v="0"/>
    <m/>
    <x v="3"/>
    <n v="1"/>
    <n v="0"/>
    <x v="2"/>
    <x v="51"/>
    <n v="57"/>
    <x v="0"/>
    <n v="0"/>
    <n v="11"/>
    <n v="3"/>
    <n v="22"/>
    <n v="2"/>
    <n v="2"/>
    <n v="6"/>
    <n v="46"/>
    <n v="2"/>
    <n v="2"/>
    <n v="0"/>
    <n v="3"/>
    <n v="5"/>
    <n v="6"/>
    <x v="0"/>
  </r>
  <r>
    <n v="8375"/>
    <n v="1968"/>
    <x v="1"/>
    <x v="1"/>
    <x v="2"/>
    <n v="55954"/>
    <x v="0"/>
    <n v="0"/>
    <n v="1"/>
    <x v="2"/>
    <x v="52"/>
    <n v="63"/>
    <x v="0"/>
    <n v="0"/>
    <n v="447"/>
    <n v="0"/>
    <n v="28"/>
    <n v="0"/>
    <n v="0"/>
    <n v="43"/>
    <n v="518"/>
    <n v="3"/>
    <n v="8"/>
    <n v="2"/>
    <n v="6"/>
    <n v="16"/>
    <n v="7"/>
    <x v="0"/>
  </r>
  <r>
    <n v="6853"/>
    <n v="1982"/>
    <x v="3"/>
    <x v="2"/>
    <x v="0"/>
    <n v="75777"/>
    <x v="2"/>
    <n v="0"/>
    <n v="0"/>
    <x v="0"/>
    <x v="53"/>
    <n v="12"/>
    <x v="1"/>
    <n v="0"/>
    <n v="712"/>
    <n v="26"/>
    <n v="538"/>
    <n v="69"/>
    <n v="13"/>
    <n v="80"/>
    <n v="1438"/>
    <n v="1"/>
    <n v="3"/>
    <n v="6"/>
    <n v="11"/>
    <n v="20"/>
    <n v="1"/>
    <x v="1"/>
  </r>
  <r>
    <n v="3076"/>
    <n v="1975"/>
    <x v="3"/>
    <x v="0"/>
    <x v="1"/>
    <n v="66653"/>
    <x v="0"/>
    <n v="1"/>
    <n v="1"/>
    <x v="1"/>
    <x v="54"/>
    <n v="18"/>
    <x v="1"/>
    <n v="0"/>
    <n v="452"/>
    <n v="18"/>
    <n v="102"/>
    <n v="16"/>
    <n v="18"/>
    <n v="6"/>
    <n v="612"/>
    <n v="4"/>
    <n v="4"/>
    <n v="2"/>
    <n v="12"/>
    <n v="18"/>
    <n v="3"/>
    <x v="1"/>
  </r>
  <r>
    <n v="1012"/>
    <n v="1952"/>
    <x v="4"/>
    <x v="0"/>
    <x v="0"/>
    <n v="61823"/>
    <x v="0"/>
    <n v="0"/>
    <n v="1"/>
    <x v="2"/>
    <x v="55"/>
    <n v="26"/>
    <x v="1"/>
    <n v="0"/>
    <n v="523"/>
    <n v="7"/>
    <n v="134"/>
    <n v="37"/>
    <n v="14"/>
    <n v="169"/>
    <n v="884"/>
    <n v="4"/>
    <n v="8"/>
    <n v="2"/>
    <n v="10"/>
    <n v="20"/>
    <n v="7"/>
    <x v="1"/>
  </r>
  <r>
    <n v="6518"/>
    <n v="1951"/>
    <x v="4"/>
    <x v="1"/>
    <x v="4"/>
    <n v="67680"/>
    <x v="0"/>
    <n v="0"/>
    <n v="1"/>
    <x v="2"/>
    <x v="56"/>
    <n v="8"/>
    <x v="1"/>
    <n v="0"/>
    <n v="546"/>
    <n v="0"/>
    <n v="48"/>
    <n v="0"/>
    <n v="6"/>
    <n v="6"/>
    <n v="606"/>
    <n v="1"/>
    <n v="7"/>
    <n v="3"/>
    <n v="8"/>
    <n v="18"/>
    <n v="5"/>
    <x v="0"/>
  </r>
  <r>
    <n v="4137"/>
    <n v="1948"/>
    <x v="4"/>
    <x v="0"/>
    <x v="1"/>
    <n v="70666"/>
    <x v="2"/>
    <n v="0"/>
    <n v="0"/>
    <x v="0"/>
    <x v="57"/>
    <n v="29"/>
    <x v="1"/>
    <n v="0"/>
    <n v="398"/>
    <n v="40"/>
    <n v="367"/>
    <n v="119"/>
    <n v="122"/>
    <n v="30"/>
    <n v="1076"/>
    <n v="1"/>
    <n v="7"/>
    <n v="4"/>
    <n v="4"/>
    <n v="15"/>
    <n v="4"/>
    <x v="1"/>
  </r>
  <r>
    <n v="8082"/>
    <n v="1971"/>
    <x v="1"/>
    <x v="0"/>
    <x v="2"/>
    <n v="25721"/>
    <x v="3"/>
    <n v="1"/>
    <n v="0"/>
    <x v="2"/>
    <x v="58"/>
    <n v="75"/>
    <x v="0"/>
    <n v="0"/>
    <n v="1"/>
    <n v="3"/>
    <n v="6"/>
    <n v="3"/>
    <n v="6"/>
    <n v="15"/>
    <n v="34"/>
    <n v="1"/>
    <n v="1"/>
    <n v="1"/>
    <n v="2"/>
    <n v="4"/>
    <n v="7"/>
    <x v="0"/>
  </r>
  <r>
    <n v="1386"/>
    <n v="1967"/>
    <x v="1"/>
    <x v="0"/>
    <x v="1"/>
    <n v="32474"/>
    <x v="3"/>
    <n v="1"/>
    <n v="1"/>
    <x v="1"/>
    <x v="59"/>
    <n v="0"/>
    <x v="1"/>
    <n v="0"/>
    <n v="10"/>
    <n v="0"/>
    <n v="1"/>
    <n v="0"/>
    <n v="0"/>
    <n v="0"/>
    <n v="11"/>
    <n v="1"/>
    <n v="1"/>
    <n v="0"/>
    <n v="2"/>
    <n v="3"/>
    <n v="7"/>
    <x v="0"/>
  </r>
  <r>
    <n v="9369"/>
    <n v="1979"/>
    <x v="3"/>
    <x v="2"/>
    <x v="0"/>
    <n v="88194"/>
    <x v="2"/>
    <n v="0"/>
    <n v="1"/>
    <x v="2"/>
    <x v="60"/>
    <n v="19"/>
    <x v="1"/>
    <n v="0"/>
    <n v="688"/>
    <n v="14"/>
    <n v="309"/>
    <n v="201"/>
    <n v="24"/>
    <n v="38"/>
    <n v="1274"/>
    <n v="1"/>
    <n v="11"/>
    <n v="10"/>
    <n v="10"/>
    <n v="31"/>
    <n v="5"/>
    <x v="1"/>
  </r>
  <r>
    <n v="4477"/>
    <n v="1958"/>
    <x v="0"/>
    <x v="0"/>
    <x v="1"/>
    <n v="69096"/>
    <x v="2"/>
    <n v="0"/>
    <n v="1"/>
    <x v="2"/>
    <x v="61"/>
    <n v="4"/>
    <x v="1"/>
    <n v="0"/>
    <n v="247"/>
    <n v="49"/>
    <n v="159"/>
    <n v="7"/>
    <n v="82"/>
    <n v="109"/>
    <n v="653"/>
    <n v="1"/>
    <n v="5"/>
    <n v="2"/>
    <n v="10"/>
    <n v="17"/>
    <n v="4"/>
    <x v="1"/>
  </r>
  <r>
    <n v="1357"/>
    <n v="1970"/>
    <x v="1"/>
    <x v="0"/>
    <x v="1"/>
    <n v="74854"/>
    <x v="2"/>
    <n v="1"/>
    <n v="2"/>
    <x v="3"/>
    <x v="62"/>
    <n v="90"/>
    <x v="0"/>
    <n v="0"/>
    <n v="856"/>
    <n v="59"/>
    <n v="487"/>
    <n v="58"/>
    <n v="29"/>
    <n v="73"/>
    <n v="1562"/>
    <n v="7"/>
    <n v="2"/>
    <n v="5"/>
    <n v="5"/>
    <n v="12"/>
    <n v="5"/>
    <x v="0"/>
  </r>
  <r>
    <n v="1402"/>
    <n v="1954"/>
    <x v="0"/>
    <x v="2"/>
    <x v="2"/>
    <n v="66991"/>
    <x v="0"/>
    <n v="0"/>
    <n v="0"/>
    <x v="0"/>
    <x v="63"/>
    <n v="1"/>
    <x v="1"/>
    <n v="0"/>
    <n v="496"/>
    <n v="36"/>
    <n v="460"/>
    <n v="189"/>
    <n v="60"/>
    <n v="12"/>
    <n v="1253"/>
    <n v="3"/>
    <n v="4"/>
    <n v="8"/>
    <n v="6"/>
    <n v="18"/>
    <n v="3"/>
    <x v="1"/>
  </r>
  <r>
    <n v="10629"/>
    <n v="1973"/>
    <x v="3"/>
    <x v="2"/>
    <x v="2"/>
    <m/>
    <x v="3"/>
    <n v="1"/>
    <n v="0"/>
    <x v="2"/>
    <x v="64"/>
    <n v="25"/>
    <x v="1"/>
    <n v="0"/>
    <n v="25"/>
    <n v="3"/>
    <n v="43"/>
    <n v="17"/>
    <n v="4"/>
    <n v="17"/>
    <n v="109"/>
    <n v="3"/>
    <n v="3"/>
    <n v="0"/>
    <n v="3"/>
    <n v="6"/>
    <n v="8"/>
    <x v="0"/>
  </r>
  <r>
    <n v="6312"/>
    <n v="1959"/>
    <x v="0"/>
    <x v="0"/>
    <x v="2"/>
    <n v="65031"/>
    <x v="0"/>
    <n v="0"/>
    <n v="1"/>
    <x v="2"/>
    <x v="65"/>
    <n v="29"/>
    <x v="1"/>
    <n v="0"/>
    <n v="258"/>
    <n v="107"/>
    <n v="291"/>
    <n v="84"/>
    <n v="37"/>
    <n v="86"/>
    <n v="863"/>
    <n v="4"/>
    <n v="10"/>
    <n v="3"/>
    <n v="13"/>
    <n v="26"/>
    <n v="7"/>
    <x v="1"/>
  </r>
  <r>
    <n v="8132"/>
    <n v="1975"/>
    <x v="3"/>
    <x v="1"/>
    <x v="2"/>
    <n v="60631"/>
    <x v="0"/>
    <n v="1"/>
    <n v="1"/>
    <x v="1"/>
    <x v="66"/>
    <n v="88"/>
    <x v="0"/>
    <n v="0"/>
    <n v="565"/>
    <n v="6"/>
    <n v="65"/>
    <n v="0"/>
    <n v="6"/>
    <n v="19"/>
    <n v="661"/>
    <n v="5"/>
    <n v="9"/>
    <n v="2"/>
    <n v="8"/>
    <n v="19"/>
    <n v="7"/>
    <x v="0"/>
  </r>
  <r>
    <n v="1050"/>
    <n v="1952"/>
    <x v="4"/>
    <x v="0"/>
    <x v="2"/>
    <n v="28332"/>
    <x v="3"/>
    <n v="0"/>
    <n v="0"/>
    <x v="0"/>
    <x v="67"/>
    <n v="58"/>
    <x v="0"/>
    <n v="0"/>
    <n v="14"/>
    <n v="10"/>
    <n v="13"/>
    <n v="4"/>
    <n v="15"/>
    <n v="9"/>
    <n v="65"/>
    <n v="1"/>
    <n v="2"/>
    <n v="1"/>
    <n v="4"/>
    <n v="7"/>
    <n v="2"/>
    <x v="0"/>
  </r>
  <r>
    <n v="5846"/>
    <n v="1977"/>
    <x v="3"/>
    <x v="0"/>
    <x v="3"/>
    <n v="40246"/>
    <x v="1"/>
    <n v="1"/>
    <n v="0"/>
    <x v="2"/>
    <x v="68"/>
    <n v="68"/>
    <x v="0"/>
    <n v="0"/>
    <n v="2"/>
    <n v="1"/>
    <n v="6"/>
    <n v="2"/>
    <n v="1"/>
    <n v="1"/>
    <n v="13"/>
    <n v="1"/>
    <n v="1"/>
    <n v="0"/>
    <n v="2"/>
    <n v="3"/>
    <n v="6"/>
    <x v="0"/>
  </r>
  <r>
    <n v="1859"/>
    <n v="1972"/>
    <x v="1"/>
    <x v="2"/>
    <x v="2"/>
    <n v="75251"/>
    <x v="2"/>
    <n v="0"/>
    <n v="0"/>
    <x v="0"/>
    <x v="69"/>
    <n v="34"/>
    <x v="1"/>
    <n v="0"/>
    <n v="721"/>
    <n v="111"/>
    <n v="925"/>
    <n v="97"/>
    <n v="18"/>
    <n v="18"/>
    <n v="1890"/>
    <n v="1"/>
    <n v="7"/>
    <n v="6"/>
    <n v="5"/>
    <n v="18"/>
    <n v="5"/>
    <x v="1"/>
  </r>
  <r>
    <n v="7503"/>
    <n v="1976"/>
    <x v="3"/>
    <x v="0"/>
    <x v="0"/>
    <n v="75825"/>
    <x v="2"/>
    <n v="0"/>
    <n v="0"/>
    <x v="0"/>
    <x v="70"/>
    <n v="40"/>
    <x v="1"/>
    <n v="0"/>
    <n v="1032"/>
    <n v="105"/>
    <n v="779"/>
    <n v="137"/>
    <n v="105"/>
    <n v="51"/>
    <n v="2209"/>
    <n v="0"/>
    <n v="5"/>
    <n v="8"/>
    <n v="9"/>
    <n v="22"/>
    <n v="4"/>
    <x v="1"/>
  </r>
  <r>
    <n v="10401"/>
    <n v="1976"/>
    <x v="3"/>
    <x v="2"/>
    <x v="1"/>
    <n v="26326"/>
    <x v="3"/>
    <n v="0"/>
    <n v="0"/>
    <x v="0"/>
    <x v="71"/>
    <n v="12"/>
    <x v="1"/>
    <n v="1"/>
    <n v="1"/>
    <n v="0"/>
    <n v="5"/>
    <n v="0"/>
    <n v="3"/>
    <n v="9"/>
    <n v="18"/>
    <n v="1"/>
    <n v="0"/>
    <n v="0"/>
    <n v="3"/>
    <n v="3"/>
    <n v="3"/>
    <x v="0"/>
  </r>
  <r>
    <n v="1618"/>
    <n v="1965"/>
    <x v="1"/>
    <x v="0"/>
    <x v="1"/>
    <n v="56046"/>
    <x v="0"/>
    <n v="0"/>
    <n v="0"/>
    <x v="0"/>
    <x v="22"/>
    <n v="9"/>
    <x v="1"/>
    <n v="0"/>
    <n v="577"/>
    <n v="0"/>
    <n v="64"/>
    <n v="0"/>
    <n v="0"/>
    <n v="51"/>
    <n v="692"/>
    <n v="2"/>
    <n v="10"/>
    <n v="1"/>
    <n v="8"/>
    <n v="19"/>
    <n v="8"/>
    <x v="1"/>
  </r>
  <r>
    <n v="3332"/>
    <n v="1985"/>
    <x v="2"/>
    <x v="0"/>
    <x v="0"/>
    <n v="29760"/>
    <x v="3"/>
    <n v="1"/>
    <n v="0"/>
    <x v="2"/>
    <x v="72"/>
    <n v="87"/>
    <x v="0"/>
    <n v="0"/>
    <n v="64"/>
    <n v="4"/>
    <n v="68"/>
    <n v="7"/>
    <n v="5"/>
    <n v="17"/>
    <n v="165"/>
    <n v="4"/>
    <n v="3"/>
    <n v="1"/>
    <n v="4"/>
    <n v="8"/>
    <n v="8"/>
    <x v="0"/>
  </r>
  <r>
    <n v="2261"/>
    <n v="1969"/>
    <x v="1"/>
    <x v="0"/>
    <x v="2"/>
    <n v="26304"/>
    <x v="3"/>
    <n v="1"/>
    <n v="0"/>
    <x v="2"/>
    <x v="73"/>
    <n v="5"/>
    <x v="1"/>
    <n v="0"/>
    <n v="4"/>
    <n v="1"/>
    <n v="5"/>
    <n v="2"/>
    <n v="0"/>
    <n v="4"/>
    <n v="16"/>
    <n v="1"/>
    <n v="1"/>
    <n v="0"/>
    <n v="2"/>
    <n v="3"/>
    <n v="7"/>
    <x v="0"/>
  </r>
  <r>
    <n v="5346"/>
    <n v="1973"/>
    <x v="3"/>
    <x v="2"/>
    <x v="2"/>
    <n v="23559"/>
    <x v="3"/>
    <n v="1"/>
    <n v="0"/>
    <x v="2"/>
    <x v="74"/>
    <n v="87"/>
    <x v="0"/>
    <n v="0"/>
    <n v="25"/>
    <n v="5"/>
    <n v="19"/>
    <n v="7"/>
    <n v="0"/>
    <n v="23"/>
    <n v="79"/>
    <n v="3"/>
    <n v="3"/>
    <n v="0"/>
    <n v="3"/>
    <n v="6"/>
    <n v="7"/>
    <x v="0"/>
  </r>
  <r>
    <n v="535"/>
    <n v="1987"/>
    <x v="2"/>
    <x v="0"/>
    <x v="3"/>
    <n v="81361"/>
    <x v="2"/>
    <n v="0"/>
    <n v="0"/>
    <x v="0"/>
    <x v="75"/>
    <n v="18"/>
    <x v="1"/>
    <n v="0"/>
    <n v="163"/>
    <n v="23"/>
    <n v="424"/>
    <n v="27"/>
    <n v="65"/>
    <n v="76"/>
    <n v="778"/>
    <n v="1"/>
    <n v="3"/>
    <n v="10"/>
    <n v="13"/>
    <n v="26"/>
    <n v="1"/>
    <x v="1"/>
  </r>
  <r>
    <n v="5268"/>
    <n v="1960"/>
    <x v="0"/>
    <x v="0"/>
    <x v="2"/>
    <n v="29440"/>
    <x v="3"/>
    <n v="1"/>
    <n v="1"/>
    <x v="1"/>
    <x v="76"/>
    <n v="95"/>
    <x v="0"/>
    <n v="0"/>
    <n v="17"/>
    <n v="8"/>
    <n v="14"/>
    <n v="10"/>
    <n v="4"/>
    <n v="3"/>
    <n v="56"/>
    <n v="2"/>
    <n v="1"/>
    <n v="0"/>
    <n v="4"/>
    <n v="5"/>
    <n v="7"/>
    <x v="0"/>
  </r>
  <r>
    <n v="273"/>
    <n v="1970"/>
    <x v="1"/>
    <x v="2"/>
    <x v="2"/>
    <n v="36138"/>
    <x v="1"/>
    <n v="1"/>
    <n v="1"/>
    <x v="1"/>
    <x v="77"/>
    <n v="48"/>
    <x v="1"/>
    <n v="0"/>
    <n v="130"/>
    <n v="0"/>
    <n v="16"/>
    <n v="0"/>
    <n v="0"/>
    <n v="5"/>
    <n v="151"/>
    <n v="5"/>
    <n v="3"/>
    <n v="1"/>
    <n v="4"/>
    <n v="8"/>
    <n v="7"/>
    <x v="0"/>
  </r>
  <r>
    <n v="4452"/>
    <n v="1957"/>
    <x v="0"/>
    <x v="0"/>
    <x v="0"/>
    <n v="50388"/>
    <x v="1"/>
    <n v="0"/>
    <n v="1"/>
    <x v="2"/>
    <x v="78"/>
    <n v="3"/>
    <x v="1"/>
    <n v="0"/>
    <n v="292"/>
    <n v="6"/>
    <n v="37"/>
    <n v="0"/>
    <n v="3"/>
    <n v="34"/>
    <n v="372"/>
    <n v="4"/>
    <n v="6"/>
    <n v="1"/>
    <n v="6"/>
    <n v="13"/>
    <n v="7"/>
    <x v="0"/>
  </r>
  <r>
    <n v="8504"/>
    <n v="1973"/>
    <x v="3"/>
    <x v="0"/>
    <x v="2"/>
    <n v="79593"/>
    <x v="2"/>
    <n v="0"/>
    <n v="0"/>
    <x v="0"/>
    <x v="44"/>
    <n v="70"/>
    <x v="0"/>
    <n v="0"/>
    <n v="350"/>
    <n v="60"/>
    <n v="568"/>
    <n v="110"/>
    <n v="133"/>
    <n v="145"/>
    <n v="1366"/>
    <n v="1"/>
    <n v="5"/>
    <n v="6"/>
    <n v="7"/>
    <n v="18"/>
    <n v="2"/>
    <x v="0"/>
  </r>
  <r>
    <n v="771"/>
    <n v="1967"/>
    <x v="1"/>
    <x v="0"/>
    <x v="1"/>
    <n v="54178"/>
    <x v="0"/>
    <n v="0"/>
    <n v="1"/>
    <x v="2"/>
    <x v="79"/>
    <n v="79"/>
    <x v="0"/>
    <n v="0"/>
    <n v="135"/>
    <n v="9"/>
    <n v="39"/>
    <n v="4"/>
    <n v="0"/>
    <n v="7"/>
    <n v="194"/>
    <n v="1"/>
    <n v="2"/>
    <n v="2"/>
    <n v="5"/>
    <n v="9"/>
    <n v="2"/>
    <x v="0"/>
  </r>
  <r>
    <n v="8996"/>
    <n v="1957"/>
    <x v="0"/>
    <x v="1"/>
    <x v="2"/>
    <m/>
    <x v="3"/>
    <n v="2"/>
    <n v="1"/>
    <x v="3"/>
    <x v="48"/>
    <n v="4"/>
    <x v="1"/>
    <n v="0"/>
    <n v="230"/>
    <n v="42"/>
    <n v="192"/>
    <n v="49"/>
    <n v="37"/>
    <n v="53"/>
    <n v="603"/>
    <n v="12"/>
    <n v="7"/>
    <n v="2"/>
    <n v="8"/>
    <n v="17"/>
    <n v="9"/>
    <x v="0"/>
  </r>
  <r>
    <n v="9235"/>
    <n v="1957"/>
    <x v="0"/>
    <x v="0"/>
    <x v="0"/>
    <m/>
    <x v="3"/>
    <n v="1"/>
    <n v="1"/>
    <x v="1"/>
    <x v="80"/>
    <n v="45"/>
    <x v="1"/>
    <n v="0"/>
    <n v="7"/>
    <n v="0"/>
    <n v="8"/>
    <n v="2"/>
    <n v="0"/>
    <n v="1"/>
    <n v="18"/>
    <n v="1"/>
    <n v="1"/>
    <n v="0"/>
    <n v="2"/>
    <n v="3"/>
    <n v="7"/>
    <x v="0"/>
  </r>
  <r>
    <n v="5798"/>
    <n v="1973"/>
    <x v="3"/>
    <x v="2"/>
    <x v="1"/>
    <m/>
    <x v="3"/>
    <n v="0"/>
    <n v="0"/>
    <x v="0"/>
    <x v="81"/>
    <n v="87"/>
    <x v="0"/>
    <n v="0"/>
    <n v="445"/>
    <n v="37"/>
    <n v="359"/>
    <n v="98"/>
    <n v="28"/>
    <n v="18"/>
    <n v="985"/>
    <n v="1"/>
    <n v="2"/>
    <n v="4"/>
    <n v="8"/>
    <n v="14"/>
    <n v="1"/>
    <x v="0"/>
  </r>
  <r>
    <n v="11178"/>
    <n v="1972"/>
    <x v="1"/>
    <x v="2"/>
    <x v="0"/>
    <n v="42394"/>
    <x v="1"/>
    <n v="1"/>
    <n v="0"/>
    <x v="2"/>
    <x v="82"/>
    <n v="69"/>
    <x v="0"/>
    <n v="0"/>
    <n v="15"/>
    <n v="2"/>
    <n v="10"/>
    <n v="0"/>
    <n v="1"/>
    <n v="4"/>
    <n v="32"/>
    <n v="1"/>
    <n v="1"/>
    <n v="0"/>
    <n v="3"/>
    <n v="4"/>
    <n v="7"/>
    <x v="0"/>
  </r>
  <r>
    <n v="2230"/>
    <n v="1970"/>
    <x v="1"/>
    <x v="1"/>
    <x v="2"/>
    <n v="23626"/>
    <x v="3"/>
    <n v="1"/>
    <n v="0"/>
    <x v="2"/>
    <x v="83"/>
    <n v="84"/>
    <x v="0"/>
    <n v="0"/>
    <n v="27"/>
    <n v="2"/>
    <n v="14"/>
    <n v="0"/>
    <n v="0"/>
    <n v="0"/>
    <n v="43"/>
    <n v="3"/>
    <n v="3"/>
    <n v="1"/>
    <n v="3"/>
    <n v="7"/>
    <n v="5"/>
    <x v="0"/>
  </r>
  <r>
    <n v="7516"/>
    <n v="1983"/>
    <x v="2"/>
    <x v="0"/>
    <x v="2"/>
    <n v="30096"/>
    <x v="3"/>
    <n v="1"/>
    <n v="0"/>
    <x v="2"/>
    <x v="27"/>
    <n v="30"/>
    <x v="1"/>
    <n v="0"/>
    <n v="5"/>
    <n v="3"/>
    <n v="11"/>
    <n v="12"/>
    <n v="5"/>
    <n v="9"/>
    <n v="45"/>
    <n v="1"/>
    <n v="2"/>
    <n v="0"/>
    <n v="3"/>
    <n v="5"/>
    <n v="6"/>
    <x v="0"/>
  </r>
  <r>
    <n v="7247"/>
    <n v="1960"/>
    <x v="0"/>
    <x v="0"/>
    <x v="4"/>
    <n v="47916"/>
    <x v="1"/>
    <n v="0"/>
    <n v="1"/>
    <x v="2"/>
    <x v="84"/>
    <n v="72"/>
    <x v="0"/>
    <n v="0"/>
    <n v="505"/>
    <n v="0"/>
    <n v="26"/>
    <n v="0"/>
    <n v="0"/>
    <n v="75"/>
    <n v="606"/>
    <n v="5"/>
    <n v="7"/>
    <n v="4"/>
    <n v="6"/>
    <n v="17"/>
    <n v="6"/>
    <x v="0"/>
  </r>
  <r>
    <n v="11100"/>
    <n v="1972"/>
    <x v="1"/>
    <x v="0"/>
    <x v="3"/>
    <n v="51813"/>
    <x v="0"/>
    <n v="1"/>
    <n v="1"/>
    <x v="1"/>
    <x v="85"/>
    <n v="37"/>
    <x v="1"/>
    <n v="0"/>
    <n v="51"/>
    <n v="2"/>
    <n v="7"/>
    <n v="0"/>
    <n v="1"/>
    <n v="2"/>
    <n v="63"/>
    <n v="2"/>
    <n v="2"/>
    <n v="0"/>
    <n v="3"/>
    <n v="5"/>
    <n v="7"/>
    <x v="0"/>
  </r>
  <r>
    <n v="4646"/>
    <n v="1951"/>
    <x v="4"/>
    <x v="2"/>
    <x v="2"/>
    <n v="78497"/>
    <x v="2"/>
    <n v="0"/>
    <n v="0"/>
    <x v="0"/>
    <x v="86"/>
    <n v="44"/>
    <x v="1"/>
    <n v="0"/>
    <n v="207"/>
    <n v="26"/>
    <n v="447"/>
    <n v="75"/>
    <n v="0"/>
    <n v="223"/>
    <n v="978"/>
    <n v="1"/>
    <n v="5"/>
    <n v="7"/>
    <n v="12"/>
    <n v="24"/>
    <n v="2"/>
    <x v="1"/>
  </r>
  <r>
    <n v="3037"/>
    <n v="1983"/>
    <x v="2"/>
    <x v="1"/>
    <x v="2"/>
    <n v="50150"/>
    <x v="1"/>
    <n v="0"/>
    <n v="0"/>
    <x v="0"/>
    <x v="87"/>
    <n v="32"/>
    <x v="1"/>
    <n v="0"/>
    <n v="135"/>
    <n v="46"/>
    <n v="92"/>
    <n v="65"/>
    <n v="61"/>
    <n v="11"/>
    <n v="410"/>
    <n v="2"/>
    <n v="5"/>
    <n v="2"/>
    <n v="7"/>
    <n v="14"/>
    <n v="5"/>
    <x v="0"/>
  </r>
  <r>
    <n v="1473"/>
    <n v="1960"/>
    <x v="0"/>
    <x v="2"/>
    <x v="0"/>
    <n v="47823"/>
    <x v="1"/>
    <n v="0"/>
    <n v="1"/>
    <x v="2"/>
    <x v="88"/>
    <n v="0"/>
    <x v="1"/>
    <n v="0"/>
    <n v="53"/>
    <n v="1"/>
    <n v="5"/>
    <n v="2"/>
    <n v="1"/>
    <n v="10"/>
    <n v="72"/>
    <n v="2"/>
    <n v="2"/>
    <n v="0"/>
    <n v="3"/>
    <n v="5"/>
    <n v="8"/>
    <x v="0"/>
  </r>
  <r>
    <n v="1016"/>
    <n v="1959"/>
    <x v="0"/>
    <x v="1"/>
    <x v="0"/>
    <n v="34554"/>
    <x v="3"/>
    <n v="0"/>
    <n v="1"/>
    <x v="2"/>
    <x v="89"/>
    <n v="43"/>
    <x v="1"/>
    <n v="0"/>
    <n v="41"/>
    <n v="1"/>
    <n v="6"/>
    <n v="2"/>
    <n v="0"/>
    <n v="5"/>
    <n v="55"/>
    <n v="2"/>
    <n v="2"/>
    <n v="0"/>
    <n v="3"/>
    <n v="5"/>
    <n v="6"/>
    <x v="0"/>
  </r>
  <r>
    <n v="4518"/>
    <n v="1979"/>
    <x v="3"/>
    <x v="0"/>
    <x v="1"/>
    <n v="85693"/>
    <x v="2"/>
    <n v="0"/>
    <n v="1"/>
    <x v="2"/>
    <x v="90"/>
    <n v="59"/>
    <x v="0"/>
    <n v="0"/>
    <n v="386"/>
    <n v="172"/>
    <n v="183"/>
    <n v="185"/>
    <n v="132"/>
    <n v="111"/>
    <n v="1169"/>
    <n v="2"/>
    <n v="9"/>
    <n v="5"/>
    <n v="11"/>
    <n v="25"/>
    <n v="5"/>
    <x v="0"/>
  </r>
  <r>
    <n v="9370"/>
    <n v="1945"/>
    <x v="4"/>
    <x v="1"/>
    <x v="2"/>
    <n v="65846"/>
    <x v="0"/>
    <n v="0"/>
    <n v="0"/>
    <x v="0"/>
    <x v="91"/>
    <n v="68"/>
    <x v="0"/>
    <n v="0"/>
    <n v="562"/>
    <n v="81"/>
    <n v="276"/>
    <n v="80"/>
    <n v="40"/>
    <n v="81"/>
    <n v="1120"/>
    <n v="1"/>
    <n v="6"/>
    <n v="3"/>
    <n v="6"/>
    <n v="15"/>
    <n v="4"/>
    <x v="0"/>
  </r>
  <r>
    <n v="8908"/>
    <n v="1959"/>
    <x v="0"/>
    <x v="0"/>
    <x v="2"/>
    <n v="87195"/>
    <x v="2"/>
    <n v="0"/>
    <n v="0"/>
    <x v="0"/>
    <x v="92"/>
    <n v="35"/>
    <x v="1"/>
    <n v="0"/>
    <n v="217"/>
    <n v="76"/>
    <n v="690"/>
    <n v="50"/>
    <n v="26"/>
    <n v="38"/>
    <n v="1097"/>
    <n v="1"/>
    <n v="3"/>
    <n v="11"/>
    <n v="5"/>
    <n v="19"/>
    <n v="1"/>
    <x v="1"/>
  </r>
  <r>
    <n v="8373"/>
    <n v="1979"/>
    <x v="3"/>
    <x v="3"/>
    <x v="1"/>
    <n v="24594"/>
    <x v="3"/>
    <n v="1"/>
    <n v="0"/>
    <x v="2"/>
    <x v="93"/>
    <n v="94"/>
    <x v="0"/>
    <n v="0"/>
    <n v="1"/>
    <n v="3"/>
    <n v="6"/>
    <n v="10"/>
    <n v="0"/>
    <n v="9"/>
    <n v="29"/>
    <n v="1"/>
    <n v="1"/>
    <n v="0"/>
    <n v="3"/>
    <n v="4"/>
    <n v="5"/>
    <x v="0"/>
  </r>
  <r>
    <n v="7533"/>
    <n v="1964"/>
    <x v="1"/>
    <x v="0"/>
    <x v="2"/>
    <n v="49096"/>
    <x v="1"/>
    <n v="1"/>
    <n v="1"/>
    <x v="1"/>
    <x v="94"/>
    <n v="15"/>
    <x v="1"/>
    <n v="0"/>
    <n v="144"/>
    <n v="1"/>
    <n v="32"/>
    <n v="2"/>
    <n v="1"/>
    <n v="7"/>
    <n v="187"/>
    <n v="4"/>
    <n v="4"/>
    <n v="1"/>
    <n v="4"/>
    <n v="9"/>
    <n v="7"/>
    <x v="0"/>
  </r>
  <r>
    <n v="2683"/>
    <n v="1969"/>
    <x v="1"/>
    <x v="0"/>
    <x v="2"/>
    <n v="52413"/>
    <x v="0"/>
    <n v="0"/>
    <n v="2"/>
    <x v="1"/>
    <x v="95"/>
    <n v="56"/>
    <x v="0"/>
    <n v="0"/>
    <n v="295"/>
    <n v="106"/>
    <n v="271"/>
    <n v="75"/>
    <n v="98"/>
    <n v="65"/>
    <n v="910"/>
    <n v="4"/>
    <n v="6"/>
    <n v="4"/>
    <n v="12"/>
    <n v="22"/>
    <n v="6"/>
    <x v="0"/>
  </r>
  <r>
    <n v="3629"/>
    <n v="1978"/>
    <x v="3"/>
    <x v="0"/>
    <x v="0"/>
    <n v="38557"/>
    <x v="1"/>
    <n v="1"/>
    <n v="0"/>
    <x v="2"/>
    <x v="68"/>
    <n v="17"/>
    <x v="1"/>
    <n v="0"/>
    <n v="76"/>
    <n v="3"/>
    <n v="31"/>
    <n v="4"/>
    <n v="4"/>
    <n v="27"/>
    <n v="145"/>
    <n v="2"/>
    <n v="3"/>
    <n v="1"/>
    <n v="3"/>
    <n v="7"/>
    <n v="7"/>
    <x v="0"/>
  </r>
  <r>
    <n v="10991"/>
    <n v="1960"/>
    <x v="0"/>
    <x v="2"/>
    <x v="2"/>
    <n v="89058"/>
    <x v="2"/>
    <n v="0"/>
    <n v="0"/>
    <x v="0"/>
    <x v="96"/>
    <n v="18"/>
    <x v="1"/>
    <n v="0"/>
    <n v="454"/>
    <n v="194"/>
    <n v="106"/>
    <n v="31"/>
    <n v="22"/>
    <n v="43"/>
    <n v="850"/>
    <n v="1"/>
    <n v="5"/>
    <n v="4"/>
    <n v="4"/>
    <n v="13"/>
    <n v="2"/>
    <x v="1"/>
  </r>
  <r>
    <n v="5077"/>
    <n v="1979"/>
    <x v="3"/>
    <x v="0"/>
    <x v="1"/>
    <n v="77298"/>
    <x v="2"/>
    <n v="0"/>
    <n v="1"/>
    <x v="2"/>
    <x v="97"/>
    <n v="46"/>
    <x v="1"/>
    <n v="0"/>
    <n v="425"/>
    <n v="115"/>
    <n v="292"/>
    <n v="23"/>
    <n v="35"/>
    <n v="79"/>
    <n v="969"/>
    <n v="1"/>
    <n v="6"/>
    <n v="6"/>
    <n v="11"/>
    <n v="23"/>
    <n v="3"/>
    <x v="1"/>
  </r>
  <r>
    <n v="7431"/>
    <n v="1991"/>
    <x v="2"/>
    <x v="1"/>
    <x v="0"/>
    <n v="68126"/>
    <x v="0"/>
    <n v="0"/>
    <n v="0"/>
    <x v="0"/>
    <x v="98"/>
    <n v="40"/>
    <x v="1"/>
    <n v="0"/>
    <n v="1332"/>
    <n v="17"/>
    <n v="311"/>
    <n v="23"/>
    <n v="51"/>
    <n v="86"/>
    <n v="1820"/>
    <n v="1"/>
    <n v="7"/>
    <n v="4"/>
    <n v="5"/>
    <n v="16"/>
    <n v="9"/>
    <x v="1"/>
  </r>
  <r>
    <n v="3267"/>
    <n v="1963"/>
    <x v="1"/>
    <x v="2"/>
    <x v="1"/>
    <n v="57288"/>
    <x v="0"/>
    <n v="0"/>
    <n v="1"/>
    <x v="2"/>
    <x v="99"/>
    <n v="27"/>
    <x v="1"/>
    <n v="0"/>
    <n v="527"/>
    <n v="0"/>
    <n v="21"/>
    <n v="0"/>
    <n v="0"/>
    <n v="60"/>
    <n v="608"/>
    <n v="3"/>
    <n v="8"/>
    <n v="1"/>
    <n v="8"/>
    <n v="17"/>
    <n v="6"/>
    <x v="1"/>
  </r>
  <r>
    <n v="999"/>
    <n v="1991"/>
    <x v="2"/>
    <x v="0"/>
    <x v="0"/>
    <n v="86037"/>
    <x v="2"/>
    <n v="0"/>
    <n v="0"/>
    <x v="0"/>
    <x v="22"/>
    <n v="95"/>
    <x v="0"/>
    <n v="0"/>
    <n v="490"/>
    <n v="44"/>
    <n v="125"/>
    <n v="29"/>
    <n v="20"/>
    <n v="22"/>
    <n v="730"/>
    <n v="1"/>
    <n v="6"/>
    <n v="7"/>
    <n v="11"/>
    <n v="24"/>
    <n v="3"/>
    <x v="0"/>
  </r>
  <r>
    <n v="9215"/>
    <n v="1980"/>
    <x v="3"/>
    <x v="1"/>
    <x v="2"/>
    <n v="43974"/>
    <x v="1"/>
    <n v="1"/>
    <n v="0"/>
    <x v="2"/>
    <x v="100"/>
    <n v="19"/>
    <x v="1"/>
    <n v="0"/>
    <n v="378"/>
    <n v="0"/>
    <n v="101"/>
    <n v="0"/>
    <n v="0"/>
    <n v="72"/>
    <n v="551"/>
    <n v="5"/>
    <n v="6"/>
    <n v="4"/>
    <n v="6"/>
    <n v="16"/>
    <n v="7"/>
    <x v="0"/>
  </r>
  <r>
    <n v="2286"/>
    <n v="1962"/>
    <x v="0"/>
    <x v="0"/>
    <x v="0"/>
    <n v="50785"/>
    <x v="1"/>
    <n v="1"/>
    <n v="1"/>
    <x v="1"/>
    <x v="101"/>
    <n v="27"/>
    <x v="1"/>
    <n v="0"/>
    <n v="64"/>
    <n v="1"/>
    <n v="21"/>
    <n v="0"/>
    <n v="1"/>
    <n v="27"/>
    <n v="114"/>
    <n v="2"/>
    <n v="2"/>
    <n v="1"/>
    <n v="3"/>
    <n v="6"/>
    <n v="6"/>
    <x v="0"/>
  </r>
  <r>
    <n v="1592"/>
    <n v="1970"/>
    <x v="1"/>
    <x v="0"/>
    <x v="2"/>
    <n v="90765"/>
    <x v="2"/>
    <n v="0"/>
    <n v="0"/>
    <x v="0"/>
    <x v="102"/>
    <n v="25"/>
    <x v="1"/>
    <n v="0"/>
    <n v="547"/>
    <n v="99"/>
    <n v="812"/>
    <n v="151"/>
    <n v="82"/>
    <n v="33"/>
    <n v="1724"/>
    <n v="0"/>
    <n v="4"/>
    <n v="6"/>
    <n v="5"/>
    <n v="15"/>
    <n v="1"/>
    <x v="1"/>
  </r>
  <r>
    <n v="367"/>
    <n v="1978"/>
    <x v="3"/>
    <x v="2"/>
    <x v="2"/>
    <n v="36550"/>
    <x v="1"/>
    <n v="1"/>
    <n v="0"/>
    <x v="2"/>
    <x v="103"/>
    <n v="74"/>
    <x v="0"/>
    <n v="0"/>
    <n v="47"/>
    <n v="90"/>
    <n v="94"/>
    <n v="123"/>
    <n v="103"/>
    <n v="120"/>
    <n v="577"/>
    <n v="5"/>
    <n v="9"/>
    <n v="1"/>
    <n v="5"/>
    <n v="15"/>
    <n v="9"/>
    <x v="0"/>
  </r>
  <r>
    <n v="5234"/>
    <n v="1967"/>
    <x v="1"/>
    <x v="2"/>
    <x v="1"/>
    <n v="30753"/>
    <x v="3"/>
    <n v="1"/>
    <n v="1"/>
    <x v="1"/>
    <x v="104"/>
    <n v="85"/>
    <x v="0"/>
    <n v="0"/>
    <n v="12"/>
    <n v="5"/>
    <n v="25"/>
    <n v="0"/>
    <n v="9"/>
    <n v="30"/>
    <n v="81"/>
    <n v="2"/>
    <n v="1"/>
    <n v="1"/>
    <n v="3"/>
    <n v="5"/>
    <n v="5"/>
    <x v="0"/>
  </r>
  <r>
    <n v="9862"/>
    <n v="1969"/>
    <x v="1"/>
    <x v="0"/>
    <x v="1"/>
    <n v="21918"/>
    <x v="3"/>
    <n v="1"/>
    <n v="0"/>
    <x v="2"/>
    <x v="105"/>
    <n v="37"/>
    <x v="1"/>
    <n v="0"/>
    <n v="1"/>
    <n v="6"/>
    <n v="7"/>
    <n v="11"/>
    <n v="5"/>
    <n v="3"/>
    <n v="33"/>
    <n v="2"/>
    <n v="2"/>
    <n v="0"/>
    <n v="3"/>
    <n v="5"/>
    <n v="6"/>
    <x v="0"/>
  </r>
  <r>
    <n v="9805"/>
    <n v="1953"/>
    <x v="0"/>
    <x v="2"/>
    <x v="1"/>
    <n v="56129"/>
    <x v="0"/>
    <n v="0"/>
    <n v="1"/>
    <x v="2"/>
    <x v="87"/>
    <n v="65"/>
    <x v="0"/>
    <n v="0"/>
    <n v="320"/>
    <n v="48"/>
    <n v="133"/>
    <n v="39"/>
    <n v="72"/>
    <n v="48"/>
    <n v="660"/>
    <n v="4"/>
    <n v="6"/>
    <n v="2"/>
    <n v="10"/>
    <n v="18"/>
    <n v="4"/>
    <x v="0"/>
  </r>
  <r>
    <n v="6205"/>
    <n v="1967"/>
    <x v="1"/>
    <x v="2"/>
    <x v="0"/>
    <n v="32557"/>
    <x v="3"/>
    <n v="1"/>
    <n v="0"/>
    <x v="2"/>
    <x v="106"/>
    <n v="13"/>
    <x v="1"/>
    <n v="0"/>
    <n v="34"/>
    <n v="3"/>
    <n v="29"/>
    <n v="0"/>
    <n v="4"/>
    <n v="10"/>
    <n v="80"/>
    <n v="3"/>
    <n v="2"/>
    <n v="1"/>
    <n v="3"/>
    <n v="6"/>
    <n v="5"/>
    <x v="0"/>
  </r>
  <r>
    <n v="8442"/>
    <n v="1985"/>
    <x v="2"/>
    <x v="2"/>
    <x v="2"/>
    <n v="19510"/>
    <x v="3"/>
    <n v="2"/>
    <n v="0"/>
    <x v="1"/>
    <x v="71"/>
    <n v="63"/>
    <x v="0"/>
    <n v="0"/>
    <n v="9"/>
    <n v="0"/>
    <n v="7"/>
    <n v="3"/>
    <n v="4"/>
    <n v="7"/>
    <n v="30"/>
    <n v="2"/>
    <n v="1"/>
    <n v="0"/>
    <n v="3"/>
    <n v="4"/>
    <n v="7"/>
    <x v="0"/>
  </r>
  <r>
    <n v="7386"/>
    <n v="1976"/>
    <x v="3"/>
    <x v="0"/>
    <x v="3"/>
    <n v="30992"/>
    <x v="3"/>
    <n v="1"/>
    <n v="0"/>
    <x v="2"/>
    <x v="107"/>
    <n v="83"/>
    <x v="0"/>
    <n v="0"/>
    <n v="17"/>
    <n v="0"/>
    <n v="14"/>
    <n v="7"/>
    <n v="3"/>
    <n v="2"/>
    <n v="43"/>
    <n v="1"/>
    <n v="1"/>
    <n v="0"/>
    <n v="3"/>
    <n v="4"/>
    <n v="7"/>
    <x v="0"/>
  </r>
  <r>
    <n v="7215"/>
    <n v="1983"/>
    <x v="2"/>
    <x v="0"/>
    <x v="0"/>
    <n v="101970"/>
    <x v="2"/>
    <n v="0"/>
    <n v="0"/>
    <x v="0"/>
    <x v="36"/>
    <n v="69"/>
    <x v="0"/>
    <n v="0"/>
    <n v="722"/>
    <n v="27"/>
    <n v="102"/>
    <n v="44"/>
    <n v="72"/>
    <n v="168"/>
    <n v="1135"/>
    <n v="0"/>
    <n v="6"/>
    <n v="8"/>
    <n v="13"/>
    <n v="27"/>
    <n v="2"/>
    <x v="0"/>
  </r>
  <r>
    <n v="1491"/>
    <n v="1965"/>
    <x v="1"/>
    <x v="2"/>
    <x v="1"/>
    <n v="71488"/>
    <x v="2"/>
    <n v="0"/>
    <n v="0"/>
    <x v="0"/>
    <x v="55"/>
    <n v="87"/>
    <x v="0"/>
    <n v="0"/>
    <n v="162"/>
    <n v="33"/>
    <n v="124"/>
    <n v="40"/>
    <n v="28"/>
    <n v="172"/>
    <n v="559"/>
    <n v="2"/>
    <n v="3"/>
    <n v="4"/>
    <n v="7"/>
    <n v="14"/>
    <n v="1"/>
    <x v="0"/>
  </r>
  <r>
    <n v="11071"/>
    <n v="1984"/>
    <x v="2"/>
    <x v="0"/>
    <x v="0"/>
    <n v="79607"/>
    <x v="2"/>
    <n v="0"/>
    <n v="0"/>
    <x v="0"/>
    <x v="108"/>
    <n v="37"/>
    <x v="1"/>
    <n v="0"/>
    <n v="450"/>
    <n v="133"/>
    <n v="951"/>
    <n v="173"/>
    <n v="0"/>
    <n v="216"/>
    <n v="1923"/>
    <n v="1"/>
    <n v="3"/>
    <n v="6"/>
    <n v="6"/>
    <n v="15"/>
    <n v="1"/>
    <x v="1"/>
  </r>
  <r>
    <n v="3381"/>
    <n v="1953"/>
    <x v="0"/>
    <x v="2"/>
    <x v="2"/>
    <n v="54348"/>
    <x v="0"/>
    <n v="1"/>
    <n v="1"/>
    <x v="1"/>
    <x v="109"/>
    <n v="51"/>
    <x v="0"/>
    <n v="0"/>
    <n v="70"/>
    <n v="0"/>
    <n v="16"/>
    <n v="0"/>
    <n v="0"/>
    <n v="4"/>
    <n v="90"/>
    <n v="2"/>
    <n v="2"/>
    <n v="0"/>
    <n v="4"/>
    <n v="6"/>
    <n v="6"/>
    <x v="0"/>
  </r>
  <r>
    <n v="8268"/>
    <n v="1961"/>
    <x v="0"/>
    <x v="1"/>
    <x v="2"/>
    <m/>
    <x v="3"/>
    <n v="0"/>
    <n v="1"/>
    <x v="2"/>
    <x v="104"/>
    <n v="23"/>
    <x v="1"/>
    <n v="0"/>
    <n v="352"/>
    <n v="0"/>
    <n v="27"/>
    <n v="10"/>
    <n v="0"/>
    <n v="15"/>
    <n v="404"/>
    <n v="3"/>
    <n v="6"/>
    <n v="1"/>
    <n v="7"/>
    <n v="14"/>
    <n v="6"/>
    <x v="0"/>
  </r>
  <r>
    <n v="11051"/>
    <n v="1956"/>
    <x v="0"/>
    <x v="1"/>
    <x v="1"/>
    <n v="77376"/>
    <x v="2"/>
    <n v="1"/>
    <n v="1"/>
    <x v="1"/>
    <x v="110"/>
    <n v="72"/>
    <x v="0"/>
    <n v="0"/>
    <n v="492"/>
    <n v="19"/>
    <n v="110"/>
    <n v="16"/>
    <n v="12"/>
    <n v="12"/>
    <n v="661"/>
    <n v="4"/>
    <n v="6"/>
    <n v="3"/>
    <n v="10"/>
    <n v="19"/>
    <n v="4"/>
    <x v="0"/>
  </r>
  <r>
    <n v="8026"/>
    <n v="1952"/>
    <x v="4"/>
    <x v="0"/>
    <x v="2"/>
    <n v="62998"/>
    <x v="0"/>
    <n v="0"/>
    <n v="1"/>
    <x v="2"/>
    <x v="111"/>
    <n v="10"/>
    <x v="1"/>
    <n v="0"/>
    <n v="120"/>
    <n v="58"/>
    <n v="73"/>
    <n v="65"/>
    <n v="89"/>
    <n v="58"/>
    <n v="463"/>
    <n v="5"/>
    <n v="5"/>
    <n v="4"/>
    <n v="5"/>
    <n v="14"/>
    <n v="5"/>
    <x v="0"/>
  </r>
  <r>
    <n v="433"/>
    <n v="1958"/>
    <x v="0"/>
    <x v="2"/>
    <x v="0"/>
    <n v="61331"/>
    <x v="0"/>
    <n v="1"/>
    <n v="1"/>
    <x v="1"/>
    <x v="112"/>
    <n v="42"/>
    <x v="1"/>
    <n v="0"/>
    <n v="534"/>
    <n v="5"/>
    <n v="47"/>
    <n v="0"/>
    <n v="5"/>
    <n v="41"/>
    <n v="632"/>
    <n v="5"/>
    <n v="11"/>
    <n v="1"/>
    <n v="6"/>
    <n v="18"/>
    <n v="8"/>
    <x v="1"/>
  </r>
  <r>
    <n v="9597"/>
    <n v="1969"/>
    <x v="1"/>
    <x v="0"/>
    <x v="2"/>
    <n v="73448"/>
    <x v="2"/>
    <n v="0"/>
    <n v="0"/>
    <x v="0"/>
    <x v="3"/>
    <n v="10"/>
    <x v="1"/>
    <n v="0"/>
    <n v="236"/>
    <n v="106"/>
    <n v="189"/>
    <n v="23"/>
    <n v="41"/>
    <n v="130"/>
    <n v="725"/>
    <n v="1"/>
    <n v="7"/>
    <n v="2"/>
    <n v="9"/>
    <n v="18"/>
    <n v="4"/>
    <x v="1"/>
  </r>
  <r>
    <n v="1295"/>
    <n v="1963"/>
    <x v="1"/>
    <x v="0"/>
    <x v="2"/>
    <m/>
    <x v="3"/>
    <n v="0"/>
    <n v="1"/>
    <x v="2"/>
    <x v="76"/>
    <n v="96"/>
    <x v="0"/>
    <n v="0"/>
    <n v="231"/>
    <n v="65"/>
    <n v="196"/>
    <n v="38"/>
    <n v="71"/>
    <n v="124"/>
    <n v="725"/>
    <n v="1"/>
    <n v="6"/>
    <n v="5"/>
    <n v="7"/>
    <n v="18"/>
    <n v="4"/>
    <x v="0"/>
  </r>
  <r>
    <n v="5290"/>
    <n v="1964"/>
    <x v="1"/>
    <x v="1"/>
    <x v="2"/>
    <n v="41551"/>
    <x v="1"/>
    <n v="1"/>
    <n v="1"/>
    <x v="1"/>
    <x v="113"/>
    <n v="51"/>
    <x v="0"/>
    <n v="0"/>
    <n v="220"/>
    <n v="0"/>
    <n v="33"/>
    <n v="3"/>
    <n v="0"/>
    <n v="23"/>
    <n v="279"/>
    <n v="5"/>
    <n v="5"/>
    <n v="1"/>
    <n v="5"/>
    <n v="11"/>
    <n v="8"/>
    <x v="0"/>
  </r>
  <r>
    <n v="1685"/>
    <n v="1967"/>
    <x v="1"/>
    <x v="1"/>
    <x v="1"/>
    <n v="62981"/>
    <x v="0"/>
    <n v="0"/>
    <n v="0"/>
    <x v="0"/>
    <x v="65"/>
    <n v="21"/>
    <x v="1"/>
    <n v="0"/>
    <n v="796"/>
    <n v="14"/>
    <n v="590"/>
    <n v="38"/>
    <n v="44"/>
    <n v="0"/>
    <n v="1482"/>
    <n v="1"/>
    <n v="4"/>
    <n v="5"/>
    <n v="13"/>
    <n v="22"/>
    <n v="3"/>
    <x v="1"/>
  </r>
  <r>
    <n v="5342"/>
    <n v="1976"/>
    <x v="3"/>
    <x v="3"/>
    <x v="3"/>
    <n v="9548"/>
    <x v="3"/>
    <n v="1"/>
    <n v="0"/>
    <x v="2"/>
    <x v="17"/>
    <n v="31"/>
    <x v="1"/>
    <n v="0"/>
    <n v="0"/>
    <n v="1"/>
    <n v="3"/>
    <n v="10"/>
    <n v="6"/>
    <n v="9"/>
    <n v="29"/>
    <n v="2"/>
    <n v="1"/>
    <n v="0"/>
    <n v="3"/>
    <n v="4"/>
    <n v="8"/>
    <x v="0"/>
  </r>
  <r>
    <n v="9579"/>
    <n v="1959"/>
    <x v="0"/>
    <x v="1"/>
    <x v="2"/>
    <n v="33762"/>
    <x v="3"/>
    <n v="2"/>
    <n v="1"/>
    <x v="3"/>
    <x v="114"/>
    <n v="61"/>
    <x v="0"/>
    <n v="0"/>
    <n v="53"/>
    <n v="1"/>
    <n v="34"/>
    <n v="2"/>
    <n v="0"/>
    <n v="16"/>
    <n v="106"/>
    <n v="3"/>
    <n v="2"/>
    <n v="2"/>
    <n v="2"/>
    <n v="6"/>
    <n v="8"/>
    <x v="0"/>
  </r>
  <r>
    <n v="7660"/>
    <n v="1973"/>
    <x v="3"/>
    <x v="1"/>
    <x v="0"/>
    <n v="35860"/>
    <x v="1"/>
    <n v="1"/>
    <n v="1"/>
    <x v="1"/>
    <x v="115"/>
    <n v="37"/>
    <x v="1"/>
    <n v="0"/>
    <n v="15"/>
    <n v="0"/>
    <n v="8"/>
    <n v="4"/>
    <n v="2"/>
    <n v="20"/>
    <n v="49"/>
    <n v="2"/>
    <n v="1"/>
    <n v="1"/>
    <n v="2"/>
    <n v="4"/>
    <n v="5"/>
    <x v="0"/>
  </r>
  <r>
    <n v="1461"/>
    <n v="1965"/>
    <x v="1"/>
    <x v="1"/>
    <x v="3"/>
    <n v="36921"/>
    <x v="1"/>
    <n v="1"/>
    <n v="1"/>
    <x v="1"/>
    <x v="116"/>
    <n v="74"/>
    <x v="0"/>
    <n v="0"/>
    <n v="17"/>
    <n v="1"/>
    <n v="12"/>
    <n v="3"/>
    <n v="1"/>
    <n v="4"/>
    <n v="38"/>
    <n v="2"/>
    <n v="2"/>
    <n v="0"/>
    <n v="3"/>
    <n v="5"/>
    <n v="7"/>
    <x v="0"/>
  </r>
  <r>
    <n v="821"/>
    <n v="1992"/>
    <x v="2"/>
    <x v="2"/>
    <x v="0"/>
    <n v="92859"/>
    <x v="2"/>
    <n v="0"/>
    <n v="0"/>
    <x v="0"/>
    <x v="117"/>
    <n v="46"/>
    <x v="1"/>
    <n v="0"/>
    <n v="962"/>
    <n v="61"/>
    <n v="921"/>
    <n v="52"/>
    <n v="61"/>
    <n v="20"/>
    <n v="2077"/>
    <n v="1"/>
    <n v="5"/>
    <n v="4"/>
    <n v="12"/>
    <n v="21"/>
    <n v="2"/>
    <x v="1"/>
  </r>
  <r>
    <n v="11084"/>
    <n v="1976"/>
    <x v="3"/>
    <x v="2"/>
    <x v="1"/>
    <n v="65104"/>
    <x v="0"/>
    <n v="0"/>
    <n v="1"/>
    <x v="2"/>
    <x v="105"/>
    <n v="4"/>
    <x v="1"/>
    <n v="0"/>
    <n v="738"/>
    <n v="0"/>
    <n v="232"/>
    <n v="13"/>
    <n v="20"/>
    <n v="50"/>
    <n v="1053"/>
    <n v="2"/>
    <n v="3"/>
    <n v="5"/>
    <n v="7"/>
    <n v="15"/>
    <n v="7"/>
    <x v="1"/>
  </r>
  <r>
    <n v="8690"/>
    <n v="1962"/>
    <x v="0"/>
    <x v="0"/>
    <x v="2"/>
    <n v="86111"/>
    <x v="2"/>
    <n v="0"/>
    <n v="0"/>
    <x v="0"/>
    <x v="118"/>
    <n v="73"/>
    <x v="0"/>
    <n v="0"/>
    <n v="399"/>
    <n v="28"/>
    <n v="756"/>
    <n v="36"/>
    <n v="40"/>
    <n v="126"/>
    <n v="1385"/>
    <n v="1"/>
    <n v="5"/>
    <n v="7"/>
    <n v="10"/>
    <n v="22"/>
    <n v="2"/>
    <x v="0"/>
  </r>
  <r>
    <n v="2937"/>
    <n v="1974"/>
    <x v="3"/>
    <x v="1"/>
    <x v="0"/>
    <n v="68352"/>
    <x v="0"/>
    <n v="0"/>
    <n v="1"/>
    <x v="2"/>
    <x v="119"/>
    <n v="47"/>
    <x v="1"/>
    <n v="0"/>
    <n v="614"/>
    <n v="16"/>
    <n v="132"/>
    <n v="43"/>
    <n v="33"/>
    <n v="33"/>
    <n v="871"/>
    <n v="3"/>
    <n v="8"/>
    <n v="5"/>
    <n v="9"/>
    <n v="22"/>
    <n v="6"/>
    <x v="1"/>
  </r>
  <r>
    <n v="9701"/>
    <n v="1988"/>
    <x v="2"/>
    <x v="0"/>
    <x v="1"/>
    <n v="41883"/>
    <x v="1"/>
    <n v="1"/>
    <n v="0"/>
    <x v="2"/>
    <x v="120"/>
    <n v="13"/>
    <x v="1"/>
    <n v="0"/>
    <n v="32"/>
    <n v="34"/>
    <n v="41"/>
    <n v="73"/>
    <n v="16"/>
    <n v="116"/>
    <n v="312"/>
    <n v="3"/>
    <n v="4"/>
    <n v="2"/>
    <n v="3"/>
    <n v="9"/>
    <n v="7"/>
    <x v="0"/>
  </r>
  <r>
    <n v="9949"/>
    <n v="1976"/>
    <x v="3"/>
    <x v="0"/>
    <x v="2"/>
    <n v="59809"/>
    <x v="0"/>
    <n v="0"/>
    <n v="2"/>
    <x v="1"/>
    <x v="121"/>
    <n v="36"/>
    <x v="1"/>
    <n v="0"/>
    <n v="598"/>
    <n v="16"/>
    <n v="141"/>
    <n v="32"/>
    <n v="41"/>
    <n v="49"/>
    <n v="877"/>
    <n v="3"/>
    <n v="3"/>
    <n v="3"/>
    <n v="6"/>
    <n v="12"/>
    <n v="8"/>
    <x v="0"/>
  </r>
  <r>
    <n v="10837"/>
    <n v="1975"/>
    <x v="3"/>
    <x v="0"/>
    <x v="2"/>
    <n v="23957"/>
    <x v="3"/>
    <n v="1"/>
    <n v="0"/>
    <x v="2"/>
    <x v="122"/>
    <n v="47"/>
    <x v="1"/>
    <n v="0"/>
    <n v="2"/>
    <n v="1"/>
    <n v="18"/>
    <n v="20"/>
    <n v="11"/>
    <n v="16"/>
    <n v="68"/>
    <n v="1"/>
    <n v="2"/>
    <n v="0"/>
    <n v="3"/>
    <n v="5"/>
    <n v="6"/>
    <x v="0"/>
  </r>
  <r>
    <n v="3120"/>
    <n v="1981"/>
    <x v="3"/>
    <x v="0"/>
    <x v="1"/>
    <n v="38547"/>
    <x v="1"/>
    <n v="1"/>
    <n v="0"/>
    <x v="2"/>
    <x v="119"/>
    <n v="49"/>
    <x v="0"/>
    <n v="1"/>
    <n v="6"/>
    <n v="1"/>
    <n v="10"/>
    <n v="0"/>
    <n v="1"/>
    <n v="4"/>
    <n v="22"/>
    <n v="1"/>
    <n v="1"/>
    <n v="0"/>
    <n v="2"/>
    <n v="3"/>
    <n v="8"/>
    <x v="0"/>
  </r>
  <r>
    <n v="5885"/>
    <n v="1973"/>
    <x v="3"/>
    <x v="2"/>
    <x v="2"/>
    <n v="35688"/>
    <x v="1"/>
    <n v="2"/>
    <n v="1"/>
    <x v="3"/>
    <x v="123"/>
    <n v="94"/>
    <x v="0"/>
    <n v="0"/>
    <n v="73"/>
    <n v="3"/>
    <n v="90"/>
    <n v="12"/>
    <n v="1"/>
    <n v="32"/>
    <n v="211"/>
    <n v="7"/>
    <n v="4"/>
    <n v="1"/>
    <n v="4"/>
    <n v="9"/>
    <n v="8"/>
    <x v="0"/>
  </r>
  <r>
    <n v="4050"/>
    <n v="1966"/>
    <x v="1"/>
    <x v="2"/>
    <x v="2"/>
    <n v="49605"/>
    <x v="1"/>
    <n v="0"/>
    <n v="0"/>
    <x v="0"/>
    <x v="124"/>
    <n v="65"/>
    <x v="0"/>
    <n v="0"/>
    <n v="42"/>
    <n v="16"/>
    <n v="29"/>
    <n v="12"/>
    <n v="20"/>
    <n v="8"/>
    <n v="127"/>
    <n v="1"/>
    <n v="2"/>
    <n v="1"/>
    <n v="4"/>
    <n v="7"/>
    <n v="3"/>
    <x v="0"/>
  </r>
  <r>
    <n v="3830"/>
    <n v="1953"/>
    <x v="0"/>
    <x v="2"/>
    <x v="2"/>
    <n v="59354"/>
    <x v="0"/>
    <n v="0"/>
    <n v="2"/>
    <x v="1"/>
    <x v="125"/>
    <n v="59"/>
    <x v="0"/>
    <n v="0"/>
    <n v="295"/>
    <n v="21"/>
    <n v="78"/>
    <n v="39"/>
    <n v="13"/>
    <n v="13"/>
    <n v="459"/>
    <n v="1"/>
    <n v="4"/>
    <n v="4"/>
    <n v="7"/>
    <n v="15"/>
    <n v="3"/>
    <x v="0"/>
  </r>
  <r>
    <n v="7987"/>
    <n v="1969"/>
    <x v="1"/>
    <x v="0"/>
    <x v="2"/>
    <n v="65747"/>
    <x v="0"/>
    <n v="0"/>
    <n v="1"/>
    <x v="2"/>
    <x v="126"/>
    <n v="96"/>
    <x v="0"/>
    <n v="0"/>
    <n v="346"/>
    <n v="17"/>
    <n v="48"/>
    <n v="23"/>
    <n v="13"/>
    <n v="13"/>
    <n v="460"/>
    <n v="4"/>
    <n v="8"/>
    <n v="1"/>
    <n v="6"/>
    <n v="15"/>
    <n v="6"/>
    <x v="0"/>
  </r>
  <r>
    <n v="7798"/>
    <n v="1972"/>
    <x v="1"/>
    <x v="2"/>
    <x v="1"/>
    <n v="46344"/>
    <x v="1"/>
    <n v="0"/>
    <n v="1"/>
    <x v="2"/>
    <x v="127"/>
    <n v="28"/>
    <x v="1"/>
    <n v="0"/>
    <n v="233"/>
    <n v="20"/>
    <n v="57"/>
    <n v="8"/>
    <n v="20"/>
    <n v="91"/>
    <n v="429"/>
    <n v="4"/>
    <n v="7"/>
    <n v="1"/>
    <n v="5"/>
    <n v="13"/>
    <n v="7"/>
    <x v="0"/>
  </r>
  <r>
    <n v="92"/>
    <n v="1988"/>
    <x v="2"/>
    <x v="0"/>
    <x v="0"/>
    <n v="34176"/>
    <x v="3"/>
    <n v="1"/>
    <n v="0"/>
    <x v="2"/>
    <x v="44"/>
    <n v="12"/>
    <x v="1"/>
    <n v="0"/>
    <n v="5"/>
    <n v="7"/>
    <n v="24"/>
    <n v="19"/>
    <n v="14"/>
    <n v="20"/>
    <n v="89"/>
    <n v="4"/>
    <n v="3"/>
    <n v="0"/>
    <n v="4"/>
    <n v="7"/>
    <n v="6"/>
    <x v="0"/>
  </r>
  <r>
    <n v="7055"/>
    <n v="1952"/>
    <x v="4"/>
    <x v="1"/>
    <x v="1"/>
    <n v="61010"/>
    <x v="0"/>
    <n v="0"/>
    <n v="1"/>
    <x v="2"/>
    <x v="128"/>
    <n v="57"/>
    <x v="0"/>
    <n v="0"/>
    <n v="888"/>
    <n v="0"/>
    <n v="57"/>
    <n v="0"/>
    <n v="0"/>
    <n v="76"/>
    <n v="1021"/>
    <n v="2"/>
    <n v="8"/>
    <n v="5"/>
    <n v="11"/>
    <n v="24"/>
    <n v="5"/>
    <x v="0"/>
  </r>
  <r>
    <n v="10240"/>
    <n v="1949"/>
    <x v="4"/>
    <x v="0"/>
    <x v="1"/>
    <n v="69372"/>
    <x v="2"/>
    <n v="0"/>
    <n v="0"/>
    <x v="0"/>
    <x v="103"/>
    <n v="10"/>
    <x v="1"/>
    <n v="0"/>
    <n v="997"/>
    <n v="26"/>
    <n v="269"/>
    <n v="34"/>
    <n v="13"/>
    <n v="42"/>
    <n v="1381"/>
    <n v="1"/>
    <n v="10"/>
    <n v="4"/>
    <n v="6"/>
    <n v="20"/>
    <n v="4"/>
    <x v="1"/>
  </r>
  <r>
    <n v="3025"/>
    <n v="1958"/>
    <x v="0"/>
    <x v="0"/>
    <x v="0"/>
    <n v="49967"/>
    <x v="1"/>
    <n v="0"/>
    <n v="1"/>
    <x v="2"/>
    <x v="129"/>
    <n v="4"/>
    <x v="1"/>
    <n v="0"/>
    <n v="212"/>
    <n v="6"/>
    <n v="69"/>
    <n v="4"/>
    <n v="12"/>
    <n v="3"/>
    <n v="306"/>
    <n v="3"/>
    <n v="6"/>
    <n v="1"/>
    <n v="5"/>
    <n v="12"/>
    <n v="7"/>
    <x v="0"/>
  </r>
  <r>
    <n v="9283"/>
    <n v="1978"/>
    <x v="3"/>
    <x v="0"/>
    <x v="0"/>
    <n v="60199"/>
    <x v="0"/>
    <n v="1"/>
    <n v="2"/>
    <x v="3"/>
    <x v="130"/>
    <n v="49"/>
    <x v="0"/>
    <n v="0"/>
    <n v="8"/>
    <n v="1"/>
    <n v="7"/>
    <n v="2"/>
    <n v="0"/>
    <n v="0"/>
    <n v="18"/>
    <n v="1"/>
    <n v="0"/>
    <n v="0"/>
    <n v="3"/>
    <n v="3"/>
    <n v="4"/>
    <x v="0"/>
  </r>
  <r>
    <n v="9970"/>
    <n v="1977"/>
    <x v="3"/>
    <x v="0"/>
    <x v="1"/>
    <n v="55375"/>
    <x v="0"/>
    <n v="0"/>
    <n v="1"/>
    <x v="2"/>
    <x v="131"/>
    <n v="3"/>
    <x v="1"/>
    <n v="0"/>
    <n v="42"/>
    <n v="11"/>
    <n v="57"/>
    <n v="10"/>
    <n v="28"/>
    <n v="14"/>
    <n v="162"/>
    <n v="1"/>
    <n v="1"/>
    <n v="1"/>
    <n v="6"/>
    <n v="8"/>
    <n v="2"/>
    <x v="0"/>
  </r>
  <r>
    <n v="2730"/>
    <n v="1955"/>
    <x v="0"/>
    <x v="0"/>
    <x v="0"/>
    <n v="80317"/>
    <x v="2"/>
    <n v="0"/>
    <n v="0"/>
    <x v="0"/>
    <x v="132"/>
    <n v="64"/>
    <x v="0"/>
    <n v="0"/>
    <n v="536"/>
    <n v="11"/>
    <n v="387"/>
    <n v="149"/>
    <n v="91"/>
    <n v="57"/>
    <n v="1231"/>
    <n v="1"/>
    <n v="3"/>
    <n v="4"/>
    <n v="10"/>
    <n v="17"/>
    <n v="1"/>
    <x v="0"/>
  </r>
  <r>
    <n v="2795"/>
    <n v="1958"/>
    <x v="0"/>
    <x v="2"/>
    <x v="0"/>
    <n v="30523"/>
    <x v="3"/>
    <n v="2"/>
    <n v="1"/>
    <x v="3"/>
    <x v="133"/>
    <n v="0"/>
    <x v="1"/>
    <n v="0"/>
    <n v="5"/>
    <n v="0"/>
    <n v="3"/>
    <n v="0"/>
    <n v="0"/>
    <n v="5"/>
    <n v="13"/>
    <n v="1"/>
    <n v="1"/>
    <n v="0"/>
    <n v="2"/>
    <n v="3"/>
    <n v="7"/>
    <x v="0"/>
  </r>
  <r>
    <n v="9260"/>
    <n v="1945"/>
    <x v="4"/>
    <x v="1"/>
    <x v="2"/>
    <n v="70356"/>
    <x v="2"/>
    <n v="0"/>
    <n v="0"/>
    <x v="0"/>
    <x v="134"/>
    <n v="20"/>
    <x v="1"/>
    <n v="0"/>
    <n v="1349"/>
    <n v="16"/>
    <n v="249"/>
    <n v="43"/>
    <n v="16"/>
    <n v="33"/>
    <n v="1706"/>
    <n v="2"/>
    <n v="10"/>
    <n v="6"/>
    <n v="9"/>
    <n v="25"/>
    <n v="6"/>
    <x v="1"/>
  </r>
  <r>
    <n v="8182"/>
    <n v="1984"/>
    <x v="2"/>
    <x v="0"/>
    <x v="2"/>
    <n v="23228"/>
    <x v="3"/>
    <n v="1"/>
    <n v="0"/>
    <x v="2"/>
    <x v="135"/>
    <n v="91"/>
    <x v="0"/>
    <n v="0"/>
    <n v="53"/>
    <n v="3"/>
    <n v="49"/>
    <n v="7"/>
    <n v="4"/>
    <n v="5"/>
    <n v="121"/>
    <n v="4"/>
    <n v="3"/>
    <n v="0"/>
    <n v="4"/>
    <n v="7"/>
    <n v="8"/>
    <x v="0"/>
  </r>
  <r>
    <n v="10095"/>
    <n v="1975"/>
    <x v="3"/>
    <x v="1"/>
    <x v="3"/>
    <n v="74165"/>
    <x v="2"/>
    <n v="0"/>
    <n v="0"/>
    <x v="0"/>
    <x v="136"/>
    <n v="9"/>
    <x v="1"/>
    <n v="0"/>
    <n v="1001"/>
    <n v="12"/>
    <n v="240"/>
    <n v="16"/>
    <n v="12"/>
    <n v="12"/>
    <n v="1293"/>
    <n v="1"/>
    <n v="5"/>
    <n v="4"/>
    <n v="10"/>
    <n v="19"/>
    <n v="2"/>
    <x v="1"/>
  </r>
  <r>
    <n v="8475"/>
    <n v="1973"/>
    <x v="3"/>
    <x v="1"/>
    <x v="2"/>
    <n v="157243"/>
    <x v="2"/>
    <n v="0"/>
    <n v="1"/>
    <x v="2"/>
    <x v="137"/>
    <n v="98"/>
    <x v="0"/>
    <n v="0"/>
    <n v="20"/>
    <n v="2"/>
    <n v="1582"/>
    <n v="1"/>
    <n v="2"/>
    <n v="1"/>
    <n v="1608"/>
    <n v="15"/>
    <n v="0"/>
    <n v="22"/>
    <n v="0"/>
    <n v="22"/>
    <n v="0"/>
    <x v="0"/>
  </r>
  <r>
    <n v="4370"/>
    <n v="1966"/>
    <x v="1"/>
    <x v="0"/>
    <x v="1"/>
    <n v="43482"/>
    <x v="1"/>
    <n v="2"/>
    <n v="1"/>
    <x v="3"/>
    <x v="138"/>
    <n v="83"/>
    <x v="0"/>
    <n v="0"/>
    <n v="18"/>
    <n v="1"/>
    <n v="32"/>
    <n v="6"/>
    <n v="3"/>
    <n v="28"/>
    <n v="88"/>
    <n v="3"/>
    <n v="2"/>
    <n v="0"/>
    <n v="4"/>
    <n v="6"/>
    <n v="6"/>
    <x v="0"/>
  </r>
  <r>
    <n v="10573"/>
    <n v="1953"/>
    <x v="0"/>
    <x v="0"/>
    <x v="3"/>
    <n v="62551"/>
    <x v="0"/>
    <n v="0"/>
    <n v="0"/>
    <x v="0"/>
    <x v="139"/>
    <n v="27"/>
    <x v="1"/>
    <n v="0"/>
    <n v="125"/>
    <n v="16"/>
    <n v="98"/>
    <n v="134"/>
    <n v="21"/>
    <n v="27"/>
    <n v="421"/>
    <n v="1"/>
    <n v="6"/>
    <n v="7"/>
    <n v="4"/>
    <n v="17"/>
    <n v="3"/>
    <x v="0"/>
  </r>
  <r>
    <n v="3712"/>
    <n v="1959"/>
    <x v="0"/>
    <x v="0"/>
    <x v="3"/>
    <n v="52332"/>
    <x v="0"/>
    <n v="0"/>
    <n v="0"/>
    <x v="0"/>
    <x v="119"/>
    <n v="63"/>
    <x v="0"/>
    <n v="0"/>
    <n v="212"/>
    <n v="5"/>
    <n v="33"/>
    <n v="7"/>
    <n v="0"/>
    <n v="2"/>
    <n v="259"/>
    <n v="1"/>
    <n v="3"/>
    <n v="2"/>
    <n v="6"/>
    <n v="11"/>
    <n v="4"/>
    <x v="0"/>
  </r>
  <r>
    <n v="6637"/>
    <n v="1988"/>
    <x v="2"/>
    <x v="0"/>
    <x v="0"/>
    <n v="66951"/>
    <x v="0"/>
    <n v="0"/>
    <n v="0"/>
    <x v="0"/>
    <x v="97"/>
    <n v="46"/>
    <x v="1"/>
    <n v="0"/>
    <n v="277"/>
    <n v="162"/>
    <n v="305"/>
    <n v="173"/>
    <n v="76"/>
    <n v="124"/>
    <n v="1117"/>
    <n v="1"/>
    <n v="3"/>
    <n v="4"/>
    <n v="7"/>
    <n v="14"/>
    <n v="1"/>
    <x v="1"/>
  </r>
  <r>
    <n v="3152"/>
    <n v="1957"/>
    <x v="0"/>
    <x v="0"/>
    <x v="1"/>
    <n v="26091"/>
    <x v="3"/>
    <n v="1"/>
    <n v="1"/>
    <x v="1"/>
    <x v="75"/>
    <n v="84"/>
    <x v="0"/>
    <n v="0"/>
    <n v="15"/>
    <n v="10"/>
    <n v="19"/>
    <n v="8"/>
    <n v="17"/>
    <n v="20"/>
    <n v="89"/>
    <n v="3"/>
    <n v="2"/>
    <n v="1"/>
    <n v="3"/>
    <n v="6"/>
    <n v="5"/>
    <x v="0"/>
  </r>
  <r>
    <n v="5610"/>
    <n v="1965"/>
    <x v="1"/>
    <x v="0"/>
    <x v="1"/>
    <n v="33456"/>
    <x v="3"/>
    <n v="1"/>
    <n v="1"/>
    <x v="1"/>
    <x v="140"/>
    <n v="58"/>
    <x v="0"/>
    <n v="0"/>
    <n v="7"/>
    <n v="3"/>
    <n v="10"/>
    <n v="8"/>
    <n v="1"/>
    <n v="7"/>
    <n v="36"/>
    <n v="2"/>
    <n v="1"/>
    <n v="0"/>
    <n v="3"/>
    <n v="4"/>
    <n v="7"/>
    <x v="0"/>
  </r>
  <r>
    <n v="6460"/>
    <n v="1982"/>
    <x v="3"/>
    <x v="0"/>
    <x v="2"/>
    <n v="28718"/>
    <x v="3"/>
    <n v="1"/>
    <n v="0"/>
    <x v="2"/>
    <x v="141"/>
    <n v="78"/>
    <x v="0"/>
    <n v="0"/>
    <n v="12"/>
    <n v="4"/>
    <n v="6"/>
    <n v="11"/>
    <n v="8"/>
    <n v="16"/>
    <n v="57"/>
    <n v="2"/>
    <n v="2"/>
    <n v="0"/>
    <n v="3"/>
    <n v="5"/>
    <n v="8"/>
    <x v="0"/>
  </r>
  <r>
    <n v="1349"/>
    <n v="1970"/>
    <x v="1"/>
    <x v="0"/>
    <x v="2"/>
    <n v="50447"/>
    <x v="1"/>
    <n v="2"/>
    <n v="0"/>
    <x v="1"/>
    <x v="140"/>
    <n v="4"/>
    <x v="1"/>
    <n v="0"/>
    <n v="85"/>
    <n v="7"/>
    <n v="24"/>
    <n v="2"/>
    <n v="3"/>
    <n v="27"/>
    <n v="148"/>
    <n v="1"/>
    <n v="3"/>
    <n v="1"/>
    <n v="3"/>
    <n v="7"/>
    <n v="6"/>
    <x v="0"/>
  </r>
  <r>
    <n v="1880"/>
    <n v="1959"/>
    <x v="0"/>
    <x v="1"/>
    <x v="1"/>
    <n v="53537"/>
    <x v="0"/>
    <n v="1"/>
    <n v="1"/>
    <x v="1"/>
    <x v="142"/>
    <n v="17"/>
    <x v="1"/>
    <n v="0"/>
    <n v="81"/>
    <n v="0"/>
    <n v="6"/>
    <n v="0"/>
    <n v="0"/>
    <n v="6"/>
    <n v="93"/>
    <n v="2"/>
    <n v="2"/>
    <n v="1"/>
    <n v="3"/>
    <n v="6"/>
    <n v="5"/>
    <x v="0"/>
  </r>
  <r>
    <n v="641"/>
    <n v="1967"/>
    <x v="1"/>
    <x v="0"/>
    <x v="0"/>
    <n v="52074"/>
    <x v="0"/>
    <n v="0"/>
    <n v="1"/>
    <x v="2"/>
    <x v="143"/>
    <n v="77"/>
    <x v="0"/>
    <n v="0"/>
    <n v="59"/>
    <n v="0"/>
    <n v="12"/>
    <n v="0"/>
    <n v="0"/>
    <n v="48"/>
    <n v="119"/>
    <n v="1"/>
    <n v="2"/>
    <n v="2"/>
    <n v="2"/>
    <n v="6"/>
    <n v="4"/>
    <x v="0"/>
  </r>
  <r>
    <n v="8717"/>
    <n v="1975"/>
    <x v="3"/>
    <x v="1"/>
    <x v="2"/>
    <n v="80427"/>
    <x v="2"/>
    <n v="0"/>
    <n v="1"/>
    <x v="2"/>
    <x v="144"/>
    <n v="56"/>
    <x v="0"/>
    <n v="0"/>
    <n v="1149"/>
    <n v="71"/>
    <n v="449"/>
    <n v="69"/>
    <n v="71"/>
    <n v="26"/>
    <n v="1835"/>
    <n v="1"/>
    <n v="11"/>
    <n v="8"/>
    <n v="8"/>
    <n v="27"/>
    <n v="5"/>
    <x v="0"/>
  </r>
  <r>
    <n v="10314"/>
    <n v="1948"/>
    <x v="4"/>
    <x v="1"/>
    <x v="2"/>
    <n v="83837"/>
    <x v="2"/>
    <n v="0"/>
    <n v="0"/>
    <x v="0"/>
    <x v="145"/>
    <n v="79"/>
    <x v="0"/>
    <n v="0"/>
    <n v="847"/>
    <n v="66"/>
    <n v="119"/>
    <n v="86"/>
    <n v="89"/>
    <n v="111"/>
    <n v="1318"/>
    <n v="1"/>
    <n v="9"/>
    <n v="10"/>
    <n v="5"/>
    <n v="24"/>
    <n v="4"/>
    <x v="0"/>
  </r>
  <r>
    <n v="10854"/>
    <n v="1970"/>
    <x v="1"/>
    <x v="1"/>
    <x v="2"/>
    <n v="38853"/>
    <x v="1"/>
    <n v="1"/>
    <n v="1"/>
    <x v="1"/>
    <x v="146"/>
    <n v="90"/>
    <x v="0"/>
    <n v="0"/>
    <n v="29"/>
    <n v="0"/>
    <n v="14"/>
    <n v="0"/>
    <n v="0"/>
    <n v="2"/>
    <n v="45"/>
    <n v="2"/>
    <n v="2"/>
    <n v="0"/>
    <n v="3"/>
    <n v="5"/>
    <n v="7"/>
    <x v="0"/>
  </r>
  <r>
    <n v="10492"/>
    <n v="1959"/>
    <x v="0"/>
    <x v="0"/>
    <x v="1"/>
    <n v="38285"/>
    <x v="1"/>
    <n v="2"/>
    <n v="1"/>
    <x v="3"/>
    <x v="147"/>
    <n v="96"/>
    <x v="0"/>
    <n v="0"/>
    <n v="2"/>
    <n v="0"/>
    <n v="5"/>
    <n v="2"/>
    <n v="0"/>
    <n v="1"/>
    <n v="10"/>
    <n v="1"/>
    <n v="0"/>
    <n v="0"/>
    <n v="3"/>
    <n v="3"/>
    <n v="2"/>
    <x v="0"/>
  </r>
  <r>
    <n v="7698"/>
    <n v="1976"/>
    <x v="3"/>
    <x v="1"/>
    <x v="2"/>
    <n v="51650"/>
    <x v="0"/>
    <n v="0"/>
    <n v="1"/>
    <x v="2"/>
    <x v="59"/>
    <n v="81"/>
    <x v="0"/>
    <n v="0"/>
    <n v="152"/>
    <n v="3"/>
    <n v="22"/>
    <n v="2"/>
    <n v="5"/>
    <n v="7"/>
    <n v="191"/>
    <n v="1"/>
    <n v="4"/>
    <n v="1"/>
    <n v="4"/>
    <n v="9"/>
    <n v="5"/>
    <x v="0"/>
  </r>
  <r>
    <n v="3559"/>
    <n v="1988"/>
    <x v="2"/>
    <x v="2"/>
    <x v="2"/>
    <n v="16248"/>
    <x v="3"/>
    <n v="1"/>
    <n v="0"/>
    <x v="2"/>
    <x v="110"/>
    <n v="77"/>
    <x v="0"/>
    <n v="0"/>
    <n v="12"/>
    <n v="11"/>
    <n v="10"/>
    <n v="3"/>
    <n v="12"/>
    <n v="9"/>
    <n v="57"/>
    <n v="3"/>
    <n v="2"/>
    <n v="1"/>
    <n v="3"/>
    <n v="6"/>
    <n v="6"/>
    <x v="0"/>
  </r>
  <r>
    <n v="10562"/>
    <n v="1946"/>
    <x v="4"/>
    <x v="2"/>
    <x v="2"/>
    <n v="66835"/>
    <x v="0"/>
    <n v="0"/>
    <n v="0"/>
    <x v="0"/>
    <x v="148"/>
    <n v="21"/>
    <x v="1"/>
    <n v="0"/>
    <n v="620"/>
    <n v="26"/>
    <n v="195"/>
    <n v="34"/>
    <n v="17"/>
    <n v="141"/>
    <n v="1033"/>
    <n v="1"/>
    <n v="6"/>
    <n v="4"/>
    <n v="13"/>
    <n v="23"/>
    <n v="2"/>
    <x v="1"/>
  </r>
  <r>
    <n v="10796"/>
    <n v="1984"/>
    <x v="2"/>
    <x v="2"/>
    <x v="2"/>
    <n v="30477"/>
    <x v="3"/>
    <n v="1"/>
    <n v="0"/>
    <x v="2"/>
    <x v="149"/>
    <n v="16"/>
    <x v="1"/>
    <n v="0"/>
    <n v="47"/>
    <n v="1"/>
    <n v="6"/>
    <n v="0"/>
    <n v="0"/>
    <n v="12"/>
    <n v="66"/>
    <n v="1"/>
    <n v="1"/>
    <n v="1"/>
    <n v="3"/>
    <n v="5"/>
    <n v="6"/>
    <x v="0"/>
  </r>
  <r>
    <n v="2563"/>
    <n v="1961"/>
    <x v="0"/>
    <x v="3"/>
    <x v="2"/>
    <n v="28249"/>
    <x v="3"/>
    <n v="0"/>
    <n v="0"/>
    <x v="0"/>
    <x v="150"/>
    <n v="80"/>
    <x v="0"/>
    <n v="0"/>
    <n v="1"/>
    <n v="9"/>
    <n v="7"/>
    <n v="2"/>
    <n v="14"/>
    <n v="10"/>
    <n v="43"/>
    <n v="1"/>
    <n v="2"/>
    <n v="0"/>
    <n v="3"/>
    <n v="5"/>
    <n v="6"/>
    <x v="0"/>
  </r>
  <r>
    <n v="3518"/>
    <n v="1983"/>
    <x v="2"/>
    <x v="0"/>
    <x v="2"/>
    <n v="25271"/>
    <x v="3"/>
    <n v="1"/>
    <n v="0"/>
    <x v="2"/>
    <x v="151"/>
    <n v="45"/>
    <x v="1"/>
    <n v="0"/>
    <n v="10"/>
    <n v="1"/>
    <n v="18"/>
    <n v="10"/>
    <n v="4"/>
    <n v="7"/>
    <n v="50"/>
    <n v="1"/>
    <n v="1"/>
    <n v="1"/>
    <n v="2"/>
    <n v="4"/>
    <n v="9"/>
    <x v="0"/>
  </r>
  <r>
    <n v="5823"/>
    <n v="1970"/>
    <x v="1"/>
    <x v="1"/>
    <x v="0"/>
    <n v="32303"/>
    <x v="3"/>
    <n v="0"/>
    <n v="1"/>
    <x v="2"/>
    <x v="1"/>
    <n v="63"/>
    <x v="0"/>
    <n v="0"/>
    <n v="35"/>
    <n v="0"/>
    <n v="2"/>
    <n v="0"/>
    <n v="0"/>
    <n v="2"/>
    <n v="39"/>
    <n v="2"/>
    <n v="1"/>
    <n v="0"/>
    <n v="4"/>
    <n v="5"/>
    <n v="5"/>
    <x v="0"/>
  </r>
  <r>
    <n v="3934"/>
    <n v="1966"/>
    <x v="1"/>
    <x v="0"/>
    <x v="2"/>
    <n v="61286"/>
    <x v="0"/>
    <n v="0"/>
    <n v="1"/>
    <x v="2"/>
    <x v="152"/>
    <n v="34"/>
    <x v="1"/>
    <n v="0"/>
    <n v="356"/>
    <n v="0"/>
    <n v="107"/>
    <n v="19"/>
    <n v="9"/>
    <n v="117"/>
    <n v="608"/>
    <n v="2"/>
    <n v="7"/>
    <n v="1"/>
    <n v="8"/>
    <n v="16"/>
    <n v="5"/>
    <x v="1"/>
  </r>
  <r>
    <n v="6982"/>
    <n v="1976"/>
    <x v="3"/>
    <x v="0"/>
    <x v="2"/>
    <n v="74068"/>
    <x v="2"/>
    <n v="0"/>
    <n v="0"/>
    <x v="0"/>
    <x v="120"/>
    <n v="14"/>
    <x v="1"/>
    <n v="0"/>
    <n v="783"/>
    <n v="30"/>
    <n v="537"/>
    <n v="140"/>
    <n v="76"/>
    <n v="15"/>
    <n v="1581"/>
    <n v="1"/>
    <n v="4"/>
    <n v="10"/>
    <n v="9"/>
    <n v="23"/>
    <n v="2"/>
    <x v="1"/>
  </r>
  <r>
    <n v="6431"/>
    <n v="1964"/>
    <x v="1"/>
    <x v="1"/>
    <x v="2"/>
    <n v="45759"/>
    <x v="1"/>
    <n v="1"/>
    <n v="1"/>
    <x v="1"/>
    <x v="153"/>
    <n v="13"/>
    <x v="1"/>
    <n v="0"/>
    <n v="42"/>
    <n v="1"/>
    <n v="18"/>
    <n v="3"/>
    <n v="0"/>
    <n v="4"/>
    <n v="68"/>
    <n v="2"/>
    <n v="2"/>
    <n v="0"/>
    <n v="3"/>
    <n v="5"/>
    <n v="7"/>
    <x v="0"/>
  </r>
  <r>
    <n v="9733"/>
    <n v="1978"/>
    <x v="3"/>
    <x v="3"/>
    <x v="1"/>
    <n v="24882"/>
    <x v="3"/>
    <n v="1"/>
    <n v="0"/>
    <x v="2"/>
    <x v="154"/>
    <n v="52"/>
    <x v="0"/>
    <n v="0"/>
    <n v="1"/>
    <n v="4"/>
    <n v="10"/>
    <n v="29"/>
    <n v="0"/>
    <n v="36"/>
    <n v="80"/>
    <n v="1"/>
    <n v="1"/>
    <n v="1"/>
    <n v="2"/>
    <n v="4"/>
    <n v="6"/>
    <x v="0"/>
  </r>
  <r>
    <n v="5602"/>
    <n v="1989"/>
    <x v="2"/>
    <x v="1"/>
    <x v="1"/>
    <n v="66973"/>
    <x v="0"/>
    <n v="0"/>
    <n v="0"/>
    <x v="0"/>
    <x v="91"/>
    <n v="98"/>
    <x v="0"/>
    <n v="0"/>
    <n v="466"/>
    <n v="22"/>
    <n v="432"/>
    <n v="147"/>
    <n v="113"/>
    <n v="102"/>
    <n v="1282"/>
    <n v="1"/>
    <n v="8"/>
    <n v="7"/>
    <n v="12"/>
    <n v="27"/>
    <n v="3"/>
    <x v="0"/>
  </r>
  <r>
    <n v="7829"/>
    <n v="1900"/>
    <x v="0"/>
    <x v="2"/>
    <x v="3"/>
    <n v="36640"/>
    <x v="1"/>
    <n v="1"/>
    <n v="0"/>
    <x v="2"/>
    <x v="155"/>
    <n v="99"/>
    <x v="0"/>
    <n v="1"/>
    <n v="15"/>
    <n v="6"/>
    <n v="8"/>
    <n v="7"/>
    <n v="4"/>
    <n v="25"/>
    <n v="65"/>
    <n v="1"/>
    <n v="2"/>
    <n v="1"/>
    <n v="2"/>
    <n v="5"/>
    <n v="5"/>
    <x v="0"/>
  </r>
  <r>
    <n v="1324"/>
    <n v="1988"/>
    <x v="2"/>
    <x v="0"/>
    <x v="2"/>
    <n v="38872"/>
    <x v="1"/>
    <n v="1"/>
    <n v="0"/>
    <x v="2"/>
    <x v="156"/>
    <n v="93"/>
    <x v="0"/>
    <n v="0"/>
    <n v="23"/>
    <n v="3"/>
    <n v="21"/>
    <n v="3"/>
    <n v="19"/>
    <n v="22"/>
    <n v="91"/>
    <n v="2"/>
    <n v="3"/>
    <n v="0"/>
    <n v="3"/>
    <n v="6"/>
    <n v="8"/>
    <x v="0"/>
  </r>
  <r>
    <n v="326"/>
    <n v="1973"/>
    <x v="3"/>
    <x v="0"/>
    <x v="2"/>
    <n v="51148"/>
    <x v="1"/>
    <n v="1"/>
    <n v="1"/>
    <x v="1"/>
    <x v="55"/>
    <n v="38"/>
    <x v="1"/>
    <n v="0"/>
    <n v="235"/>
    <n v="6"/>
    <n v="45"/>
    <n v="8"/>
    <n v="9"/>
    <n v="12"/>
    <n v="315"/>
    <n v="4"/>
    <n v="5"/>
    <n v="1"/>
    <n v="6"/>
    <n v="12"/>
    <n v="6"/>
    <x v="0"/>
  </r>
  <r>
    <n v="7224"/>
    <n v="1977"/>
    <x v="3"/>
    <x v="0"/>
    <x v="2"/>
    <n v="31353"/>
    <x v="3"/>
    <n v="1"/>
    <n v="1"/>
    <x v="1"/>
    <x v="157"/>
    <n v="24"/>
    <x v="1"/>
    <n v="0"/>
    <n v="10"/>
    <n v="0"/>
    <n v="10"/>
    <n v="3"/>
    <n v="1"/>
    <n v="7"/>
    <n v="31"/>
    <n v="2"/>
    <n v="1"/>
    <n v="1"/>
    <n v="2"/>
    <n v="4"/>
    <n v="8"/>
    <x v="0"/>
  </r>
  <r>
    <n v="6999"/>
    <n v="1980"/>
    <x v="3"/>
    <x v="2"/>
    <x v="2"/>
    <n v="69661"/>
    <x v="2"/>
    <n v="0"/>
    <n v="0"/>
    <x v="0"/>
    <x v="158"/>
    <n v="80"/>
    <x v="0"/>
    <n v="0"/>
    <n v="656"/>
    <n v="16"/>
    <n v="106"/>
    <n v="32"/>
    <n v="16"/>
    <n v="8"/>
    <n v="834"/>
    <n v="1"/>
    <n v="7"/>
    <n v="3"/>
    <n v="12"/>
    <n v="22"/>
    <n v="3"/>
    <x v="0"/>
  </r>
  <r>
    <n v="9938"/>
    <n v="1954"/>
    <x v="0"/>
    <x v="0"/>
    <x v="2"/>
    <n v="80067"/>
    <x v="2"/>
    <n v="0"/>
    <n v="0"/>
    <x v="0"/>
    <x v="159"/>
    <n v="82"/>
    <x v="0"/>
    <n v="0"/>
    <n v="519"/>
    <n v="17"/>
    <n v="813"/>
    <n v="27"/>
    <n v="173"/>
    <n v="51"/>
    <n v="1600"/>
    <n v="1"/>
    <n v="4"/>
    <n v="6"/>
    <n v="6"/>
    <n v="16"/>
    <n v="2"/>
    <x v="0"/>
  </r>
  <r>
    <n v="6422"/>
    <n v="1954"/>
    <x v="0"/>
    <x v="0"/>
    <x v="2"/>
    <n v="86718"/>
    <x v="2"/>
    <n v="0"/>
    <n v="0"/>
    <x v="0"/>
    <x v="160"/>
    <n v="20"/>
    <x v="1"/>
    <n v="0"/>
    <n v="344"/>
    <n v="189"/>
    <n v="482"/>
    <n v="50"/>
    <n v="33"/>
    <n v="172"/>
    <n v="1270"/>
    <n v="1"/>
    <n v="5"/>
    <n v="6"/>
    <n v="5"/>
    <n v="16"/>
    <n v="2"/>
    <x v="1"/>
  </r>
  <r>
    <n v="3182"/>
    <n v="1973"/>
    <x v="3"/>
    <x v="1"/>
    <x v="0"/>
    <n v="46854"/>
    <x v="1"/>
    <n v="1"/>
    <n v="1"/>
    <x v="1"/>
    <x v="161"/>
    <n v="81"/>
    <x v="0"/>
    <n v="0"/>
    <n v="96"/>
    <n v="1"/>
    <n v="79"/>
    <n v="7"/>
    <n v="1"/>
    <n v="79"/>
    <n v="263"/>
    <n v="6"/>
    <n v="5"/>
    <n v="1"/>
    <n v="3"/>
    <n v="9"/>
    <n v="8"/>
    <x v="0"/>
  </r>
  <r>
    <n v="7300"/>
    <n v="1952"/>
    <x v="4"/>
    <x v="0"/>
    <x v="3"/>
    <n v="69142"/>
    <x v="2"/>
    <n v="0"/>
    <n v="1"/>
    <x v="2"/>
    <x v="162"/>
    <n v="50"/>
    <x v="0"/>
    <n v="0"/>
    <n v="448"/>
    <n v="4"/>
    <n v="34"/>
    <n v="6"/>
    <n v="4"/>
    <n v="39"/>
    <n v="535"/>
    <n v="3"/>
    <n v="8"/>
    <n v="1"/>
    <n v="7"/>
    <n v="16"/>
    <n v="5"/>
    <x v="0"/>
  </r>
  <r>
    <n v="10424"/>
    <n v="1968"/>
    <x v="1"/>
    <x v="0"/>
    <x v="0"/>
    <n v="75922"/>
    <x v="2"/>
    <n v="0"/>
    <n v="0"/>
    <x v="0"/>
    <x v="163"/>
    <n v="60"/>
    <x v="0"/>
    <n v="0"/>
    <n v="265"/>
    <n v="138"/>
    <n v="553"/>
    <n v="224"/>
    <n v="23"/>
    <n v="92"/>
    <n v="1295"/>
    <n v="1"/>
    <n v="4"/>
    <n v="4"/>
    <n v="9"/>
    <n v="17"/>
    <n v="1"/>
    <x v="0"/>
  </r>
  <r>
    <n v="8727"/>
    <n v="1978"/>
    <x v="3"/>
    <x v="0"/>
    <x v="3"/>
    <n v="63693"/>
    <x v="0"/>
    <n v="0"/>
    <n v="1"/>
    <x v="2"/>
    <x v="164"/>
    <n v="63"/>
    <x v="0"/>
    <n v="0"/>
    <n v="587"/>
    <n v="43"/>
    <n v="337"/>
    <n v="42"/>
    <n v="87"/>
    <n v="54"/>
    <n v="1150"/>
    <n v="3"/>
    <n v="11"/>
    <n v="6"/>
    <n v="9"/>
    <n v="26"/>
    <n v="6"/>
    <x v="0"/>
  </r>
  <r>
    <n v="2798"/>
    <n v="1977"/>
    <x v="3"/>
    <x v="1"/>
    <x v="1"/>
    <n v="102160"/>
    <x v="2"/>
    <n v="0"/>
    <n v="0"/>
    <x v="0"/>
    <x v="165"/>
    <n v="54"/>
    <x v="0"/>
    <n v="0"/>
    <n v="763"/>
    <n v="29"/>
    <n v="138"/>
    <n v="76"/>
    <n v="176"/>
    <n v="58"/>
    <n v="1240"/>
    <n v="0"/>
    <n v="7"/>
    <n v="9"/>
    <n v="10"/>
    <n v="26"/>
    <n v="4"/>
    <x v="0"/>
  </r>
  <r>
    <n v="1030"/>
    <n v="1965"/>
    <x v="1"/>
    <x v="1"/>
    <x v="0"/>
    <n v="40637"/>
    <x v="1"/>
    <n v="1"/>
    <n v="1"/>
    <x v="1"/>
    <x v="166"/>
    <n v="72"/>
    <x v="0"/>
    <n v="0"/>
    <n v="22"/>
    <n v="0"/>
    <n v="13"/>
    <n v="0"/>
    <n v="0"/>
    <n v="3"/>
    <n v="38"/>
    <n v="2"/>
    <n v="1"/>
    <n v="0"/>
    <n v="3"/>
    <n v="4"/>
    <n v="7"/>
    <x v="0"/>
  </r>
  <r>
    <n v="624"/>
    <n v="1984"/>
    <x v="2"/>
    <x v="2"/>
    <x v="0"/>
    <n v="18890"/>
    <x v="3"/>
    <n v="0"/>
    <n v="0"/>
    <x v="0"/>
    <x v="98"/>
    <n v="5"/>
    <x v="1"/>
    <n v="0"/>
    <n v="6"/>
    <n v="4"/>
    <n v="1"/>
    <n v="7"/>
    <n v="2"/>
    <n v="15"/>
    <n v="35"/>
    <n v="1"/>
    <n v="0"/>
    <n v="1"/>
    <n v="2"/>
    <n v="3"/>
    <n v="6"/>
    <x v="0"/>
  </r>
  <r>
    <n v="5176"/>
    <n v="1988"/>
    <x v="2"/>
    <x v="0"/>
    <x v="1"/>
    <n v="29604"/>
    <x v="3"/>
    <n v="1"/>
    <n v="0"/>
    <x v="2"/>
    <x v="167"/>
    <n v="88"/>
    <x v="0"/>
    <n v="0"/>
    <n v="7"/>
    <n v="6"/>
    <n v="13"/>
    <n v="7"/>
    <n v="6"/>
    <n v="14"/>
    <n v="53"/>
    <n v="1"/>
    <n v="1"/>
    <n v="0"/>
    <n v="3"/>
    <n v="4"/>
    <n v="9"/>
    <x v="0"/>
  </r>
  <r>
    <n v="5552"/>
    <n v="1963"/>
    <x v="1"/>
    <x v="2"/>
    <x v="3"/>
    <n v="48721"/>
    <x v="1"/>
    <n v="1"/>
    <n v="1"/>
    <x v="1"/>
    <x v="168"/>
    <n v="50"/>
    <x v="0"/>
    <n v="0"/>
    <n v="81"/>
    <n v="18"/>
    <n v="113"/>
    <n v="47"/>
    <n v="13"/>
    <n v="21"/>
    <n v="293"/>
    <n v="6"/>
    <n v="4"/>
    <n v="2"/>
    <n v="5"/>
    <n v="11"/>
    <n v="6"/>
    <x v="0"/>
  </r>
  <r>
    <n v="868"/>
    <n v="1966"/>
    <x v="1"/>
    <x v="0"/>
    <x v="2"/>
    <n v="44794"/>
    <x v="1"/>
    <n v="0"/>
    <n v="1"/>
    <x v="2"/>
    <x v="109"/>
    <n v="99"/>
    <x v="0"/>
    <n v="0"/>
    <n v="54"/>
    <n v="0"/>
    <n v="7"/>
    <n v="0"/>
    <n v="0"/>
    <n v="4"/>
    <n v="65"/>
    <n v="1"/>
    <n v="2"/>
    <n v="0"/>
    <n v="3"/>
    <n v="5"/>
    <n v="6"/>
    <x v="0"/>
  </r>
  <r>
    <n v="380"/>
    <n v="1954"/>
    <x v="0"/>
    <x v="0"/>
    <x v="3"/>
    <n v="64497"/>
    <x v="0"/>
    <n v="0"/>
    <n v="1"/>
    <x v="2"/>
    <x v="169"/>
    <n v="17"/>
    <x v="1"/>
    <n v="0"/>
    <n v="1170"/>
    <n v="48"/>
    <n v="320"/>
    <n v="42"/>
    <n v="32"/>
    <n v="192"/>
    <n v="1804"/>
    <n v="5"/>
    <n v="11"/>
    <n v="4"/>
    <n v="9"/>
    <n v="24"/>
    <n v="8"/>
    <x v="1"/>
  </r>
  <r>
    <n v="2677"/>
    <n v="1956"/>
    <x v="0"/>
    <x v="0"/>
    <x v="1"/>
    <n v="46097"/>
    <x v="1"/>
    <n v="0"/>
    <n v="1"/>
    <x v="2"/>
    <x v="170"/>
    <n v="11"/>
    <x v="1"/>
    <n v="0"/>
    <n v="72"/>
    <n v="24"/>
    <n v="68"/>
    <n v="65"/>
    <n v="4"/>
    <n v="8"/>
    <n v="241"/>
    <n v="5"/>
    <n v="3"/>
    <n v="1"/>
    <n v="6"/>
    <n v="10"/>
    <n v="4"/>
    <x v="0"/>
  </r>
  <r>
    <n v="6521"/>
    <n v="1954"/>
    <x v="0"/>
    <x v="0"/>
    <x v="1"/>
    <n v="77972"/>
    <x v="2"/>
    <n v="0"/>
    <n v="0"/>
    <x v="0"/>
    <x v="171"/>
    <n v="18"/>
    <x v="1"/>
    <n v="0"/>
    <n v="613"/>
    <n v="22"/>
    <n v="319"/>
    <n v="33"/>
    <n v="102"/>
    <n v="12"/>
    <n v="1101"/>
    <n v="1"/>
    <n v="4"/>
    <n v="6"/>
    <n v="9"/>
    <n v="19"/>
    <n v="1"/>
    <x v="1"/>
  </r>
  <r>
    <n v="6927"/>
    <n v="1968"/>
    <x v="1"/>
    <x v="1"/>
    <x v="2"/>
    <n v="44377"/>
    <x v="1"/>
    <n v="1"/>
    <n v="1"/>
    <x v="1"/>
    <x v="172"/>
    <n v="70"/>
    <x v="0"/>
    <n v="0"/>
    <n v="224"/>
    <n v="0"/>
    <n v="30"/>
    <n v="0"/>
    <n v="0"/>
    <n v="10"/>
    <n v="264"/>
    <n v="8"/>
    <n v="5"/>
    <n v="1"/>
    <n v="5"/>
    <n v="11"/>
    <n v="8"/>
    <x v="0"/>
  </r>
  <r>
    <n v="2877"/>
    <n v="1974"/>
    <x v="3"/>
    <x v="2"/>
    <x v="1"/>
    <n v="46014"/>
    <x v="1"/>
    <n v="1"/>
    <n v="1"/>
    <x v="1"/>
    <x v="173"/>
    <n v="21"/>
    <x v="1"/>
    <n v="0"/>
    <n v="410"/>
    <n v="0"/>
    <n v="59"/>
    <n v="19"/>
    <n v="9"/>
    <n v="44"/>
    <n v="541"/>
    <n v="10"/>
    <n v="7"/>
    <n v="1"/>
    <n v="8"/>
    <n v="16"/>
    <n v="7"/>
    <x v="0"/>
  </r>
  <r>
    <n v="0"/>
    <n v="1985"/>
    <x v="2"/>
    <x v="0"/>
    <x v="2"/>
    <n v="70951"/>
    <x v="2"/>
    <n v="0"/>
    <n v="0"/>
    <x v="0"/>
    <x v="174"/>
    <n v="66"/>
    <x v="0"/>
    <n v="0"/>
    <n v="239"/>
    <n v="10"/>
    <n v="554"/>
    <n v="254"/>
    <n v="87"/>
    <n v="54"/>
    <n v="1198"/>
    <n v="1"/>
    <n v="3"/>
    <n v="4"/>
    <n v="9"/>
    <n v="16"/>
    <n v="1"/>
    <x v="0"/>
  </r>
  <r>
    <n v="1584"/>
    <n v="1977"/>
    <x v="3"/>
    <x v="0"/>
    <x v="2"/>
    <n v="41443"/>
    <x v="1"/>
    <n v="1"/>
    <n v="0"/>
    <x v="2"/>
    <x v="175"/>
    <n v="79"/>
    <x v="0"/>
    <n v="0"/>
    <n v="171"/>
    <n v="7"/>
    <n v="171"/>
    <n v="25"/>
    <n v="19"/>
    <n v="89"/>
    <n v="482"/>
    <n v="6"/>
    <n v="8"/>
    <n v="1"/>
    <n v="5"/>
    <n v="14"/>
    <n v="8"/>
    <x v="0"/>
  </r>
  <r>
    <n v="7264"/>
    <n v="1978"/>
    <x v="3"/>
    <x v="2"/>
    <x v="0"/>
    <n v="52195"/>
    <x v="0"/>
    <n v="2"/>
    <n v="1"/>
    <x v="3"/>
    <x v="44"/>
    <n v="2"/>
    <x v="1"/>
    <n v="0"/>
    <n v="12"/>
    <n v="0"/>
    <n v="4"/>
    <n v="0"/>
    <n v="0"/>
    <n v="1"/>
    <n v="17"/>
    <n v="1"/>
    <n v="1"/>
    <n v="0"/>
    <n v="2"/>
    <n v="3"/>
    <n v="8"/>
    <x v="0"/>
  </r>
  <r>
    <n v="6274"/>
    <n v="1948"/>
    <x v="4"/>
    <x v="2"/>
    <x v="2"/>
    <n v="83790"/>
    <x v="2"/>
    <n v="0"/>
    <n v="0"/>
    <x v="0"/>
    <x v="10"/>
    <n v="81"/>
    <x v="0"/>
    <n v="0"/>
    <n v="1076"/>
    <n v="16"/>
    <n v="417"/>
    <n v="42"/>
    <n v="48"/>
    <n v="16"/>
    <n v="1615"/>
    <n v="1"/>
    <n v="8"/>
    <n v="10"/>
    <n v="6"/>
    <n v="24"/>
    <n v="3"/>
    <x v="0"/>
  </r>
  <r>
    <n v="1377"/>
    <n v="1954"/>
    <x v="0"/>
    <x v="2"/>
    <x v="4"/>
    <n v="44551"/>
    <x v="1"/>
    <n v="0"/>
    <n v="1"/>
    <x v="2"/>
    <x v="176"/>
    <n v="24"/>
    <x v="1"/>
    <n v="0"/>
    <n v="182"/>
    <n v="4"/>
    <n v="33"/>
    <n v="0"/>
    <n v="0"/>
    <n v="66"/>
    <n v="285"/>
    <n v="2"/>
    <n v="4"/>
    <n v="1"/>
    <n v="5"/>
    <n v="10"/>
    <n v="7"/>
    <x v="0"/>
  </r>
  <r>
    <n v="454"/>
    <n v="1980"/>
    <x v="3"/>
    <x v="0"/>
    <x v="1"/>
    <n v="69508"/>
    <x v="2"/>
    <n v="1"/>
    <n v="0"/>
    <x v="2"/>
    <x v="177"/>
    <n v="48"/>
    <x v="1"/>
    <n v="0"/>
    <n v="824"/>
    <n v="32"/>
    <n v="162"/>
    <n v="42"/>
    <n v="32"/>
    <n v="43"/>
    <n v="1135"/>
    <n v="2"/>
    <n v="11"/>
    <n v="4"/>
    <n v="11"/>
    <n v="26"/>
    <n v="6"/>
    <x v="1"/>
  </r>
  <r>
    <n v="1755"/>
    <n v="1988"/>
    <x v="2"/>
    <x v="2"/>
    <x v="1"/>
    <n v="45204"/>
    <x v="1"/>
    <n v="1"/>
    <n v="0"/>
    <x v="2"/>
    <x v="178"/>
    <n v="93"/>
    <x v="0"/>
    <n v="0"/>
    <n v="30"/>
    <n v="11"/>
    <n v="25"/>
    <n v="29"/>
    <n v="1"/>
    <n v="18"/>
    <n v="114"/>
    <n v="1"/>
    <n v="1"/>
    <n v="1"/>
    <n v="4"/>
    <n v="6"/>
    <n v="3"/>
    <x v="0"/>
  </r>
  <r>
    <n v="2075"/>
    <n v="1969"/>
    <x v="1"/>
    <x v="0"/>
    <x v="2"/>
    <n v="72460"/>
    <x v="2"/>
    <n v="0"/>
    <n v="0"/>
    <x v="0"/>
    <x v="105"/>
    <n v="56"/>
    <x v="0"/>
    <n v="0"/>
    <n v="377"/>
    <n v="10"/>
    <n v="540"/>
    <n v="80"/>
    <n v="30"/>
    <n v="10"/>
    <n v="1047"/>
    <n v="1"/>
    <n v="3"/>
    <n v="5"/>
    <n v="7"/>
    <n v="15"/>
    <n v="1"/>
    <x v="0"/>
  </r>
  <r>
    <n v="4785"/>
    <n v="1970"/>
    <x v="1"/>
    <x v="1"/>
    <x v="1"/>
    <n v="77622"/>
    <x v="2"/>
    <n v="0"/>
    <n v="2"/>
    <x v="1"/>
    <x v="179"/>
    <n v="3"/>
    <x v="1"/>
    <n v="0"/>
    <n v="520"/>
    <n v="7"/>
    <n v="154"/>
    <n v="19"/>
    <n v="0"/>
    <n v="14"/>
    <n v="714"/>
    <n v="2"/>
    <n v="6"/>
    <n v="3"/>
    <n v="11"/>
    <n v="20"/>
    <n v="3"/>
    <x v="1"/>
  </r>
  <r>
    <n v="9076"/>
    <n v="1980"/>
    <x v="3"/>
    <x v="1"/>
    <x v="2"/>
    <n v="30732"/>
    <x v="3"/>
    <n v="1"/>
    <n v="0"/>
    <x v="2"/>
    <x v="180"/>
    <n v="44"/>
    <x v="1"/>
    <n v="0"/>
    <n v="155"/>
    <n v="1"/>
    <n v="25"/>
    <n v="0"/>
    <n v="1"/>
    <n v="3"/>
    <n v="185"/>
    <n v="4"/>
    <n v="4"/>
    <n v="1"/>
    <n v="4"/>
    <n v="9"/>
    <n v="8"/>
    <x v="0"/>
  </r>
  <r>
    <n v="7079"/>
    <n v="1962"/>
    <x v="0"/>
    <x v="0"/>
    <x v="3"/>
    <n v="63887"/>
    <x v="0"/>
    <n v="0"/>
    <n v="1"/>
    <x v="2"/>
    <x v="181"/>
    <n v="38"/>
    <x v="1"/>
    <n v="0"/>
    <n v="897"/>
    <n v="23"/>
    <n v="207"/>
    <n v="15"/>
    <n v="11"/>
    <n v="92"/>
    <n v="1245"/>
    <n v="5"/>
    <n v="9"/>
    <n v="6"/>
    <n v="12"/>
    <n v="27"/>
    <n v="6"/>
    <x v="1"/>
  </r>
  <r>
    <n v="4653"/>
    <n v="1978"/>
    <x v="3"/>
    <x v="0"/>
    <x v="1"/>
    <n v="42011"/>
    <x v="1"/>
    <n v="1"/>
    <n v="0"/>
    <x v="2"/>
    <x v="182"/>
    <n v="46"/>
    <x v="1"/>
    <n v="0"/>
    <n v="131"/>
    <n v="0"/>
    <n v="16"/>
    <n v="2"/>
    <n v="1"/>
    <n v="39"/>
    <n v="189"/>
    <n v="4"/>
    <n v="3"/>
    <n v="1"/>
    <n v="4"/>
    <n v="8"/>
    <n v="8"/>
    <x v="0"/>
  </r>
  <r>
    <n v="7375"/>
    <n v="1976"/>
    <x v="3"/>
    <x v="0"/>
    <x v="1"/>
    <n v="51369"/>
    <x v="1"/>
    <n v="0"/>
    <n v="1"/>
    <x v="2"/>
    <x v="183"/>
    <n v="84"/>
    <x v="0"/>
    <n v="0"/>
    <n v="297"/>
    <n v="7"/>
    <n v="79"/>
    <n v="0"/>
    <n v="11"/>
    <n v="182"/>
    <n v="576"/>
    <n v="2"/>
    <n v="8"/>
    <n v="2"/>
    <n v="4"/>
    <n v="14"/>
    <n v="8"/>
    <x v="0"/>
  </r>
  <r>
    <n v="709"/>
    <n v="1952"/>
    <x v="4"/>
    <x v="0"/>
    <x v="3"/>
    <n v="51537"/>
    <x v="1"/>
    <n v="0"/>
    <n v="1"/>
    <x v="2"/>
    <x v="184"/>
    <n v="27"/>
    <x v="1"/>
    <n v="0"/>
    <n v="787"/>
    <n v="20"/>
    <n v="204"/>
    <n v="0"/>
    <n v="0"/>
    <n v="92"/>
    <n v="1103"/>
    <n v="3"/>
    <n v="2"/>
    <n v="2"/>
    <n v="11"/>
    <n v="15"/>
    <n v="8"/>
    <x v="0"/>
  </r>
  <r>
    <n v="460"/>
    <n v="1972"/>
    <x v="1"/>
    <x v="1"/>
    <x v="2"/>
    <n v="79930"/>
    <x v="2"/>
    <n v="0"/>
    <n v="0"/>
    <x v="0"/>
    <x v="17"/>
    <n v="72"/>
    <x v="0"/>
    <n v="0"/>
    <n v="792"/>
    <n v="86"/>
    <n v="740"/>
    <n v="67"/>
    <n v="51"/>
    <n v="17"/>
    <n v="1753"/>
    <n v="1"/>
    <n v="3"/>
    <n v="5"/>
    <n v="8"/>
    <n v="16"/>
    <n v="2"/>
    <x v="0"/>
  </r>
  <r>
    <n v="3726"/>
    <n v="1986"/>
    <x v="2"/>
    <x v="1"/>
    <x v="1"/>
    <n v="34320"/>
    <x v="3"/>
    <n v="1"/>
    <n v="0"/>
    <x v="2"/>
    <x v="185"/>
    <n v="66"/>
    <x v="0"/>
    <n v="0"/>
    <n v="4"/>
    <n v="1"/>
    <n v="9"/>
    <n v="3"/>
    <n v="0"/>
    <n v="0"/>
    <n v="17"/>
    <n v="1"/>
    <n v="1"/>
    <n v="0"/>
    <n v="2"/>
    <n v="3"/>
    <n v="8"/>
    <x v="0"/>
  </r>
  <r>
    <n v="6798"/>
    <n v="1966"/>
    <x v="1"/>
    <x v="0"/>
    <x v="0"/>
    <n v="37070"/>
    <x v="1"/>
    <n v="1"/>
    <n v="1"/>
    <x v="1"/>
    <x v="186"/>
    <n v="30"/>
    <x v="1"/>
    <n v="0"/>
    <n v="231"/>
    <n v="7"/>
    <n v="137"/>
    <n v="4"/>
    <n v="15"/>
    <n v="39"/>
    <n v="433"/>
    <n v="9"/>
    <n v="5"/>
    <n v="1"/>
    <n v="8"/>
    <n v="14"/>
    <n v="7"/>
    <x v="0"/>
  </r>
  <r>
    <n v="5341"/>
    <n v="1962"/>
    <x v="0"/>
    <x v="2"/>
    <x v="3"/>
    <n v="81975"/>
    <x v="2"/>
    <n v="0"/>
    <n v="1"/>
    <x v="2"/>
    <x v="180"/>
    <n v="2"/>
    <x v="1"/>
    <n v="0"/>
    <n v="983"/>
    <n v="76"/>
    <n v="184"/>
    <n v="180"/>
    <n v="138"/>
    <n v="27"/>
    <n v="1588"/>
    <n v="1"/>
    <n v="6"/>
    <n v="3"/>
    <n v="4"/>
    <n v="13"/>
    <n v="7"/>
    <x v="1"/>
  </r>
  <r>
    <n v="1606"/>
    <n v="1971"/>
    <x v="1"/>
    <x v="0"/>
    <x v="1"/>
    <n v="38590"/>
    <x v="1"/>
    <n v="1"/>
    <n v="0"/>
    <x v="2"/>
    <x v="187"/>
    <n v="65"/>
    <x v="0"/>
    <n v="0"/>
    <n v="3"/>
    <n v="1"/>
    <n v="8"/>
    <n v="4"/>
    <n v="3"/>
    <n v="3"/>
    <n v="22"/>
    <n v="1"/>
    <n v="1"/>
    <n v="0"/>
    <n v="2"/>
    <n v="3"/>
    <n v="8"/>
    <x v="0"/>
  </r>
  <r>
    <n v="9617"/>
    <n v="1951"/>
    <x v="4"/>
    <x v="0"/>
    <x v="0"/>
    <n v="15033"/>
    <x v="3"/>
    <n v="0"/>
    <n v="0"/>
    <x v="0"/>
    <x v="188"/>
    <n v="37"/>
    <x v="1"/>
    <n v="0"/>
    <n v="0"/>
    <n v="4"/>
    <n v="5"/>
    <n v="6"/>
    <n v="0"/>
    <n v="4"/>
    <n v="19"/>
    <n v="1"/>
    <n v="1"/>
    <n v="0"/>
    <n v="3"/>
    <n v="4"/>
    <n v="3"/>
    <x v="0"/>
  </r>
  <r>
    <n v="3233"/>
    <n v="1965"/>
    <x v="1"/>
    <x v="1"/>
    <x v="2"/>
    <n v="62745"/>
    <x v="0"/>
    <n v="0"/>
    <n v="1"/>
    <x v="2"/>
    <x v="189"/>
    <n v="89"/>
    <x v="0"/>
    <n v="0"/>
    <n v="562"/>
    <n v="21"/>
    <n v="464"/>
    <n v="28"/>
    <n v="10"/>
    <n v="32"/>
    <n v="1117"/>
    <n v="3"/>
    <n v="7"/>
    <n v="8"/>
    <n v="11"/>
    <n v="26"/>
    <n v="5"/>
    <x v="0"/>
  </r>
  <r>
    <n v="89"/>
    <n v="1975"/>
    <x v="3"/>
    <x v="2"/>
    <x v="2"/>
    <n v="22212"/>
    <x v="3"/>
    <n v="1"/>
    <n v="0"/>
    <x v="2"/>
    <x v="163"/>
    <n v="49"/>
    <x v="0"/>
    <n v="0"/>
    <n v="5"/>
    <n v="9"/>
    <n v="20"/>
    <n v="6"/>
    <n v="8"/>
    <n v="21"/>
    <n v="69"/>
    <n v="2"/>
    <n v="2"/>
    <n v="0"/>
    <n v="4"/>
    <n v="6"/>
    <n v="6"/>
    <x v="0"/>
  </r>
  <r>
    <n v="2936"/>
    <n v="1982"/>
    <x v="3"/>
    <x v="2"/>
    <x v="1"/>
    <n v="23661"/>
    <x v="3"/>
    <n v="1"/>
    <n v="0"/>
    <x v="2"/>
    <x v="190"/>
    <n v="46"/>
    <x v="1"/>
    <n v="0"/>
    <n v="18"/>
    <n v="0"/>
    <n v="4"/>
    <n v="0"/>
    <n v="0"/>
    <n v="1"/>
    <n v="23"/>
    <n v="1"/>
    <n v="1"/>
    <n v="0"/>
    <n v="3"/>
    <n v="4"/>
    <n v="7"/>
    <x v="0"/>
  </r>
  <r>
    <n v="9449"/>
    <n v="1958"/>
    <x v="0"/>
    <x v="1"/>
    <x v="0"/>
    <n v="79761"/>
    <x v="2"/>
    <n v="0"/>
    <n v="1"/>
    <x v="2"/>
    <x v="191"/>
    <n v="32"/>
    <x v="1"/>
    <n v="0"/>
    <n v="415"/>
    <n v="5"/>
    <n v="124"/>
    <n v="15"/>
    <n v="35"/>
    <n v="11"/>
    <n v="605"/>
    <n v="1"/>
    <n v="5"/>
    <n v="2"/>
    <n v="11"/>
    <n v="18"/>
    <n v="3"/>
    <x v="0"/>
  </r>
  <r>
    <n v="7297"/>
    <n v="1973"/>
    <x v="3"/>
    <x v="0"/>
    <x v="0"/>
    <n v="7500"/>
    <x v="3"/>
    <n v="1"/>
    <n v="0"/>
    <x v="2"/>
    <x v="192"/>
    <n v="54"/>
    <x v="0"/>
    <n v="0"/>
    <n v="5"/>
    <n v="3"/>
    <n v="10"/>
    <n v="12"/>
    <n v="7"/>
    <n v="20"/>
    <n v="57"/>
    <n v="4"/>
    <n v="3"/>
    <n v="1"/>
    <n v="3"/>
    <n v="7"/>
    <n v="7"/>
    <x v="0"/>
  </r>
  <r>
    <n v="11004"/>
    <n v="1893"/>
    <x v="0"/>
    <x v="2"/>
    <x v="0"/>
    <n v="60182"/>
    <x v="0"/>
    <n v="0"/>
    <n v="1"/>
    <x v="2"/>
    <x v="193"/>
    <n v="23"/>
    <x v="1"/>
    <n v="0"/>
    <n v="8"/>
    <n v="0"/>
    <n v="5"/>
    <n v="7"/>
    <n v="0"/>
    <n v="2"/>
    <n v="22"/>
    <n v="1"/>
    <n v="1"/>
    <n v="0"/>
    <n v="2"/>
    <n v="3"/>
    <n v="4"/>
    <x v="0"/>
  </r>
  <r>
    <n v="313"/>
    <n v="1968"/>
    <x v="1"/>
    <x v="0"/>
    <x v="4"/>
    <n v="73455"/>
    <x v="2"/>
    <n v="0"/>
    <n v="0"/>
    <x v="0"/>
    <x v="194"/>
    <n v="98"/>
    <x v="0"/>
    <n v="0"/>
    <n v="901"/>
    <n v="61"/>
    <n v="757"/>
    <n v="186"/>
    <n v="163"/>
    <n v="20"/>
    <n v="2088"/>
    <n v="1"/>
    <n v="6"/>
    <n v="5"/>
    <n v="10"/>
    <n v="21"/>
    <n v="3"/>
    <x v="0"/>
  </r>
  <r>
    <n v="9940"/>
    <n v="1958"/>
    <x v="0"/>
    <x v="0"/>
    <x v="1"/>
    <n v="64961"/>
    <x v="0"/>
    <n v="0"/>
    <n v="1"/>
    <x v="2"/>
    <x v="19"/>
    <n v="97"/>
    <x v="0"/>
    <n v="0"/>
    <n v="382"/>
    <n v="114"/>
    <n v="276"/>
    <n v="75"/>
    <n v="124"/>
    <n v="38"/>
    <n v="1009"/>
    <n v="2"/>
    <n v="6"/>
    <n v="4"/>
    <n v="4"/>
    <n v="14"/>
    <n v="3"/>
    <x v="0"/>
  </r>
  <r>
    <n v="10735"/>
    <n v="1971"/>
    <x v="1"/>
    <x v="0"/>
    <x v="0"/>
    <n v="22804"/>
    <x v="3"/>
    <n v="1"/>
    <n v="0"/>
    <x v="2"/>
    <x v="195"/>
    <n v="75"/>
    <x v="0"/>
    <n v="0"/>
    <n v="14"/>
    <n v="1"/>
    <n v="7"/>
    <n v="2"/>
    <n v="1"/>
    <n v="1"/>
    <n v="26"/>
    <n v="1"/>
    <n v="2"/>
    <n v="0"/>
    <n v="2"/>
    <n v="4"/>
    <n v="9"/>
    <x v="0"/>
  </r>
  <r>
    <n v="9529"/>
    <n v="1990"/>
    <x v="2"/>
    <x v="0"/>
    <x v="2"/>
    <n v="73687"/>
    <x v="2"/>
    <n v="0"/>
    <n v="0"/>
    <x v="0"/>
    <x v="196"/>
    <n v="8"/>
    <x v="1"/>
    <n v="0"/>
    <n v="559"/>
    <n v="153"/>
    <n v="503"/>
    <n v="218"/>
    <n v="13"/>
    <n v="181"/>
    <n v="1627"/>
    <n v="1"/>
    <n v="3"/>
    <n v="9"/>
    <n v="9"/>
    <n v="21"/>
    <n v="2"/>
    <x v="1"/>
  </r>
  <r>
    <n v="6439"/>
    <n v="1958"/>
    <x v="0"/>
    <x v="0"/>
    <x v="2"/>
    <n v="61074"/>
    <x v="0"/>
    <n v="0"/>
    <n v="1"/>
    <x v="2"/>
    <x v="197"/>
    <n v="37"/>
    <x v="1"/>
    <n v="0"/>
    <n v="789"/>
    <n v="0"/>
    <n v="133"/>
    <n v="0"/>
    <n v="28"/>
    <n v="152"/>
    <n v="1102"/>
    <n v="7"/>
    <n v="11"/>
    <n v="5"/>
    <n v="8"/>
    <n v="24"/>
    <n v="7"/>
    <x v="1"/>
  </r>
  <r>
    <n v="7411"/>
    <n v="1964"/>
    <x v="1"/>
    <x v="1"/>
    <x v="2"/>
    <n v="31686"/>
    <x v="3"/>
    <n v="1"/>
    <n v="1"/>
    <x v="1"/>
    <x v="198"/>
    <n v="31"/>
    <x v="1"/>
    <n v="0"/>
    <n v="11"/>
    <n v="0"/>
    <n v="5"/>
    <n v="0"/>
    <n v="0"/>
    <n v="1"/>
    <n v="17"/>
    <n v="2"/>
    <n v="1"/>
    <n v="0"/>
    <n v="3"/>
    <n v="4"/>
    <n v="6"/>
    <x v="0"/>
  </r>
  <r>
    <n v="2176"/>
    <n v="1972"/>
    <x v="1"/>
    <x v="0"/>
    <x v="2"/>
    <n v="80134"/>
    <x v="2"/>
    <n v="1"/>
    <n v="0"/>
    <x v="2"/>
    <x v="199"/>
    <n v="40"/>
    <x v="1"/>
    <n v="0"/>
    <n v="1218"/>
    <n v="16"/>
    <n v="272"/>
    <n v="104"/>
    <n v="0"/>
    <n v="80"/>
    <n v="1690"/>
    <n v="2"/>
    <n v="5"/>
    <n v="3"/>
    <n v="6"/>
    <n v="14"/>
    <n v="6"/>
    <x v="1"/>
  </r>
  <r>
    <n v="9265"/>
    <n v="1953"/>
    <x v="0"/>
    <x v="0"/>
    <x v="2"/>
    <n v="75027"/>
    <x v="2"/>
    <n v="0"/>
    <n v="1"/>
    <x v="2"/>
    <x v="200"/>
    <n v="74"/>
    <x v="0"/>
    <n v="0"/>
    <n v="925"/>
    <n v="64"/>
    <n v="179"/>
    <n v="133"/>
    <n v="12"/>
    <n v="77"/>
    <n v="1390"/>
    <n v="2"/>
    <n v="9"/>
    <n v="4"/>
    <n v="6"/>
    <n v="19"/>
    <n v="5"/>
    <x v="0"/>
  </r>
  <r>
    <n v="8867"/>
    <n v="1988"/>
    <x v="2"/>
    <x v="1"/>
    <x v="2"/>
    <n v="67546"/>
    <x v="0"/>
    <n v="0"/>
    <n v="0"/>
    <x v="0"/>
    <x v="14"/>
    <n v="90"/>
    <x v="0"/>
    <n v="0"/>
    <n v="864"/>
    <n v="134"/>
    <n v="768"/>
    <n v="150"/>
    <n v="38"/>
    <n v="172"/>
    <n v="2126"/>
    <n v="1"/>
    <n v="4"/>
    <n v="10"/>
    <n v="5"/>
    <n v="19"/>
    <n v="3"/>
    <x v="0"/>
  </r>
  <r>
    <n v="8932"/>
    <n v="1969"/>
    <x v="1"/>
    <x v="2"/>
    <x v="1"/>
    <n v="65176"/>
    <x v="0"/>
    <n v="0"/>
    <n v="1"/>
    <x v="2"/>
    <x v="29"/>
    <n v="57"/>
    <x v="0"/>
    <n v="0"/>
    <n v="960"/>
    <n v="28"/>
    <n v="183"/>
    <n v="220"/>
    <n v="70"/>
    <n v="70"/>
    <n v="1531"/>
    <n v="4"/>
    <n v="9"/>
    <n v="6"/>
    <n v="6"/>
    <n v="21"/>
    <n v="6"/>
    <x v="0"/>
  </r>
  <r>
    <n v="10236"/>
    <n v="1975"/>
    <x v="3"/>
    <x v="2"/>
    <x v="0"/>
    <n v="31160"/>
    <x v="3"/>
    <n v="1"/>
    <n v="0"/>
    <x v="2"/>
    <x v="201"/>
    <n v="59"/>
    <x v="0"/>
    <n v="0"/>
    <n v="16"/>
    <n v="3"/>
    <n v="25"/>
    <n v="6"/>
    <n v="1"/>
    <n v="13"/>
    <n v="64"/>
    <n v="2"/>
    <n v="2"/>
    <n v="0"/>
    <n v="3"/>
    <n v="5"/>
    <n v="8"/>
    <x v="0"/>
  </r>
  <r>
    <n v="6340"/>
    <n v="1985"/>
    <x v="2"/>
    <x v="0"/>
    <x v="0"/>
    <n v="29938"/>
    <x v="3"/>
    <n v="1"/>
    <n v="0"/>
    <x v="2"/>
    <x v="202"/>
    <n v="52"/>
    <x v="0"/>
    <n v="0"/>
    <n v="3"/>
    <n v="3"/>
    <n v="7"/>
    <n v="0"/>
    <n v="2"/>
    <n v="11"/>
    <n v="26"/>
    <n v="2"/>
    <n v="1"/>
    <n v="0"/>
    <n v="3"/>
    <n v="4"/>
    <n v="6"/>
    <x v="0"/>
  </r>
  <r>
    <n v="10089"/>
    <n v="1974"/>
    <x v="3"/>
    <x v="0"/>
    <x v="3"/>
    <n v="102692"/>
    <x v="2"/>
    <n v="0"/>
    <n v="0"/>
    <x v="0"/>
    <x v="66"/>
    <n v="5"/>
    <x v="1"/>
    <n v="0"/>
    <n v="168"/>
    <n v="148"/>
    <n v="444"/>
    <n v="32"/>
    <n v="172"/>
    <n v="148"/>
    <n v="1112"/>
    <n v="1"/>
    <n v="6"/>
    <n v="9"/>
    <n v="13"/>
    <n v="28"/>
    <n v="2"/>
    <x v="1"/>
  </r>
  <r>
    <n v="2227"/>
    <n v="1958"/>
    <x v="0"/>
    <x v="2"/>
    <x v="1"/>
    <n v="26490"/>
    <x v="3"/>
    <n v="0"/>
    <n v="0"/>
    <x v="0"/>
    <x v="203"/>
    <n v="92"/>
    <x v="0"/>
    <n v="0"/>
    <n v="45"/>
    <n v="47"/>
    <n v="52"/>
    <n v="21"/>
    <n v="20"/>
    <n v="25"/>
    <n v="210"/>
    <n v="2"/>
    <n v="3"/>
    <n v="1"/>
    <n v="5"/>
    <n v="9"/>
    <n v="6"/>
    <x v="0"/>
  </r>
  <r>
    <n v="10992"/>
    <n v="1967"/>
    <x v="1"/>
    <x v="0"/>
    <x v="1"/>
    <n v="75702"/>
    <x v="2"/>
    <n v="1"/>
    <n v="1"/>
    <x v="1"/>
    <x v="72"/>
    <n v="77"/>
    <x v="0"/>
    <n v="0"/>
    <n v="650"/>
    <n v="28"/>
    <n v="353"/>
    <n v="45"/>
    <n v="42"/>
    <n v="30"/>
    <n v="1148"/>
    <n v="5"/>
    <n v="4"/>
    <n v="6"/>
    <n v="11"/>
    <n v="21"/>
    <n v="8"/>
    <x v="0"/>
  </r>
  <r>
    <n v="5304"/>
    <n v="1974"/>
    <x v="3"/>
    <x v="1"/>
    <x v="0"/>
    <n v="30899"/>
    <x v="3"/>
    <n v="1"/>
    <n v="0"/>
    <x v="2"/>
    <x v="204"/>
    <n v="35"/>
    <x v="1"/>
    <n v="0"/>
    <n v="24"/>
    <n v="0"/>
    <n v="8"/>
    <n v="0"/>
    <n v="0"/>
    <n v="1"/>
    <n v="33"/>
    <n v="2"/>
    <n v="1"/>
    <n v="0"/>
    <n v="3"/>
    <n v="4"/>
    <n v="6"/>
    <x v="0"/>
  </r>
  <r>
    <n v="309"/>
    <n v="1961"/>
    <x v="0"/>
    <x v="1"/>
    <x v="1"/>
    <n v="63342"/>
    <x v="0"/>
    <n v="0"/>
    <n v="1"/>
    <x v="2"/>
    <x v="205"/>
    <n v="48"/>
    <x v="1"/>
    <n v="0"/>
    <n v="918"/>
    <n v="21"/>
    <n v="118"/>
    <n v="13"/>
    <n v="10"/>
    <n v="21"/>
    <n v="1101"/>
    <n v="3"/>
    <n v="8"/>
    <n v="3"/>
    <n v="5"/>
    <n v="16"/>
    <n v="6"/>
    <x v="1"/>
  </r>
  <r>
    <n v="3406"/>
    <n v="1964"/>
    <x v="1"/>
    <x v="0"/>
    <x v="0"/>
    <n v="45989"/>
    <x v="1"/>
    <n v="0"/>
    <n v="1"/>
    <x v="2"/>
    <x v="206"/>
    <n v="97"/>
    <x v="0"/>
    <n v="0"/>
    <n v="138"/>
    <n v="33"/>
    <n v="87"/>
    <n v="28"/>
    <n v="24"/>
    <n v="12"/>
    <n v="322"/>
    <n v="4"/>
    <n v="3"/>
    <n v="2"/>
    <n v="7"/>
    <n v="12"/>
    <n v="3"/>
    <x v="0"/>
  </r>
  <r>
    <n v="2661"/>
    <n v="1964"/>
    <x v="1"/>
    <x v="0"/>
    <x v="0"/>
    <n v="18701"/>
    <x v="3"/>
    <n v="1"/>
    <n v="1"/>
    <x v="1"/>
    <x v="207"/>
    <n v="95"/>
    <x v="0"/>
    <n v="0"/>
    <n v="12"/>
    <n v="4"/>
    <n v="2"/>
    <n v="10"/>
    <n v="6"/>
    <n v="10"/>
    <n v="44"/>
    <n v="4"/>
    <n v="2"/>
    <n v="0"/>
    <n v="4"/>
    <n v="6"/>
    <n v="5"/>
    <x v="0"/>
  </r>
  <r>
    <n v="3153"/>
    <n v="1957"/>
    <x v="0"/>
    <x v="1"/>
    <x v="0"/>
    <n v="40737"/>
    <x v="1"/>
    <n v="2"/>
    <n v="1"/>
    <x v="3"/>
    <x v="167"/>
    <n v="24"/>
    <x v="1"/>
    <n v="0"/>
    <n v="11"/>
    <n v="0"/>
    <n v="4"/>
    <n v="0"/>
    <n v="0"/>
    <n v="2"/>
    <n v="17"/>
    <n v="1"/>
    <n v="1"/>
    <n v="0"/>
    <n v="2"/>
    <n v="3"/>
    <n v="8"/>
    <x v="0"/>
  </r>
  <r>
    <n v="10264"/>
    <n v="1979"/>
    <x v="3"/>
    <x v="0"/>
    <x v="3"/>
    <n v="15287"/>
    <x v="3"/>
    <n v="1"/>
    <n v="0"/>
    <x v="2"/>
    <x v="11"/>
    <n v="60"/>
    <x v="0"/>
    <n v="0"/>
    <n v="1"/>
    <n v="2"/>
    <n v="8"/>
    <n v="4"/>
    <n v="3"/>
    <n v="13"/>
    <n v="31"/>
    <n v="2"/>
    <n v="1"/>
    <n v="1"/>
    <n v="2"/>
    <n v="4"/>
    <n v="7"/>
    <x v="0"/>
  </r>
  <r>
    <n v="1184"/>
    <n v="1968"/>
    <x v="1"/>
    <x v="1"/>
    <x v="3"/>
    <n v="69674"/>
    <x v="2"/>
    <n v="0"/>
    <n v="2"/>
    <x v="1"/>
    <x v="208"/>
    <n v="46"/>
    <x v="1"/>
    <n v="0"/>
    <n v="554"/>
    <n v="41"/>
    <n v="215"/>
    <n v="11"/>
    <n v="0"/>
    <n v="24"/>
    <n v="845"/>
    <n v="3"/>
    <n v="10"/>
    <n v="2"/>
    <n v="10"/>
    <n v="22"/>
    <n v="5"/>
    <x v="1"/>
  </r>
  <r>
    <n v="4200"/>
    <n v="1970"/>
    <x v="1"/>
    <x v="2"/>
    <x v="2"/>
    <n v="44159"/>
    <x v="1"/>
    <n v="1"/>
    <n v="0"/>
    <x v="2"/>
    <x v="209"/>
    <n v="85"/>
    <x v="0"/>
    <n v="0"/>
    <n v="167"/>
    <n v="2"/>
    <n v="62"/>
    <n v="24"/>
    <n v="13"/>
    <n v="7"/>
    <n v="275"/>
    <n v="4"/>
    <n v="4"/>
    <n v="1"/>
    <n v="6"/>
    <n v="11"/>
    <n v="5"/>
    <x v="0"/>
  </r>
  <r>
    <n v="9396"/>
    <n v="1978"/>
    <x v="3"/>
    <x v="1"/>
    <x v="2"/>
    <n v="37717"/>
    <x v="1"/>
    <n v="1"/>
    <n v="0"/>
    <x v="2"/>
    <x v="210"/>
    <n v="31"/>
    <x v="1"/>
    <n v="0"/>
    <n v="9"/>
    <n v="0"/>
    <n v="6"/>
    <n v="4"/>
    <n v="1"/>
    <n v="5"/>
    <n v="25"/>
    <n v="1"/>
    <n v="1"/>
    <n v="0"/>
    <n v="2"/>
    <n v="3"/>
    <n v="9"/>
    <x v="0"/>
  </r>
  <r>
    <n v="2387"/>
    <n v="1952"/>
    <x v="4"/>
    <x v="2"/>
    <x v="1"/>
    <n v="43776"/>
    <x v="1"/>
    <n v="1"/>
    <n v="1"/>
    <x v="1"/>
    <x v="211"/>
    <n v="9"/>
    <x v="1"/>
    <n v="0"/>
    <n v="177"/>
    <n v="2"/>
    <n v="71"/>
    <n v="3"/>
    <n v="2"/>
    <n v="20"/>
    <n v="275"/>
    <n v="6"/>
    <n v="5"/>
    <n v="2"/>
    <n v="4"/>
    <n v="11"/>
    <n v="8"/>
    <x v="0"/>
  </r>
  <r>
    <n v="6690"/>
    <n v="1966"/>
    <x v="1"/>
    <x v="2"/>
    <x v="2"/>
    <n v="38179"/>
    <x v="1"/>
    <n v="1"/>
    <n v="1"/>
    <x v="1"/>
    <x v="212"/>
    <n v="30"/>
    <x v="1"/>
    <n v="0"/>
    <n v="38"/>
    <n v="4"/>
    <n v="22"/>
    <n v="4"/>
    <n v="2"/>
    <n v="20"/>
    <n v="90"/>
    <n v="4"/>
    <n v="3"/>
    <n v="1"/>
    <n v="3"/>
    <n v="7"/>
    <n v="7"/>
    <x v="0"/>
  </r>
  <r>
    <n v="1225"/>
    <n v="1963"/>
    <x v="1"/>
    <x v="0"/>
    <x v="2"/>
    <n v="80124"/>
    <x v="2"/>
    <n v="0"/>
    <n v="0"/>
    <x v="0"/>
    <x v="213"/>
    <n v="47"/>
    <x v="1"/>
    <n v="0"/>
    <n v="483"/>
    <n v="84"/>
    <n v="398"/>
    <n v="205"/>
    <n v="84"/>
    <n v="241"/>
    <n v="1495"/>
    <n v="1"/>
    <n v="3"/>
    <n v="7"/>
    <n v="8"/>
    <n v="18"/>
    <n v="1"/>
    <x v="1"/>
  </r>
  <r>
    <n v="9703"/>
    <n v="1970"/>
    <x v="1"/>
    <x v="1"/>
    <x v="2"/>
    <n v="38097"/>
    <x v="1"/>
    <n v="1"/>
    <n v="1"/>
    <x v="1"/>
    <x v="214"/>
    <n v="70"/>
    <x v="0"/>
    <n v="0"/>
    <n v="77"/>
    <n v="2"/>
    <n v="35"/>
    <n v="0"/>
    <n v="1"/>
    <n v="69"/>
    <n v="184"/>
    <n v="4"/>
    <n v="3"/>
    <n v="2"/>
    <n v="2"/>
    <n v="7"/>
    <n v="7"/>
    <x v="0"/>
  </r>
  <r>
    <n v="291"/>
    <n v="1970"/>
    <x v="1"/>
    <x v="0"/>
    <x v="2"/>
    <n v="72940"/>
    <x v="2"/>
    <n v="0"/>
    <n v="0"/>
    <x v="0"/>
    <x v="215"/>
    <n v="13"/>
    <x v="1"/>
    <n v="0"/>
    <n v="182"/>
    <n v="74"/>
    <n v="298"/>
    <n v="162"/>
    <n v="149"/>
    <n v="116"/>
    <n v="981"/>
    <n v="1"/>
    <n v="3"/>
    <n v="3"/>
    <n v="6"/>
    <n v="12"/>
    <n v="1"/>
    <x v="0"/>
  </r>
  <r>
    <n v="4557"/>
    <n v="1970"/>
    <x v="1"/>
    <x v="0"/>
    <x v="1"/>
    <n v="22070"/>
    <x v="3"/>
    <n v="1"/>
    <n v="0"/>
    <x v="2"/>
    <x v="191"/>
    <n v="11"/>
    <x v="1"/>
    <n v="0"/>
    <n v="10"/>
    <n v="7"/>
    <n v="19"/>
    <n v="8"/>
    <n v="2"/>
    <n v="21"/>
    <n v="67"/>
    <n v="2"/>
    <n v="2"/>
    <n v="2"/>
    <n v="2"/>
    <n v="6"/>
    <n v="6"/>
    <x v="0"/>
  </r>
  <r>
    <n v="2379"/>
    <n v="1953"/>
    <x v="0"/>
    <x v="0"/>
    <x v="0"/>
    <n v="69267"/>
    <x v="2"/>
    <n v="0"/>
    <n v="0"/>
    <x v="0"/>
    <x v="203"/>
    <n v="31"/>
    <x v="1"/>
    <n v="0"/>
    <n v="778"/>
    <n v="44"/>
    <n v="499"/>
    <n v="95"/>
    <n v="73"/>
    <n v="146"/>
    <n v="1635"/>
    <n v="2"/>
    <n v="3"/>
    <n v="4"/>
    <n v="5"/>
    <n v="12"/>
    <n v="7"/>
    <x v="0"/>
  </r>
  <r>
    <n v="5726"/>
    <n v="1983"/>
    <x v="2"/>
    <x v="2"/>
    <x v="0"/>
    <n v="31788"/>
    <x v="3"/>
    <n v="1"/>
    <n v="0"/>
    <x v="2"/>
    <x v="216"/>
    <n v="15"/>
    <x v="1"/>
    <n v="1"/>
    <n v="16"/>
    <n v="7"/>
    <n v="23"/>
    <n v="0"/>
    <n v="8"/>
    <n v="6"/>
    <n v="60"/>
    <n v="3"/>
    <n v="3"/>
    <n v="0"/>
    <n v="4"/>
    <n v="7"/>
    <n v="5"/>
    <x v="0"/>
  </r>
  <r>
    <n v="3066"/>
    <n v="1975"/>
    <x v="3"/>
    <x v="1"/>
    <x v="1"/>
    <n v="61905"/>
    <x v="0"/>
    <n v="0"/>
    <n v="1"/>
    <x v="2"/>
    <x v="217"/>
    <n v="2"/>
    <x v="1"/>
    <n v="0"/>
    <n v="167"/>
    <n v="0"/>
    <n v="43"/>
    <n v="6"/>
    <n v="2"/>
    <n v="13"/>
    <n v="231"/>
    <n v="2"/>
    <n v="4"/>
    <n v="2"/>
    <n v="4"/>
    <n v="10"/>
    <n v="5"/>
    <x v="0"/>
  </r>
  <r>
    <n v="6336"/>
    <n v="1960"/>
    <x v="0"/>
    <x v="0"/>
    <x v="2"/>
    <n v="29315"/>
    <x v="3"/>
    <n v="1"/>
    <n v="1"/>
    <x v="1"/>
    <x v="218"/>
    <n v="55"/>
    <x v="0"/>
    <n v="0"/>
    <n v="13"/>
    <n v="2"/>
    <n v="14"/>
    <n v="8"/>
    <n v="7"/>
    <n v="4"/>
    <n v="48"/>
    <n v="4"/>
    <n v="2"/>
    <n v="0"/>
    <n v="4"/>
    <n v="6"/>
    <n v="6"/>
    <x v="0"/>
  </r>
  <r>
    <n v="10967"/>
    <n v="1963"/>
    <x v="1"/>
    <x v="0"/>
    <x v="3"/>
    <n v="33378"/>
    <x v="3"/>
    <n v="1"/>
    <n v="1"/>
    <x v="1"/>
    <x v="219"/>
    <n v="38"/>
    <x v="1"/>
    <n v="0"/>
    <n v="33"/>
    <n v="6"/>
    <n v="40"/>
    <n v="3"/>
    <n v="7"/>
    <n v="10"/>
    <n v="99"/>
    <n v="3"/>
    <n v="2"/>
    <n v="0"/>
    <n v="4"/>
    <n v="6"/>
    <n v="7"/>
    <x v="0"/>
  </r>
  <r>
    <n v="2304"/>
    <n v="1963"/>
    <x v="1"/>
    <x v="1"/>
    <x v="1"/>
    <n v="66313"/>
    <x v="0"/>
    <n v="0"/>
    <n v="1"/>
    <x v="2"/>
    <x v="201"/>
    <n v="86"/>
    <x v="0"/>
    <n v="0"/>
    <n v="625"/>
    <n v="7"/>
    <n v="99"/>
    <n v="10"/>
    <n v="22"/>
    <n v="7"/>
    <n v="770"/>
    <n v="2"/>
    <n v="6"/>
    <n v="3"/>
    <n v="12"/>
    <n v="21"/>
    <n v="4"/>
    <x v="0"/>
  </r>
  <r>
    <n v="3445"/>
    <n v="1956"/>
    <x v="0"/>
    <x v="0"/>
    <x v="0"/>
    <n v="60714"/>
    <x v="0"/>
    <n v="0"/>
    <n v="0"/>
    <x v="0"/>
    <x v="160"/>
    <n v="56"/>
    <x v="0"/>
    <n v="0"/>
    <n v="216"/>
    <n v="162"/>
    <n v="224"/>
    <n v="101"/>
    <n v="92"/>
    <n v="162"/>
    <n v="957"/>
    <n v="2"/>
    <n v="7"/>
    <n v="4"/>
    <n v="10"/>
    <n v="21"/>
    <n v="5"/>
    <x v="0"/>
  </r>
  <r>
    <n v="7828"/>
    <n v="1981"/>
    <x v="3"/>
    <x v="2"/>
    <x v="1"/>
    <n v="77882"/>
    <x v="2"/>
    <n v="0"/>
    <n v="0"/>
    <x v="0"/>
    <x v="67"/>
    <n v="29"/>
    <x v="1"/>
    <n v="0"/>
    <n v="68"/>
    <n v="129"/>
    <n v="396"/>
    <n v="188"/>
    <n v="22"/>
    <n v="15"/>
    <n v="818"/>
    <n v="1"/>
    <n v="3"/>
    <n v="3"/>
    <n v="5"/>
    <n v="11"/>
    <n v="1"/>
    <x v="0"/>
  </r>
  <r>
    <n v="3762"/>
    <n v="1986"/>
    <x v="2"/>
    <x v="1"/>
    <x v="0"/>
    <n v="69867"/>
    <x v="2"/>
    <n v="0"/>
    <n v="0"/>
    <x v="0"/>
    <x v="49"/>
    <n v="30"/>
    <x v="1"/>
    <n v="0"/>
    <n v="196"/>
    <n v="0"/>
    <n v="512"/>
    <n v="33"/>
    <n v="130"/>
    <n v="54"/>
    <n v="925"/>
    <n v="1"/>
    <n v="3"/>
    <n v="5"/>
    <n v="8"/>
    <n v="16"/>
    <n v="1"/>
    <x v="1"/>
  </r>
  <r>
    <n v="4391"/>
    <n v="1968"/>
    <x v="1"/>
    <x v="2"/>
    <x v="3"/>
    <n v="63841"/>
    <x v="0"/>
    <n v="0"/>
    <n v="1"/>
    <x v="2"/>
    <x v="108"/>
    <n v="64"/>
    <x v="0"/>
    <n v="0"/>
    <n v="635"/>
    <n v="15"/>
    <n v="100"/>
    <n v="20"/>
    <n v="7"/>
    <n v="131"/>
    <n v="908"/>
    <n v="1"/>
    <n v="9"/>
    <n v="3"/>
    <n v="9"/>
    <n v="21"/>
    <n v="6"/>
    <x v="0"/>
  </r>
  <r>
    <n v="4669"/>
    <n v="1981"/>
    <x v="3"/>
    <x v="3"/>
    <x v="2"/>
    <n v="24480"/>
    <x v="3"/>
    <n v="1"/>
    <n v="0"/>
    <x v="2"/>
    <x v="220"/>
    <n v="46"/>
    <x v="1"/>
    <n v="0"/>
    <n v="4"/>
    <n v="19"/>
    <n v="9"/>
    <n v="28"/>
    <n v="25"/>
    <n v="17"/>
    <n v="102"/>
    <n v="3"/>
    <n v="3"/>
    <n v="0"/>
    <n v="4"/>
    <n v="7"/>
    <n v="7"/>
    <x v="0"/>
  </r>
  <r>
    <n v="1672"/>
    <n v="1974"/>
    <x v="3"/>
    <x v="1"/>
    <x v="1"/>
    <n v="65640"/>
    <x v="0"/>
    <n v="0"/>
    <n v="1"/>
    <x v="2"/>
    <x v="137"/>
    <n v="74"/>
    <x v="0"/>
    <n v="0"/>
    <n v="204"/>
    <n v="7"/>
    <n v="149"/>
    <n v="20"/>
    <n v="15"/>
    <n v="66"/>
    <n v="461"/>
    <n v="1"/>
    <n v="5"/>
    <n v="1"/>
    <n v="8"/>
    <n v="14"/>
    <n v="2"/>
    <x v="0"/>
  </r>
  <r>
    <n v="8962"/>
    <n v="1975"/>
    <x v="3"/>
    <x v="2"/>
    <x v="2"/>
    <n v="44319"/>
    <x v="1"/>
    <n v="1"/>
    <n v="1"/>
    <x v="1"/>
    <x v="221"/>
    <n v="18"/>
    <x v="1"/>
    <n v="0"/>
    <n v="26"/>
    <n v="0"/>
    <n v="8"/>
    <n v="0"/>
    <n v="0"/>
    <n v="3"/>
    <n v="37"/>
    <n v="2"/>
    <n v="2"/>
    <n v="0"/>
    <n v="3"/>
    <n v="5"/>
    <n v="5"/>
    <x v="0"/>
  </r>
  <r>
    <n v="9974"/>
    <n v="1974"/>
    <x v="3"/>
    <x v="0"/>
    <x v="2"/>
    <n v="30631"/>
    <x v="3"/>
    <n v="1"/>
    <n v="0"/>
    <x v="2"/>
    <x v="222"/>
    <n v="75"/>
    <x v="0"/>
    <n v="0"/>
    <n v="15"/>
    <n v="6"/>
    <n v="20"/>
    <n v="4"/>
    <n v="5"/>
    <n v="20"/>
    <n v="70"/>
    <n v="1"/>
    <n v="3"/>
    <n v="1"/>
    <n v="2"/>
    <n v="6"/>
    <n v="7"/>
    <x v="0"/>
  </r>
  <r>
    <n v="10983"/>
    <n v="1952"/>
    <x v="4"/>
    <x v="0"/>
    <x v="1"/>
    <n v="75278"/>
    <x v="2"/>
    <n v="0"/>
    <n v="0"/>
    <x v="0"/>
    <x v="223"/>
    <n v="17"/>
    <x v="1"/>
    <n v="0"/>
    <n v="304"/>
    <n v="98"/>
    <n v="230"/>
    <n v="150"/>
    <n v="74"/>
    <n v="74"/>
    <n v="930"/>
    <n v="1"/>
    <n v="6"/>
    <n v="3"/>
    <n v="13"/>
    <n v="22"/>
    <n v="3"/>
    <x v="1"/>
  </r>
  <r>
    <n v="8148"/>
    <n v="1956"/>
    <x v="0"/>
    <x v="2"/>
    <x v="1"/>
    <n v="50898"/>
    <x v="1"/>
    <n v="1"/>
    <n v="1"/>
    <x v="1"/>
    <x v="224"/>
    <n v="88"/>
    <x v="0"/>
    <n v="0"/>
    <n v="285"/>
    <n v="28"/>
    <n v="242"/>
    <n v="55"/>
    <n v="114"/>
    <n v="135"/>
    <n v="859"/>
    <n v="13"/>
    <n v="6"/>
    <n v="2"/>
    <n v="12"/>
    <n v="20"/>
    <n v="5"/>
    <x v="0"/>
  </r>
  <r>
    <n v="10102"/>
    <n v="1966"/>
    <x v="1"/>
    <x v="0"/>
    <x v="4"/>
    <n v="79946"/>
    <x v="2"/>
    <n v="0"/>
    <n v="0"/>
    <x v="0"/>
    <x v="44"/>
    <n v="19"/>
    <x v="1"/>
    <n v="0"/>
    <n v="395"/>
    <n v="183"/>
    <n v="565"/>
    <n v="166"/>
    <n v="141"/>
    <n v="28"/>
    <n v="1478"/>
    <n v="1"/>
    <n v="5"/>
    <n v="11"/>
    <n v="5"/>
    <n v="21"/>
    <n v="3"/>
    <x v="1"/>
  </r>
  <r>
    <n v="4697"/>
    <n v="1949"/>
    <x v="4"/>
    <x v="2"/>
    <x v="3"/>
    <n v="35416"/>
    <x v="3"/>
    <n v="0"/>
    <n v="0"/>
    <x v="0"/>
    <x v="225"/>
    <n v="62"/>
    <x v="0"/>
    <n v="0"/>
    <n v="248"/>
    <n v="3"/>
    <n v="81"/>
    <n v="4"/>
    <n v="3"/>
    <n v="51"/>
    <n v="390"/>
    <n v="3"/>
    <n v="7"/>
    <n v="1"/>
    <n v="5"/>
    <n v="13"/>
    <n v="8"/>
    <x v="0"/>
  </r>
  <r>
    <n v="9262"/>
    <n v="1984"/>
    <x v="2"/>
    <x v="2"/>
    <x v="1"/>
    <n v="32414"/>
    <x v="3"/>
    <n v="0"/>
    <n v="0"/>
    <x v="0"/>
    <x v="53"/>
    <n v="11"/>
    <x v="1"/>
    <n v="0"/>
    <n v="20"/>
    <n v="6"/>
    <n v="5"/>
    <n v="0"/>
    <n v="9"/>
    <n v="12"/>
    <n v="52"/>
    <n v="1"/>
    <n v="1"/>
    <n v="0"/>
    <n v="3"/>
    <n v="4"/>
    <n v="7"/>
    <x v="0"/>
  </r>
  <r>
    <n v="7254"/>
    <n v="1969"/>
    <x v="1"/>
    <x v="0"/>
    <x v="1"/>
    <n v="38361"/>
    <x v="1"/>
    <n v="1"/>
    <n v="0"/>
    <x v="2"/>
    <x v="226"/>
    <n v="74"/>
    <x v="0"/>
    <n v="0"/>
    <n v="39"/>
    <n v="0"/>
    <n v="56"/>
    <n v="20"/>
    <n v="8"/>
    <n v="14"/>
    <n v="137"/>
    <n v="3"/>
    <n v="3"/>
    <n v="1"/>
    <n v="3"/>
    <n v="7"/>
    <n v="7"/>
    <x v="0"/>
  </r>
  <r>
    <n v="4543"/>
    <n v="1980"/>
    <x v="3"/>
    <x v="0"/>
    <x v="2"/>
    <n v="82497"/>
    <x v="2"/>
    <n v="0"/>
    <n v="0"/>
    <x v="0"/>
    <x v="227"/>
    <n v="32"/>
    <x v="1"/>
    <n v="0"/>
    <n v="777"/>
    <n v="129"/>
    <n v="573"/>
    <n v="216"/>
    <n v="21"/>
    <n v="203"/>
    <n v="1919"/>
    <n v="1"/>
    <n v="2"/>
    <n v="7"/>
    <n v="9"/>
    <n v="18"/>
    <n v="4"/>
    <x v="1"/>
  </r>
  <r>
    <n v="4927"/>
    <n v="1971"/>
    <x v="1"/>
    <x v="0"/>
    <x v="1"/>
    <n v="16626"/>
    <x v="3"/>
    <n v="2"/>
    <n v="0"/>
    <x v="1"/>
    <x v="228"/>
    <n v="76"/>
    <x v="0"/>
    <n v="0"/>
    <n v="8"/>
    <n v="3"/>
    <n v="22"/>
    <n v="21"/>
    <n v="1"/>
    <n v="13"/>
    <n v="68"/>
    <n v="3"/>
    <n v="3"/>
    <n v="0"/>
    <n v="3"/>
    <n v="6"/>
    <n v="9"/>
    <x v="0"/>
  </r>
  <r>
    <n v="10451"/>
    <n v="1965"/>
    <x v="1"/>
    <x v="0"/>
    <x v="1"/>
    <n v="29672"/>
    <x v="3"/>
    <n v="1"/>
    <n v="1"/>
    <x v="1"/>
    <x v="36"/>
    <n v="6"/>
    <x v="1"/>
    <n v="0"/>
    <n v="9"/>
    <n v="1"/>
    <n v="3"/>
    <n v="0"/>
    <n v="4"/>
    <n v="8"/>
    <n v="25"/>
    <n v="1"/>
    <n v="0"/>
    <n v="0"/>
    <n v="3"/>
    <n v="3"/>
    <n v="6"/>
    <x v="0"/>
  </r>
  <r>
    <n v="2926"/>
    <n v="1952"/>
    <x v="4"/>
    <x v="2"/>
    <x v="1"/>
    <n v="55951"/>
    <x v="0"/>
    <n v="0"/>
    <n v="1"/>
    <x v="2"/>
    <x v="229"/>
    <n v="62"/>
    <x v="0"/>
    <n v="0"/>
    <n v="1241"/>
    <n v="0"/>
    <n v="80"/>
    <n v="0"/>
    <n v="13"/>
    <n v="40"/>
    <n v="1374"/>
    <n v="3"/>
    <n v="3"/>
    <n v="6"/>
    <n v="11"/>
    <n v="20"/>
    <n v="8"/>
    <x v="0"/>
  </r>
  <r>
    <n v="2874"/>
    <n v="1988"/>
    <x v="2"/>
    <x v="2"/>
    <x v="3"/>
    <n v="35388"/>
    <x v="3"/>
    <n v="1"/>
    <n v="0"/>
    <x v="2"/>
    <x v="230"/>
    <n v="20"/>
    <x v="1"/>
    <n v="0"/>
    <n v="6"/>
    <n v="4"/>
    <n v="7"/>
    <n v="4"/>
    <n v="3"/>
    <n v="8"/>
    <n v="32"/>
    <n v="1"/>
    <n v="1"/>
    <n v="0"/>
    <n v="3"/>
    <n v="4"/>
    <n v="7"/>
    <x v="0"/>
  </r>
  <r>
    <n v="9738"/>
    <n v="1986"/>
    <x v="2"/>
    <x v="2"/>
    <x v="1"/>
    <n v="42386"/>
    <x v="1"/>
    <n v="1"/>
    <n v="0"/>
    <x v="2"/>
    <x v="231"/>
    <n v="43"/>
    <x v="1"/>
    <n v="0"/>
    <n v="65"/>
    <n v="4"/>
    <n v="16"/>
    <n v="0"/>
    <n v="4"/>
    <n v="11"/>
    <n v="100"/>
    <n v="1"/>
    <n v="3"/>
    <n v="0"/>
    <n v="3"/>
    <n v="6"/>
    <n v="8"/>
    <x v="0"/>
  </r>
  <r>
    <n v="7119"/>
    <n v="1982"/>
    <x v="3"/>
    <x v="0"/>
    <x v="0"/>
    <n v="68627"/>
    <x v="2"/>
    <n v="0"/>
    <n v="0"/>
    <x v="0"/>
    <x v="232"/>
    <n v="45"/>
    <x v="1"/>
    <n v="0"/>
    <n v="395"/>
    <n v="15"/>
    <n v="263"/>
    <n v="60"/>
    <n v="54"/>
    <n v="38"/>
    <n v="825"/>
    <n v="1"/>
    <n v="2"/>
    <n v="3"/>
    <n v="6"/>
    <n v="11"/>
    <n v="1"/>
    <x v="0"/>
  </r>
  <r>
    <n v="3924"/>
    <n v="1965"/>
    <x v="1"/>
    <x v="1"/>
    <x v="3"/>
    <n v="57912"/>
    <x v="0"/>
    <n v="0"/>
    <n v="1"/>
    <x v="2"/>
    <x v="233"/>
    <n v="34"/>
    <x v="1"/>
    <n v="0"/>
    <n v="801"/>
    <n v="0"/>
    <n v="80"/>
    <n v="0"/>
    <n v="0"/>
    <n v="35"/>
    <n v="916"/>
    <n v="5"/>
    <n v="8"/>
    <n v="3"/>
    <n v="12"/>
    <n v="23"/>
    <n v="5"/>
    <x v="1"/>
  </r>
  <r>
    <n v="5827"/>
    <n v="1958"/>
    <x v="0"/>
    <x v="0"/>
    <x v="3"/>
    <n v="35246"/>
    <x v="3"/>
    <n v="1"/>
    <n v="1"/>
    <x v="1"/>
    <x v="188"/>
    <n v="53"/>
    <x v="0"/>
    <n v="0"/>
    <n v="36"/>
    <n v="0"/>
    <n v="12"/>
    <n v="2"/>
    <n v="2"/>
    <n v="10"/>
    <n v="62"/>
    <n v="4"/>
    <n v="3"/>
    <n v="1"/>
    <n v="3"/>
    <n v="7"/>
    <n v="5"/>
    <x v="0"/>
  </r>
  <r>
    <n v="5596"/>
    <n v="1956"/>
    <x v="0"/>
    <x v="2"/>
    <x v="1"/>
    <n v="58821"/>
    <x v="0"/>
    <n v="0"/>
    <n v="1"/>
    <x v="2"/>
    <x v="234"/>
    <n v="44"/>
    <x v="1"/>
    <n v="0"/>
    <n v="513"/>
    <n v="14"/>
    <n v="154"/>
    <n v="19"/>
    <n v="0"/>
    <n v="28"/>
    <n v="728"/>
    <n v="1"/>
    <n v="9"/>
    <n v="2"/>
    <n v="9"/>
    <n v="20"/>
    <n v="6"/>
    <x v="1"/>
  </r>
  <r>
    <n v="10812"/>
    <n v="1978"/>
    <x v="3"/>
    <x v="1"/>
    <x v="2"/>
    <n v="46377"/>
    <x v="1"/>
    <n v="1"/>
    <n v="0"/>
    <x v="2"/>
    <x v="137"/>
    <n v="89"/>
    <x v="0"/>
    <n v="0"/>
    <n v="37"/>
    <n v="0"/>
    <n v="46"/>
    <n v="4"/>
    <n v="3"/>
    <n v="0"/>
    <n v="90"/>
    <n v="1"/>
    <n v="2"/>
    <n v="1"/>
    <n v="3"/>
    <n v="6"/>
    <n v="4"/>
    <x v="0"/>
  </r>
  <r>
    <n v="1717"/>
    <n v="1988"/>
    <x v="2"/>
    <x v="0"/>
    <x v="0"/>
    <n v="39747"/>
    <x v="1"/>
    <n v="1"/>
    <n v="0"/>
    <x v="2"/>
    <x v="235"/>
    <n v="43"/>
    <x v="1"/>
    <n v="0"/>
    <n v="80"/>
    <n v="15"/>
    <n v="93"/>
    <n v="20"/>
    <n v="13"/>
    <n v="52"/>
    <n v="273"/>
    <n v="3"/>
    <n v="5"/>
    <n v="1"/>
    <n v="4"/>
    <n v="10"/>
    <n v="8"/>
    <x v="0"/>
  </r>
  <r>
    <n v="9491"/>
    <n v="1984"/>
    <x v="2"/>
    <x v="0"/>
    <x v="1"/>
    <n v="23976"/>
    <x v="3"/>
    <n v="1"/>
    <n v="0"/>
    <x v="2"/>
    <x v="226"/>
    <n v="68"/>
    <x v="0"/>
    <n v="0"/>
    <n v="14"/>
    <n v="1"/>
    <n v="21"/>
    <n v="2"/>
    <n v="3"/>
    <n v="25"/>
    <n v="66"/>
    <n v="3"/>
    <n v="3"/>
    <n v="1"/>
    <n v="3"/>
    <n v="7"/>
    <n v="7"/>
    <x v="0"/>
  </r>
  <r>
    <n v="9274"/>
    <n v="1961"/>
    <x v="0"/>
    <x v="2"/>
    <x v="2"/>
    <n v="80950"/>
    <x v="2"/>
    <n v="0"/>
    <n v="0"/>
    <x v="0"/>
    <x v="15"/>
    <n v="44"/>
    <x v="1"/>
    <n v="0"/>
    <n v="525"/>
    <n v="147"/>
    <n v="112"/>
    <n v="219"/>
    <n v="147"/>
    <n v="63"/>
    <n v="1213"/>
    <n v="1"/>
    <n v="6"/>
    <n v="7"/>
    <n v="9"/>
    <n v="22"/>
    <n v="2"/>
    <x v="1"/>
  </r>
  <r>
    <n v="6609"/>
    <n v="1966"/>
    <x v="1"/>
    <x v="0"/>
    <x v="4"/>
    <n v="27038"/>
    <x v="3"/>
    <n v="0"/>
    <n v="0"/>
    <x v="0"/>
    <x v="236"/>
    <n v="64"/>
    <x v="0"/>
    <n v="0"/>
    <n v="1"/>
    <n v="26"/>
    <n v="25"/>
    <n v="17"/>
    <n v="23"/>
    <n v="15"/>
    <n v="107"/>
    <n v="1"/>
    <n v="3"/>
    <n v="0"/>
    <n v="3"/>
    <n v="6"/>
    <n v="9"/>
    <x v="0"/>
  </r>
  <r>
    <n v="6963"/>
    <n v="1947"/>
    <x v="4"/>
    <x v="0"/>
    <x v="0"/>
    <n v="77457"/>
    <x v="2"/>
    <n v="0"/>
    <n v="0"/>
    <x v="0"/>
    <x v="237"/>
    <n v="85"/>
    <x v="0"/>
    <n v="0"/>
    <n v="675"/>
    <n v="11"/>
    <n v="400"/>
    <n v="15"/>
    <n v="45"/>
    <n v="11"/>
    <n v="1157"/>
    <n v="1"/>
    <n v="2"/>
    <n v="5"/>
    <n v="10"/>
    <n v="17"/>
    <n v="1"/>
    <x v="0"/>
  </r>
  <r>
    <n v="4440"/>
    <n v="1964"/>
    <x v="1"/>
    <x v="2"/>
    <x v="2"/>
    <n v="64100"/>
    <x v="0"/>
    <n v="0"/>
    <n v="1"/>
    <x v="2"/>
    <x v="101"/>
    <n v="93"/>
    <x v="0"/>
    <n v="0"/>
    <n v="509"/>
    <n v="0"/>
    <n v="27"/>
    <n v="0"/>
    <n v="0"/>
    <n v="10"/>
    <n v="546"/>
    <n v="1"/>
    <n v="8"/>
    <n v="3"/>
    <n v="6"/>
    <n v="17"/>
    <n v="7"/>
    <x v="0"/>
  </r>
  <r>
    <n v="1379"/>
    <n v="1992"/>
    <x v="2"/>
    <x v="2"/>
    <x v="1"/>
    <n v="42670"/>
    <x v="1"/>
    <n v="0"/>
    <n v="0"/>
    <x v="0"/>
    <x v="238"/>
    <n v="12"/>
    <x v="1"/>
    <n v="0"/>
    <n v="154"/>
    <n v="2"/>
    <n v="46"/>
    <n v="20"/>
    <n v="4"/>
    <n v="15"/>
    <n v="241"/>
    <n v="1"/>
    <n v="4"/>
    <n v="2"/>
    <n v="4"/>
    <n v="10"/>
    <n v="4"/>
    <x v="0"/>
  </r>
  <r>
    <n v="10032"/>
    <n v="1976"/>
    <x v="3"/>
    <x v="0"/>
    <x v="3"/>
    <n v="12571"/>
    <x v="3"/>
    <n v="1"/>
    <n v="0"/>
    <x v="2"/>
    <x v="239"/>
    <n v="86"/>
    <x v="0"/>
    <n v="0"/>
    <n v="3"/>
    <n v="5"/>
    <n v="14"/>
    <n v="2"/>
    <n v="12"/>
    <n v="17"/>
    <n v="53"/>
    <n v="4"/>
    <n v="3"/>
    <n v="1"/>
    <n v="3"/>
    <n v="7"/>
    <n v="6"/>
    <x v="0"/>
  </r>
  <r>
    <n v="2826"/>
    <n v="1967"/>
    <x v="1"/>
    <x v="0"/>
    <x v="2"/>
    <n v="22574"/>
    <x v="3"/>
    <n v="2"/>
    <n v="1"/>
    <x v="3"/>
    <x v="194"/>
    <n v="28"/>
    <x v="1"/>
    <n v="0"/>
    <n v="25"/>
    <n v="0"/>
    <n v="8"/>
    <n v="2"/>
    <n v="0"/>
    <n v="2"/>
    <n v="37"/>
    <n v="2"/>
    <n v="2"/>
    <n v="0"/>
    <n v="3"/>
    <n v="5"/>
    <n v="7"/>
    <x v="0"/>
  </r>
  <r>
    <n v="2437"/>
    <n v="1989"/>
    <x v="2"/>
    <x v="0"/>
    <x v="2"/>
    <m/>
    <x v="3"/>
    <n v="0"/>
    <n v="0"/>
    <x v="0"/>
    <x v="240"/>
    <n v="69"/>
    <x v="0"/>
    <n v="0"/>
    <n v="861"/>
    <n v="138"/>
    <n v="461"/>
    <n v="60"/>
    <n v="30"/>
    <n v="61"/>
    <n v="1611"/>
    <n v="1"/>
    <n v="6"/>
    <n v="5"/>
    <n v="12"/>
    <n v="23"/>
    <n v="3"/>
    <x v="0"/>
  </r>
  <r>
    <n v="6320"/>
    <n v="1976"/>
    <x v="3"/>
    <x v="2"/>
    <x v="0"/>
    <n v="70893"/>
    <x v="2"/>
    <n v="0"/>
    <n v="0"/>
    <x v="0"/>
    <x v="219"/>
    <n v="42"/>
    <x v="1"/>
    <n v="0"/>
    <n v="768"/>
    <n v="44"/>
    <n v="561"/>
    <n v="77"/>
    <n v="44"/>
    <n v="14"/>
    <n v="1508"/>
    <n v="1"/>
    <n v="6"/>
    <n v="6"/>
    <n v="10"/>
    <n v="22"/>
    <n v="3"/>
    <x v="1"/>
  </r>
  <r>
    <n v="3050"/>
    <n v="1966"/>
    <x v="1"/>
    <x v="0"/>
    <x v="2"/>
    <n v="54198"/>
    <x v="0"/>
    <n v="1"/>
    <n v="1"/>
    <x v="1"/>
    <x v="241"/>
    <n v="13"/>
    <x v="1"/>
    <n v="0"/>
    <n v="185"/>
    <n v="0"/>
    <n v="28"/>
    <n v="3"/>
    <n v="2"/>
    <n v="17"/>
    <n v="235"/>
    <n v="6"/>
    <n v="3"/>
    <n v="1"/>
    <n v="6"/>
    <n v="10"/>
    <n v="4"/>
    <x v="0"/>
  </r>
  <r>
    <n v="231"/>
    <n v="1956"/>
    <x v="0"/>
    <x v="2"/>
    <x v="1"/>
    <n v="28839"/>
    <x v="3"/>
    <n v="1"/>
    <n v="1"/>
    <x v="1"/>
    <x v="242"/>
    <n v="86"/>
    <x v="0"/>
    <n v="0"/>
    <n v="24"/>
    <n v="0"/>
    <n v="7"/>
    <n v="0"/>
    <n v="0"/>
    <n v="1"/>
    <n v="32"/>
    <n v="2"/>
    <n v="2"/>
    <n v="0"/>
    <n v="3"/>
    <n v="5"/>
    <n v="5"/>
    <x v="0"/>
  </r>
  <r>
    <n v="2392"/>
    <n v="1972"/>
    <x v="1"/>
    <x v="0"/>
    <x v="2"/>
    <n v="40321"/>
    <x v="1"/>
    <n v="1"/>
    <n v="1"/>
    <x v="1"/>
    <x v="243"/>
    <n v="59"/>
    <x v="0"/>
    <n v="0"/>
    <n v="44"/>
    <n v="4"/>
    <n v="21"/>
    <n v="6"/>
    <n v="0"/>
    <n v="27"/>
    <n v="102"/>
    <n v="2"/>
    <n v="3"/>
    <n v="0"/>
    <n v="3"/>
    <n v="6"/>
    <n v="7"/>
    <x v="0"/>
  </r>
  <r>
    <n v="9478"/>
    <n v="1985"/>
    <x v="2"/>
    <x v="0"/>
    <x v="0"/>
    <n v="66503"/>
    <x v="0"/>
    <n v="1"/>
    <n v="0"/>
    <x v="2"/>
    <x v="244"/>
    <n v="30"/>
    <x v="1"/>
    <n v="0"/>
    <n v="91"/>
    <n v="64"/>
    <n v="128"/>
    <n v="65"/>
    <n v="3"/>
    <n v="50"/>
    <n v="401"/>
    <n v="2"/>
    <n v="4"/>
    <n v="3"/>
    <n v="6"/>
    <n v="13"/>
    <n v="3"/>
    <x v="0"/>
  </r>
  <r>
    <n v="113"/>
    <n v="1951"/>
    <x v="4"/>
    <x v="0"/>
    <x v="2"/>
    <n v="30833"/>
    <x v="3"/>
    <n v="1"/>
    <n v="1"/>
    <x v="1"/>
    <x v="77"/>
    <n v="33"/>
    <x v="1"/>
    <n v="0"/>
    <n v="11"/>
    <n v="0"/>
    <n v="7"/>
    <n v="3"/>
    <n v="1"/>
    <n v="6"/>
    <n v="28"/>
    <n v="2"/>
    <n v="1"/>
    <n v="0"/>
    <n v="3"/>
    <n v="4"/>
    <n v="5"/>
    <x v="0"/>
  </r>
  <r>
    <n v="2863"/>
    <n v="1970"/>
    <x v="1"/>
    <x v="0"/>
    <x v="0"/>
    <m/>
    <x v="3"/>
    <n v="1"/>
    <n v="2"/>
    <x v="3"/>
    <x v="245"/>
    <n v="67"/>
    <x v="0"/>
    <n v="0"/>
    <n v="738"/>
    <n v="20"/>
    <n v="172"/>
    <n v="52"/>
    <n v="50"/>
    <n v="20"/>
    <n v="1052"/>
    <n v="6"/>
    <n v="2"/>
    <n v="3"/>
    <n v="10"/>
    <n v="15"/>
    <n v="7"/>
    <x v="0"/>
  </r>
  <r>
    <n v="1802"/>
    <n v="1971"/>
    <x v="1"/>
    <x v="0"/>
    <x v="2"/>
    <n v="64795"/>
    <x v="0"/>
    <n v="0"/>
    <n v="1"/>
    <x v="2"/>
    <x v="160"/>
    <n v="23"/>
    <x v="1"/>
    <n v="0"/>
    <n v="412"/>
    <n v="5"/>
    <n v="119"/>
    <n v="38"/>
    <n v="29"/>
    <n v="77"/>
    <n v="680"/>
    <n v="3"/>
    <n v="3"/>
    <n v="3"/>
    <n v="12"/>
    <n v="18"/>
    <n v="2"/>
    <x v="1"/>
  </r>
  <r>
    <n v="520"/>
    <n v="1974"/>
    <x v="3"/>
    <x v="0"/>
    <x v="2"/>
    <n v="34421"/>
    <x v="3"/>
    <n v="1"/>
    <n v="0"/>
    <x v="2"/>
    <x v="133"/>
    <n v="81"/>
    <x v="0"/>
    <n v="0"/>
    <n v="3"/>
    <n v="3"/>
    <n v="7"/>
    <n v="6"/>
    <n v="2"/>
    <n v="9"/>
    <n v="30"/>
    <n v="1"/>
    <n v="1"/>
    <n v="0"/>
    <n v="2"/>
    <n v="3"/>
    <n v="7"/>
    <x v="0"/>
  </r>
  <r>
    <n v="8275"/>
    <n v="1965"/>
    <x v="1"/>
    <x v="1"/>
    <x v="3"/>
    <n v="47025"/>
    <x v="1"/>
    <n v="1"/>
    <n v="1"/>
    <x v="1"/>
    <x v="246"/>
    <n v="6"/>
    <x v="1"/>
    <n v="0"/>
    <n v="16"/>
    <n v="0"/>
    <n v="3"/>
    <n v="0"/>
    <n v="0"/>
    <n v="1"/>
    <n v="20"/>
    <n v="1"/>
    <n v="1"/>
    <n v="0"/>
    <n v="2"/>
    <n v="3"/>
    <n v="7"/>
    <x v="0"/>
  </r>
  <r>
    <n v="9750"/>
    <n v="1961"/>
    <x v="0"/>
    <x v="1"/>
    <x v="3"/>
    <n v="64325"/>
    <x v="0"/>
    <n v="0"/>
    <n v="1"/>
    <x v="2"/>
    <x v="247"/>
    <n v="41"/>
    <x v="1"/>
    <n v="0"/>
    <n v="731"/>
    <n v="60"/>
    <n v="353"/>
    <n v="78"/>
    <n v="12"/>
    <n v="73"/>
    <n v="1307"/>
    <n v="5"/>
    <n v="10"/>
    <n v="3"/>
    <n v="5"/>
    <n v="18"/>
    <n v="7"/>
    <x v="1"/>
  </r>
  <r>
    <n v="2607"/>
    <n v="1953"/>
    <x v="0"/>
    <x v="0"/>
    <x v="0"/>
    <n v="40464"/>
    <x v="1"/>
    <n v="0"/>
    <n v="1"/>
    <x v="2"/>
    <x v="248"/>
    <n v="78"/>
    <x v="0"/>
    <n v="0"/>
    <n v="424"/>
    <n v="17"/>
    <n v="118"/>
    <n v="7"/>
    <n v="23"/>
    <n v="41"/>
    <n v="630"/>
    <n v="6"/>
    <n v="8"/>
    <n v="2"/>
    <n v="8"/>
    <n v="18"/>
    <n v="8"/>
    <x v="0"/>
  </r>
  <r>
    <n v="7214"/>
    <n v="1957"/>
    <x v="0"/>
    <x v="0"/>
    <x v="2"/>
    <n v="62187"/>
    <x v="0"/>
    <n v="0"/>
    <n v="0"/>
    <x v="0"/>
    <x v="249"/>
    <n v="49"/>
    <x v="0"/>
    <n v="0"/>
    <n v="792"/>
    <n v="0"/>
    <n v="275"/>
    <n v="45"/>
    <n v="45"/>
    <n v="126"/>
    <n v="1283"/>
    <n v="1"/>
    <n v="4"/>
    <n v="8"/>
    <n v="5"/>
    <n v="17"/>
    <n v="3"/>
    <x v="0"/>
  </r>
  <r>
    <n v="5835"/>
    <n v="1976"/>
    <x v="3"/>
    <x v="1"/>
    <x v="3"/>
    <n v="14849"/>
    <x v="3"/>
    <n v="1"/>
    <n v="0"/>
    <x v="2"/>
    <x v="250"/>
    <n v="39"/>
    <x v="1"/>
    <n v="0"/>
    <n v="21"/>
    <n v="2"/>
    <n v="28"/>
    <n v="3"/>
    <n v="2"/>
    <n v="9"/>
    <n v="65"/>
    <n v="3"/>
    <n v="2"/>
    <n v="0"/>
    <n v="4"/>
    <n v="6"/>
    <n v="8"/>
    <x v="0"/>
  </r>
  <r>
    <n v="3896"/>
    <n v="1984"/>
    <x v="2"/>
    <x v="0"/>
    <x v="2"/>
    <n v="27255"/>
    <x v="3"/>
    <n v="1"/>
    <n v="0"/>
    <x v="2"/>
    <x v="251"/>
    <n v="3"/>
    <x v="1"/>
    <n v="0"/>
    <n v="22"/>
    <n v="1"/>
    <n v="11"/>
    <n v="0"/>
    <n v="1"/>
    <n v="2"/>
    <n v="37"/>
    <n v="1"/>
    <n v="1"/>
    <n v="0"/>
    <n v="3"/>
    <n v="4"/>
    <n v="7"/>
    <x v="0"/>
  </r>
  <r>
    <n v="10350"/>
    <n v="1950"/>
    <x v="4"/>
    <x v="1"/>
    <x v="2"/>
    <n v="54432"/>
    <x v="0"/>
    <n v="2"/>
    <n v="1"/>
    <x v="3"/>
    <x v="252"/>
    <n v="37"/>
    <x v="1"/>
    <n v="0"/>
    <n v="33"/>
    <n v="0"/>
    <n v="5"/>
    <n v="0"/>
    <n v="0"/>
    <n v="0"/>
    <n v="38"/>
    <n v="1"/>
    <n v="1"/>
    <n v="0"/>
    <n v="3"/>
    <n v="4"/>
    <n v="4"/>
    <x v="0"/>
  </r>
  <r>
    <n v="7786"/>
    <n v="1986"/>
    <x v="2"/>
    <x v="1"/>
    <x v="0"/>
    <n v="29999"/>
    <x v="3"/>
    <n v="1"/>
    <n v="0"/>
    <x v="2"/>
    <x v="253"/>
    <n v="22"/>
    <x v="1"/>
    <n v="0"/>
    <n v="68"/>
    <n v="7"/>
    <n v="59"/>
    <n v="10"/>
    <n v="5"/>
    <n v="11"/>
    <n v="160"/>
    <n v="4"/>
    <n v="3"/>
    <n v="1"/>
    <n v="4"/>
    <n v="8"/>
    <n v="8"/>
    <x v="0"/>
  </r>
  <r>
    <n v="2861"/>
    <n v="1983"/>
    <x v="2"/>
    <x v="0"/>
    <x v="0"/>
    <n v="24072"/>
    <x v="3"/>
    <n v="1"/>
    <n v="0"/>
    <x v="2"/>
    <x v="254"/>
    <n v="79"/>
    <x v="0"/>
    <n v="0"/>
    <n v="9"/>
    <n v="1"/>
    <n v="6"/>
    <n v="3"/>
    <n v="0"/>
    <n v="4"/>
    <n v="23"/>
    <n v="1"/>
    <n v="1"/>
    <n v="0"/>
    <n v="2"/>
    <n v="3"/>
    <n v="8"/>
    <x v="0"/>
  </r>
  <r>
    <n v="663"/>
    <n v="1989"/>
    <x v="2"/>
    <x v="1"/>
    <x v="0"/>
    <n v="33996"/>
    <x v="3"/>
    <n v="0"/>
    <n v="0"/>
    <x v="0"/>
    <x v="255"/>
    <n v="46"/>
    <x v="1"/>
    <n v="0"/>
    <n v="40"/>
    <n v="2"/>
    <n v="15"/>
    <n v="8"/>
    <n v="0"/>
    <n v="6"/>
    <n v="71"/>
    <n v="1"/>
    <n v="1"/>
    <n v="1"/>
    <n v="3"/>
    <n v="5"/>
    <n v="4"/>
    <x v="0"/>
  </r>
  <r>
    <n v="10675"/>
    <n v="1956"/>
    <x v="0"/>
    <x v="1"/>
    <x v="2"/>
    <n v="66334"/>
    <x v="0"/>
    <n v="0"/>
    <n v="1"/>
    <x v="2"/>
    <x v="256"/>
    <n v="82"/>
    <x v="0"/>
    <n v="0"/>
    <n v="909"/>
    <n v="11"/>
    <n v="218"/>
    <n v="0"/>
    <n v="0"/>
    <n v="23"/>
    <n v="1161"/>
    <n v="2"/>
    <n v="9"/>
    <n v="3"/>
    <n v="5"/>
    <n v="17"/>
    <n v="5"/>
    <x v="0"/>
  </r>
  <r>
    <n v="2521"/>
    <n v="1971"/>
    <x v="1"/>
    <x v="2"/>
    <x v="2"/>
    <n v="35178"/>
    <x v="3"/>
    <n v="1"/>
    <n v="0"/>
    <x v="2"/>
    <x v="257"/>
    <n v="10"/>
    <x v="1"/>
    <n v="0"/>
    <n v="23"/>
    <n v="1"/>
    <n v="13"/>
    <n v="2"/>
    <n v="2"/>
    <n v="18"/>
    <n v="59"/>
    <n v="1"/>
    <n v="1"/>
    <n v="1"/>
    <n v="2"/>
    <n v="4"/>
    <n v="7"/>
    <x v="0"/>
  </r>
  <r>
    <n v="9592"/>
    <n v="1983"/>
    <x v="2"/>
    <x v="0"/>
    <x v="1"/>
    <n v="22010"/>
    <x v="3"/>
    <n v="1"/>
    <n v="0"/>
    <x v="2"/>
    <x v="258"/>
    <n v="51"/>
    <x v="0"/>
    <n v="0"/>
    <n v="11"/>
    <n v="2"/>
    <n v="9"/>
    <n v="3"/>
    <n v="0"/>
    <n v="8"/>
    <n v="33"/>
    <n v="2"/>
    <n v="2"/>
    <n v="0"/>
    <n v="3"/>
    <n v="5"/>
    <n v="8"/>
    <x v="0"/>
  </r>
  <r>
    <n v="10151"/>
    <n v="1960"/>
    <x v="0"/>
    <x v="0"/>
    <x v="3"/>
    <n v="62204"/>
    <x v="0"/>
    <n v="0"/>
    <n v="2"/>
    <x v="1"/>
    <x v="144"/>
    <n v="38"/>
    <x v="1"/>
    <n v="0"/>
    <n v="317"/>
    <n v="46"/>
    <n v="247"/>
    <n v="151"/>
    <n v="46"/>
    <n v="139"/>
    <n v="946"/>
    <n v="1"/>
    <n v="4"/>
    <n v="5"/>
    <n v="12"/>
    <n v="21"/>
    <n v="3"/>
    <x v="1"/>
  </r>
  <r>
    <n v="7381"/>
    <n v="1968"/>
    <x v="1"/>
    <x v="0"/>
    <x v="3"/>
    <n v="75693"/>
    <x v="2"/>
    <n v="0"/>
    <n v="0"/>
    <x v="0"/>
    <x v="259"/>
    <n v="10"/>
    <x v="1"/>
    <n v="0"/>
    <n v="797"/>
    <n v="153"/>
    <n v="293"/>
    <n v="72"/>
    <n v="97"/>
    <n v="30"/>
    <n v="1442"/>
    <n v="1"/>
    <n v="11"/>
    <n v="4"/>
    <n v="6"/>
    <n v="21"/>
    <n v="4"/>
    <x v="1"/>
  </r>
  <r>
    <n v="4099"/>
    <n v="1972"/>
    <x v="1"/>
    <x v="0"/>
    <x v="2"/>
    <n v="30675"/>
    <x v="3"/>
    <n v="1"/>
    <n v="0"/>
    <x v="2"/>
    <x v="260"/>
    <n v="14"/>
    <x v="1"/>
    <n v="0"/>
    <n v="10"/>
    <n v="2"/>
    <n v="16"/>
    <n v="11"/>
    <n v="2"/>
    <n v="21"/>
    <n v="62"/>
    <n v="1"/>
    <n v="1"/>
    <n v="0"/>
    <n v="3"/>
    <n v="4"/>
    <n v="8"/>
    <x v="0"/>
  </r>
  <r>
    <n v="9560"/>
    <n v="1965"/>
    <x v="1"/>
    <x v="0"/>
    <x v="1"/>
    <n v="83003"/>
    <x v="2"/>
    <n v="0"/>
    <n v="0"/>
    <x v="0"/>
    <x v="261"/>
    <n v="18"/>
    <x v="1"/>
    <n v="0"/>
    <n v="856"/>
    <n v="61"/>
    <n v="570"/>
    <n v="40"/>
    <n v="25"/>
    <n v="122"/>
    <n v="1674"/>
    <n v="1"/>
    <n v="7"/>
    <n v="6"/>
    <n v="8"/>
    <n v="21"/>
    <n v="3"/>
    <x v="1"/>
  </r>
  <r>
    <n v="1150"/>
    <n v="1899"/>
    <x v="0"/>
    <x v="1"/>
    <x v="1"/>
    <n v="83532"/>
    <x v="2"/>
    <n v="0"/>
    <n v="0"/>
    <x v="0"/>
    <x v="155"/>
    <n v="36"/>
    <x v="1"/>
    <n v="0"/>
    <n v="755"/>
    <n v="144"/>
    <n v="562"/>
    <n v="104"/>
    <n v="64"/>
    <n v="224"/>
    <n v="1853"/>
    <n v="1"/>
    <n v="4"/>
    <n v="6"/>
    <n v="4"/>
    <n v="14"/>
    <n v="1"/>
    <x v="1"/>
  </r>
  <r>
    <n v="10172"/>
    <n v="1988"/>
    <x v="2"/>
    <x v="0"/>
    <x v="0"/>
    <n v="68655"/>
    <x v="2"/>
    <n v="0"/>
    <n v="0"/>
    <x v="0"/>
    <x v="262"/>
    <n v="95"/>
    <x v="0"/>
    <n v="0"/>
    <n v="456"/>
    <n v="19"/>
    <n v="832"/>
    <n v="75"/>
    <n v="118"/>
    <n v="38"/>
    <n v="1538"/>
    <n v="1"/>
    <n v="4"/>
    <n v="5"/>
    <n v="11"/>
    <n v="20"/>
    <n v="3"/>
    <x v="0"/>
  </r>
  <r>
    <n v="11191"/>
    <n v="1986"/>
    <x v="2"/>
    <x v="0"/>
    <x v="3"/>
    <n v="41411"/>
    <x v="1"/>
    <n v="0"/>
    <n v="0"/>
    <x v="0"/>
    <x v="263"/>
    <n v="11"/>
    <x v="1"/>
    <n v="0"/>
    <n v="37"/>
    <n v="32"/>
    <n v="38"/>
    <n v="11"/>
    <n v="3"/>
    <n v="18"/>
    <n v="139"/>
    <n v="1"/>
    <n v="2"/>
    <n v="1"/>
    <n v="4"/>
    <n v="7"/>
    <n v="6"/>
    <x v="0"/>
  </r>
  <r>
    <n v="9707"/>
    <n v="1969"/>
    <x v="1"/>
    <x v="1"/>
    <x v="2"/>
    <n v="55212"/>
    <x v="0"/>
    <n v="0"/>
    <n v="1"/>
    <x v="2"/>
    <x v="210"/>
    <n v="65"/>
    <x v="0"/>
    <n v="0"/>
    <n v="1103"/>
    <n v="0"/>
    <n v="45"/>
    <n v="0"/>
    <n v="0"/>
    <n v="34"/>
    <n v="1182"/>
    <n v="3"/>
    <n v="4"/>
    <n v="2"/>
    <n v="11"/>
    <n v="17"/>
    <n v="8"/>
    <x v="0"/>
  </r>
  <r>
    <n v="6245"/>
    <n v="1950"/>
    <x v="4"/>
    <x v="1"/>
    <x v="1"/>
    <n v="59292"/>
    <x v="0"/>
    <n v="0"/>
    <n v="1"/>
    <x v="2"/>
    <x v="225"/>
    <n v="71"/>
    <x v="0"/>
    <n v="0"/>
    <n v="378"/>
    <n v="14"/>
    <n v="68"/>
    <n v="19"/>
    <n v="14"/>
    <n v="14"/>
    <n v="507"/>
    <n v="2"/>
    <n v="3"/>
    <n v="5"/>
    <n v="8"/>
    <n v="16"/>
    <n v="3"/>
    <x v="0"/>
  </r>
  <r>
    <n v="8234"/>
    <n v="1973"/>
    <x v="3"/>
    <x v="3"/>
    <x v="1"/>
    <n v="27190"/>
    <x v="3"/>
    <n v="1"/>
    <n v="0"/>
    <x v="2"/>
    <x v="264"/>
    <n v="13"/>
    <x v="1"/>
    <n v="0"/>
    <n v="1"/>
    <n v="6"/>
    <n v="7"/>
    <n v="0"/>
    <n v="1"/>
    <n v="3"/>
    <n v="18"/>
    <n v="1"/>
    <n v="1"/>
    <n v="0"/>
    <n v="2"/>
    <n v="3"/>
    <n v="8"/>
    <x v="0"/>
  </r>
  <r>
    <n v="1411"/>
    <n v="1952"/>
    <x v="4"/>
    <x v="0"/>
    <x v="3"/>
    <n v="82623"/>
    <x v="2"/>
    <n v="0"/>
    <n v="0"/>
    <x v="0"/>
    <x v="265"/>
    <n v="58"/>
    <x v="0"/>
    <n v="0"/>
    <n v="204"/>
    <n v="34"/>
    <n v="204"/>
    <n v="172"/>
    <n v="153"/>
    <n v="173"/>
    <n v="940"/>
    <n v="1"/>
    <n v="2"/>
    <n v="9"/>
    <n v="4"/>
    <n v="15"/>
    <n v="1"/>
    <x v="0"/>
  </r>
  <r>
    <n v="8553"/>
    <n v="1965"/>
    <x v="1"/>
    <x v="0"/>
    <x v="2"/>
    <n v="44300"/>
    <x v="1"/>
    <n v="1"/>
    <n v="1"/>
    <x v="1"/>
    <x v="73"/>
    <n v="65"/>
    <x v="0"/>
    <n v="0"/>
    <n v="30"/>
    <n v="0"/>
    <n v="9"/>
    <n v="0"/>
    <n v="0"/>
    <n v="3"/>
    <n v="42"/>
    <n v="2"/>
    <n v="1"/>
    <n v="0"/>
    <n v="3"/>
    <n v="4"/>
    <n v="6"/>
    <x v="0"/>
  </r>
  <r>
    <n v="1826"/>
    <n v="1970"/>
    <x v="1"/>
    <x v="0"/>
    <x v="3"/>
    <n v="84835"/>
    <x v="2"/>
    <n v="0"/>
    <n v="0"/>
    <x v="0"/>
    <x v="266"/>
    <n v="0"/>
    <x v="1"/>
    <n v="0"/>
    <n v="189"/>
    <n v="104"/>
    <n v="379"/>
    <n v="111"/>
    <n v="189"/>
    <n v="218"/>
    <n v="1190"/>
    <n v="1"/>
    <n v="4"/>
    <n v="4"/>
    <n v="6"/>
    <n v="14"/>
    <n v="1"/>
    <x v="1"/>
  </r>
  <r>
    <n v="8842"/>
    <n v="1971"/>
    <x v="1"/>
    <x v="0"/>
    <x v="4"/>
    <n v="30372"/>
    <x v="3"/>
    <n v="1"/>
    <n v="1"/>
    <x v="1"/>
    <x v="267"/>
    <n v="33"/>
    <x v="1"/>
    <n v="0"/>
    <n v="15"/>
    <n v="0"/>
    <n v="12"/>
    <n v="7"/>
    <n v="3"/>
    <n v="7"/>
    <n v="44"/>
    <n v="3"/>
    <n v="2"/>
    <n v="0"/>
    <n v="3"/>
    <n v="5"/>
    <n v="7"/>
    <x v="0"/>
  </r>
  <r>
    <n v="11030"/>
    <n v="1976"/>
    <x v="3"/>
    <x v="2"/>
    <x v="2"/>
    <n v="33181"/>
    <x v="3"/>
    <n v="1"/>
    <n v="0"/>
    <x v="2"/>
    <x v="268"/>
    <n v="90"/>
    <x v="0"/>
    <n v="0"/>
    <n v="9"/>
    <n v="0"/>
    <n v="3"/>
    <n v="0"/>
    <n v="0"/>
    <n v="4"/>
    <n v="16"/>
    <n v="1"/>
    <n v="1"/>
    <n v="0"/>
    <n v="2"/>
    <n v="3"/>
    <n v="6"/>
    <x v="0"/>
  </r>
  <r>
    <n v="2579"/>
    <n v="1957"/>
    <x v="0"/>
    <x v="0"/>
    <x v="2"/>
    <n v="71113"/>
    <x v="2"/>
    <n v="0"/>
    <n v="1"/>
    <x v="2"/>
    <x v="241"/>
    <n v="95"/>
    <x v="0"/>
    <n v="0"/>
    <n v="495"/>
    <n v="33"/>
    <n v="255"/>
    <n v="11"/>
    <n v="33"/>
    <n v="8"/>
    <n v="835"/>
    <n v="4"/>
    <n v="6"/>
    <n v="7"/>
    <n v="9"/>
    <n v="22"/>
    <n v="4"/>
    <x v="0"/>
  </r>
  <r>
    <n v="175"/>
    <n v="1986"/>
    <x v="2"/>
    <x v="0"/>
    <x v="2"/>
    <n v="71952"/>
    <x v="2"/>
    <n v="1"/>
    <n v="0"/>
    <x v="2"/>
    <x v="257"/>
    <n v="93"/>
    <x v="0"/>
    <n v="0"/>
    <n v="656"/>
    <n v="80"/>
    <n v="455"/>
    <n v="52"/>
    <n v="107"/>
    <n v="93"/>
    <n v="1443"/>
    <n v="2"/>
    <n v="8"/>
    <n v="4"/>
    <n v="8"/>
    <n v="20"/>
    <n v="4"/>
    <x v="0"/>
  </r>
  <r>
    <n v="9185"/>
    <n v="1966"/>
    <x v="1"/>
    <x v="1"/>
    <x v="0"/>
    <n v="69759"/>
    <x v="2"/>
    <n v="0"/>
    <n v="0"/>
    <x v="0"/>
    <x v="194"/>
    <n v="38"/>
    <x v="1"/>
    <n v="0"/>
    <n v="452"/>
    <n v="20"/>
    <n v="514"/>
    <n v="13"/>
    <n v="30"/>
    <n v="0"/>
    <n v="1029"/>
    <n v="3"/>
    <n v="4"/>
    <n v="6"/>
    <n v="5"/>
    <n v="15"/>
    <n v="3"/>
    <x v="1"/>
  </r>
  <r>
    <n v="11056"/>
    <n v="1974"/>
    <x v="3"/>
    <x v="0"/>
    <x v="2"/>
    <n v="72099"/>
    <x v="2"/>
    <n v="0"/>
    <n v="0"/>
    <x v="0"/>
    <x v="269"/>
    <n v="18"/>
    <x v="1"/>
    <n v="0"/>
    <n v="546"/>
    <n v="91"/>
    <n v="410"/>
    <n v="119"/>
    <n v="0"/>
    <n v="22"/>
    <n v="1188"/>
    <n v="1"/>
    <n v="3"/>
    <n v="4"/>
    <n v="10"/>
    <n v="17"/>
    <n v="1"/>
    <x v="1"/>
  </r>
  <r>
    <n v="9365"/>
    <n v="1976"/>
    <x v="3"/>
    <x v="1"/>
    <x v="0"/>
    <n v="60000"/>
    <x v="0"/>
    <n v="0"/>
    <n v="1"/>
    <x v="2"/>
    <x v="270"/>
    <n v="57"/>
    <x v="0"/>
    <n v="0"/>
    <n v="1048"/>
    <n v="0"/>
    <n v="217"/>
    <n v="0"/>
    <n v="0"/>
    <n v="12"/>
    <n v="1277"/>
    <n v="5"/>
    <n v="11"/>
    <n v="3"/>
    <n v="5"/>
    <n v="19"/>
    <n v="6"/>
    <x v="0"/>
  </r>
  <r>
    <n v="6201"/>
    <n v="1978"/>
    <x v="3"/>
    <x v="0"/>
    <x v="0"/>
    <n v="38643"/>
    <x v="1"/>
    <n v="1"/>
    <n v="1"/>
    <x v="1"/>
    <x v="271"/>
    <n v="45"/>
    <x v="1"/>
    <n v="1"/>
    <n v="22"/>
    <n v="2"/>
    <n v="14"/>
    <n v="0"/>
    <n v="1"/>
    <n v="10"/>
    <n v="49"/>
    <n v="2"/>
    <n v="2"/>
    <n v="0"/>
    <n v="3"/>
    <n v="5"/>
    <n v="7"/>
    <x v="0"/>
  </r>
  <r>
    <n v="2061"/>
    <n v="1955"/>
    <x v="0"/>
    <x v="0"/>
    <x v="2"/>
    <n v="50737"/>
    <x v="1"/>
    <n v="0"/>
    <n v="1"/>
    <x v="2"/>
    <x v="28"/>
    <n v="61"/>
    <x v="0"/>
    <n v="0"/>
    <n v="78"/>
    <n v="0"/>
    <n v="11"/>
    <n v="0"/>
    <n v="0"/>
    <n v="10"/>
    <n v="99"/>
    <n v="1"/>
    <n v="2"/>
    <n v="0"/>
    <n v="4"/>
    <n v="6"/>
    <n v="6"/>
    <x v="0"/>
  </r>
  <r>
    <n v="6184"/>
    <n v="1969"/>
    <x v="1"/>
    <x v="1"/>
    <x v="2"/>
    <n v="68462"/>
    <x v="0"/>
    <n v="0"/>
    <n v="0"/>
    <x v="0"/>
    <x v="100"/>
    <n v="6"/>
    <x v="1"/>
    <n v="0"/>
    <n v="561"/>
    <n v="64"/>
    <n v="785"/>
    <n v="84"/>
    <n v="128"/>
    <n v="48"/>
    <n v="1670"/>
    <n v="1"/>
    <n v="3"/>
    <n v="3"/>
    <n v="8"/>
    <n v="14"/>
    <n v="1"/>
    <x v="1"/>
  </r>
  <r>
    <n v="6142"/>
    <n v="1943"/>
    <x v="4"/>
    <x v="2"/>
    <x v="2"/>
    <n v="65073"/>
    <x v="0"/>
    <n v="0"/>
    <n v="0"/>
    <x v="0"/>
    <x v="132"/>
    <n v="65"/>
    <x v="0"/>
    <n v="1"/>
    <n v="629"/>
    <n v="17"/>
    <n v="177"/>
    <n v="69"/>
    <n v="0"/>
    <n v="8"/>
    <n v="900"/>
    <n v="1"/>
    <n v="5"/>
    <n v="3"/>
    <n v="5"/>
    <n v="13"/>
    <n v="2"/>
    <x v="0"/>
  </r>
  <r>
    <n v="4107"/>
    <n v="1948"/>
    <x v="4"/>
    <x v="1"/>
    <x v="1"/>
    <n v="46681"/>
    <x v="1"/>
    <n v="0"/>
    <n v="2"/>
    <x v="1"/>
    <x v="272"/>
    <n v="52"/>
    <x v="0"/>
    <n v="0"/>
    <n v="269"/>
    <n v="15"/>
    <n v="69"/>
    <n v="15"/>
    <n v="19"/>
    <n v="38"/>
    <n v="425"/>
    <n v="2"/>
    <n v="4"/>
    <n v="6"/>
    <n v="4"/>
    <n v="14"/>
    <n v="5"/>
    <x v="0"/>
  </r>
  <r>
    <n v="7274"/>
    <n v="1957"/>
    <x v="0"/>
    <x v="0"/>
    <x v="2"/>
    <n v="78618"/>
    <x v="2"/>
    <n v="0"/>
    <n v="0"/>
    <x v="0"/>
    <x v="273"/>
    <n v="87"/>
    <x v="0"/>
    <n v="0"/>
    <n v="736"/>
    <n v="163"/>
    <n v="818"/>
    <n v="212"/>
    <n v="163"/>
    <n v="61"/>
    <n v="2153"/>
    <n v="1"/>
    <n v="4"/>
    <n v="7"/>
    <n v="10"/>
    <n v="21"/>
    <n v="2"/>
    <x v="0"/>
  </r>
  <r>
    <n v="9336"/>
    <n v="1969"/>
    <x v="1"/>
    <x v="1"/>
    <x v="4"/>
    <n v="62187"/>
    <x v="0"/>
    <n v="0"/>
    <n v="1"/>
    <x v="2"/>
    <x v="274"/>
    <n v="38"/>
    <x v="1"/>
    <n v="0"/>
    <n v="512"/>
    <n v="0"/>
    <n v="83"/>
    <n v="0"/>
    <n v="0"/>
    <n v="41"/>
    <n v="636"/>
    <n v="3"/>
    <n v="6"/>
    <n v="2"/>
    <n v="10"/>
    <n v="18"/>
    <n v="4"/>
    <x v="1"/>
  </r>
  <r>
    <n v="2958"/>
    <n v="1978"/>
    <x v="3"/>
    <x v="0"/>
    <x v="2"/>
    <n v="28442"/>
    <x v="3"/>
    <n v="2"/>
    <n v="0"/>
    <x v="1"/>
    <x v="106"/>
    <n v="53"/>
    <x v="0"/>
    <n v="0"/>
    <n v="19"/>
    <n v="3"/>
    <n v="10"/>
    <n v="11"/>
    <n v="8"/>
    <n v="6"/>
    <n v="57"/>
    <n v="3"/>
    <n v="2"/>
    <n v="1"/>
    <n v="4"/>
    <n v="7"/>
    <n v="4"/>
    <x v="0"/>
  </r>
  <r>
    <n v="5837"/>
    <n v="1967"/>
    <x v="1"/>
    <x v="0"/>
    <x v="2"/>
    <n v="51479"/>
    <x v="1"/>
    <n v="1"/>
    <n v="1"/>
    <x v="1"/>
    <x v="275"/>
    <n v="67"/>
    <x v="0"/>
    <n v="0"/>
    <n v="247"/>
    <n v="8"/>
    <n v="160"/>
    <n v="6"/>
    <n v="8"/>
    <n v="65"/>
    <n v="494"/>
    <n v="7"/>
    <n v="6"/>
    <n v="3"/>
    <n v="6"/>
    <n v="15"/>
    <n v="7"/>
    <x v="0"/>
  </r>
  <r>
    <n v="10704"/>
    <n v="1969"/>
    <x v="1"/>
    <x v="0"/>
    <x v="0"/>
    <n v="54803"/>
    <x v="0"/>
    <n v="0"/>
    <n v="1"/>
    <x v="2"/>
    <x v="276"/>
    <n v="65"/>
    <x v="0"/>
    <n v="0"/>
    <n v="404"/>
    <n v="0"/>
    <n v="92"/>
    <n v="28"/>
    <n v="27"/>
    <n v="142"/>
    <n v="693"/>
    <n v="2"/>
    <n v="6"/>
    <n v="2"/>
    <n v="9"/>
    <n v="17"/>
    <n v="4"/>
    <x v="0"/>
  </r>
  <r>
    <n v="5125"/>
    <n v="1960"/>
    <x v="0"/>
    <x v="0"/>
    <x v="2"/>
    <n v="79530"/>
    <x v="2"/>
    <n v="0"/>
    <n v="0"/>
    <x v="0"/>
    <x v="91"/>
    <n v="64"/>
    <x v="0"/>
    <n v="0"/>
    <n v="333"/>
    <n v="0"/>
    <n v="815"/>
    <n v="129"/>
    <n v="42"/>
    <n v="29"/>
    <n v="1348"/>
    <n v="1"/>
    <n v="4"/>
    <n v="10"/>
    <n v="11"/>
    <n v="25"/>
    <n v="2"/>
    <x v="0"/>
  </r>
  <r>
    <n v="4432"/>
    <n v="1976"/>
    <x v="3"/>
    <x v="0"/>
    <x v="3"/>
    <n v="31615"/>
    <x v="3"/>
    <n v="1"/>
    <n v="0"/>
    <x v="2"/>
    <x v="277"/>
    <n v="82"/>
    <x v="0"/>
    <n v="0"/>
    <n v="2"/>
    <n v="3"/>
    <n v="20"/>
    <n v="6"/>
    <n v="11"/>
    <n v="9"/>
    <n v="51"/>
    <n v="2"/>
    <n v="2"/>
    <n v="0"/>
    <n v="3"/>
    <n v="5"/>
    <n v="7"/>
    <x v="0"/>
  </r>
  <r>
    <n v="5955"/>
    <n v="1962"/>
    <x v="0"/>
    <x v="0"/>
    <x v="1"/>
    <n v="72025"/>
    <x v="2"/>
    <n v="0"/>
    <n v="0"/>
    <x v="0"/>
    <x v="278"/>
    <n v="27"/>
    <x v="1"/>
    <n v="0"/>
    <n v="833"/>
    <n v="33"/>
    <n v="549"/>
    <n v="151"/>
    <n v="133"/>
    <n v="233"/>
    <n v="1932"/>
    <n v="1"/>
    <n v="4"/>
    <n v="3"/>
    <n v="8"/>
    <n v="15"/>
    <n v="3"/>
    <x v="1"/>
  </r>
  <r>
    <n v="2928"/>
    <n v="1975"/>
    <x v="3"/>
    <x v="1"/>
    <x v="0"/>
    <n v="52614"/>
    <x v="0"/>
    <n v="0"/>
    <n v="1"/>
    <x v="2"/>
    <x v="279"/>
    <n v="63"/>
    <x v="0"/>
    <n v="0"/>
    <n v="789"/>
    <n v="0"/>
    <n v="142"/>
    <n v="12"/>
    <n v="9"/>
    <n v="38"/>
    <n v="990"/>
    <n v="2"/>
    <n v="2"/>
    <n v="4"/>
    <n v="8"/>
    <n v="14"/>
    <n v="8"/>
    <x v="0"/>
  </r>
  <r>
    <n v="5680"/>
    <n v="1984"/>
    <x v="2"/>
    <x v="2"/>
    <x v="2"/>
    <n v="35684"/>
    <x v="1"/>
    <n v="1"/>
    <n v="0"/>
    <x v="2"/>
    <x v="280"/>
    <n v="66"/>
    <x v="0"/>
    <n v="0"/>
    <n v="10"/>
    <n v="4"/>
    <n v="7"/>
    <n v="0"/>
    <n v="6"/>
    <n v="3"/>
    <n v="30"/>
    <n v="1"/>
    <n v="1"/>
    <n v="0"/>
    <n v="3"/>
    <n v="4"/>
    <n v="6"/>
    <x v="0"/>
  </r>
  <r>
    <n v="10313"/>
    <n v="1975"/>
    <x v="3"/>
    <x v="0"/>
    <x v="2"/>
    <n v="48178"/>
    <x v="1"/>
    <n v="1"/>
    <n v="1"/>
    <x v="1"/>
    <x v="122"/>
    <n v="69"/>
    <x v="0"/>
    <n v="0"/>
    <n v="159"/>
    <n v="4"/>
    <n v="45"/>
    <n v="6"/>
    <n v="2"/>
    <n v="38"/>
    <n v="254"/>
    <n v="6"/>
    <n v="5"/>
    <n v="1"/>
    <n v="4"/>
    <n v="10"/>
    <n v="8"/>
    <x v="0"/>
  </r>
  <r>
    <n v="2557"/>
    <n v="1970"/>
    <x v="1"/>
    <x v="2"/>
    <x v="0"/>
    <n v="29548"/>
    <x v="3"/>
    <n v="1"/>
    <n v="0"/>
    <x v="2"/>
    <x v="30"/>
    <n v="52"/>
    <x v="0"/>
    <n v="0"/>
    <n v="7"/>
    <n v="1"/>
    <n v="6"/>
    <n v="3"/>
    <n v="1"/>
    <n v="11"/>
    <n v="29"/>
    <n v="1"/>
    <n v="1"/>
    <n v="1"/>
    <n v="2"/>
    <n v="4"/>
    <n v="4"/>
    <x v="0"/>
  </r>
  <r>
    <n v="1245"/>
    <n v="1966"/>
    <x v="1"/>
    <x v="0"/>
    <x v="0"/>
    <n v="63810"/>
    <x v="0"/>
    <n v="0"/>
    <n v="1"/>
    <x v="2"/>
    <x v="281"/>
    <n v="45"/>
    <x v="1"/>
    <n v="0"/>
    <n v="977"/>
    <n v="12"/>
    <n v="253"/>
    <n v="16"/>
    <n v="12"/>
    <n v="101"/>
    <n v="1371"/>
    <n v="4"/>
    <n v="4"/>
    <n v="3"/>
    <n v="12"/>
    <n v="19"/>
    <n v="8"/>
    <x v="1"/>
  </r>
  <r>
    <n v="1519"/>
    <n v="1972"/>
    <x v="1"/>
    <x v="1"/>
    <x v="0"/>
    <n v="38578"/>
    <x v="1"/>
    <n v="1"/>
    <n v="1"/>
    <x v="1"/>
    <x v="282"/>
    <n v="2"/>
    <x v="1"/>
    <n v="0"/>
    <n v="38"/>
    <n v="4"/>
    <n v="22"/>
    <n v="3"/>
    <n v="3"/>
    <n v="3"/>
    <n v="73"/>
    <n v="3"/>
    <n v="3"/>
    <n v="0"/>
    <n v="3"/>
    <n v="6"/>
    <n v="8"/>
    <x v="0"/>
  </r>
  <r>
    <n v="10703"/>
    <n v="1975"/>
    <x v="3"/>
    <x v="2"/>
    <x v="0"/>
    <n v="46098"/>
    <x v="1"/>
    <n v="1"/>
    <n v="1"/>
    <x v="1"/>
    <x v="283"/>
    <n v="86"/>
    <x v="0"/>
    <n v="0"/>
    <n v="57"/>
    <n v="0"/>
    <n v="27"/>
    <n v="0"/>
    <n v="0"/>
    <n v="36"/>
    <n v="120"/>
    <n v="4"/>
    <n v="3"/>
    <n v="2"/>
    <n v="2"/>
    <n v="7"/>
    <n v="8"/>
    <x v="0"/>
  </r>
  <r>
    <n v="1726"/>
    <n v="1970"/>
    <x v="1"/>
    <x v="0"/>
    <x v="0"/>
    <n v="22585"/>
    <x v="3"/>
    <n v="0"/>
    <n v="0"/>
    <x v="0"/>
    <x v="21"/>
    <n v="23"/>
    <x v="1"/>
    <n v="0"/>
    <n v="3"/>
    <n v="9"/>
    <n v="15"/>
    <n v="13"/>
    <n v="2"/>
    <n v="39"/>
    <n v="81"/>
    <n v="1"/>
    <n v="1"/>
    <n v="1"/>
    <n v="2"/>
    <n v="4"/>
    <n v="9"/>
    <x v="0"/>
  </r>
  <r>
    <n v="4459"/>
    <n v="1989"/>
    <x v="2"/>
    <x v="0"/>
    <x v="0"/>
    <n v="30279"/>
    <x v="3"/>
    <n v="1"/>
    <n v="0"/>
    <x v="2"/>
    <x v="284"/>
    <n v="13"/>
    <x v="1"/>
    <n v="0"/>
    <n v="10"/>
    <n v="4"/>
    <n v="14"/>
    <n v="4"/>
    <n v="4"/>
    <n v="1"/>
    <n v="37"/>
    <n v="1"/>
    <n v="1"/>
    <n v="0"/>
    <n v="3"/>
    <n v="4"/>
    <n v="8"/>
    <x v="0"/>
  </r>
  <r>
    <n v="1729"/>
    <n v="1961"/>
    <x v="0"/>
    <x v="1"/>
    <x v="1"/>
    <n v="66426"/>
    <x v="0"/>
    <n v="0"/>
    <n v="1"/>
    <x v="2"/>
    <x v="38"/>
    <n v="14"/>
    <x v="1"/>
    <n v="0"/>
    <n v="1043"/>
    <n v="24"/>
    <n v="97"/>
    <n v="32"/>
    <n v="24"/>
    <n v="157"/>
    <n v="1377"/>
    <n v="2"/>
    <n v="3"/>
    <n v="5"/>
    <n v="10"/>
    <n v="18"/>
    <n v="6"/>
    <x v="1"/>
  </r>
  <r>
    <n v="1517"/>
    <n v="1969"/>
    <x v="1"/>
    <x v="0"/>
    <x v="0"/>
    <n v="30822"/>
    <x v="3"/>
    <n v="1"/>
    <n v="0"/>
    <x v="2"/>
    <x v="285"/>
    <n v="92"/>
    <x v="0"/>
    <n v="0"/>
    <n v="3"/>
    <n v="9"/>
    <n v="13"/>
    <n v="2"/>
    <n v="12"/>
    <n v="12"/>
    <n v="51"/>
    <n v="1"/>
    <n v="1"/>
    <n v="0"/>
    <n v="3"/>
    <n v="4"/>
    <n v="7"/>
    <x v="0"/>
  </r>
  <r>
    <n v="2098"/>
    <n v="1969"/>
    <x v="1"/>
    <x v="1"/>
    <x v="2"/>
    <n v="33581"/>
    <x v="3"/>
    <n v="2"/>
    <n v="0"/>
    <x v="1"/>
    <x v="224"/>
    <n v="38"/>
    <x v="1"/>
    <n v="0"/>
    <n v="11"/>
    <n v="0"/>
    <n v="5"/>
    <n v="0"/>
    <n v="0"/>
    <n v="1"/>
    <n v="17"/>
    <n v="1"/>
    <n v="1"/>
    <n v="0"/>
    <n v="2"/>
    <n v="3"/>
    <n v="8"/>
    <x v="0"/>
  </r>
  <r>
    <n v="9543"/>
    <n v="1985"/>
    <x v="2"/>
    <x v="0"/>
    <x v="2"/>
    <n v="19986"/>
    <x v="3"/>
    <n v="1"/>
    <n v="0"/>
    <x v="2"/>
    <x v="105"/>
    <n v="74"/>
    <x v="0"/>
    <n v="0"/>
    <n v="3"/>
    <n v="6"/>
    <n v="5"/>
    <n v="0"/>
    <n v="2"/>
    <n v="6"/>
    <n v="22"/>
    <n v="1"/>
    <n v="0"/>
    <n v="0"/>
    <n v="3"/>
    <n v="3"/>
    <n v="7"/>
    <x v="0"/>
  </r>
  <r>
    <n v="6878"/>
    <n v="1954"/>
    <x v="0"/>
    <x v="0"/>
    <x v="4"/>
    <n v="27421"/>
    <x v="3"/>
    <n v="0"/>
    <n v="0"/>
    <x v="0"/>
    <x v="100"/>
    <n v="14"/>
    <x v="1"/>
    <n v="0"/>
    <n v="43"/>
    <n v="12"/>
    <n v="96"/>
    <n v="78"/>
    <n v="40"/>
    <n v="55"/>
    <n v="324"/>
    <n v="3"/>
    <n v="4"/>
    <n v="1"/>
    <n v="6"/>
    <n v="11"/>
    <n v="7"/>
    <x v="0"/>
  </r>
  <r>
    <n v="2724"/>
    <n v="1981"/>
    <x v="3"/>
    <x v="2"/>
    <x v="0"/>
    <n v="36143"/>
    <x v="1"/>
    <n v="1"/>
    <n v="0"/>
    <x v="2"/>
    <x v="89"/>
    <n v="33"/>
    <x v="1"/>
    <n v="0"/>
    <n v="12"/>
    <n v="0"/>
    <n v="1"/>
    <n v="0"/>
    <n v="0"/>
    <n v="6"/>
    <n v="19"/>
    <n v="1"/>
    <n v="0"/>
    <n v="1"/>
    <n v="2"/>
    <n v="3"/>
    <n v="3"/>
    <x v="0"/>
  </r>
  <r>
    <n v="948"/>
    <n v="1971"/>
    <x v="1"/>
    <x v="0"/>
    <x v="0"/>
    <n v="10245"/>
    <x v="3"/>
    <n v="1"/>
    <n v="0"/>
    <x v="2"/>
    <x v="187"/>
    <n v="32"/>
    <x v="1"/>
    <n v="0"/>
    <n v="4"/>
    <n v="7"/>
    <n v="7"/>
    <n v="6"/>
    <n v="4"/>
    <n v="13"/>
    <n v="41"/>
    <n v="3"/>
    <n v="1"/>
    <n v="2"/>
    <n v="2"/>
    <n v="5"/>
    <n v="5"/>
    <x v="0"/>
  </r>
  <r>
    <n v="6720"/>
    <n v="1968"/>
    <x v="1"/>
    <x v="2"/>
    <x v="1"/>
    <n v="43795"/>
    <x v="1"/>
    <n v="0"/>
    <n v="1"/>
    <x v="2"/>
    <x v="286"/>
    <n v="11"/>
    <x v="1"/>
    <n v="0"/>
    <n v="314"/>
    <n v="11"/>
    <n v="53"/>
    <n v="4"/>
    <n v="3"/>
    <n v="107"/>
    <n v="492"/>
    <n v="3"/>
    <n v="7"/>
    <n v="3"/>
    <n v="4"/>
    <n v="14"/>
    <n v="7"/>
    <x v="0"/>
  </r>
  <r>
    <n v="6202"/>
    <n v="1960"/>
    <x v="0"/>
    <x v="0"/>
    <x v="1"/>
    <n v="63381"/>
    <x v="0"/>
    <n v="0"/>
    <n v="1"/>
    <x v="2"/>
    <x v="172"/>
    <n v="78"/>
    <x v="0"/>
    <n v="0"/>
    <n v="571"/>
    <n v="50"/>
    <n v="142"/>
    <n v="33"/>
    <n v="50"/>
    <n v="159"/>
    <n v="1005"/>
    <n v="4"/>
    <n v="4"/>
    <n v="5"/>
    <n v="13"/>
    <n v="22"/>
    <n v="2"/>
    <x v="0"/>
  </r>
  <r>
    <n v="2066"/>
    <n v="1949"/>
    <x v="4"/>
    <x v="0"/>
    <x v="1"/>
    <n v="38823"/>
    <x v="1"/>
    <n v="0"/>
    <n v="1"/>
    <x v="2"/>
    <x v="287"/>
    <n v="56"/>
    <x v="0"/>
    <n v="0"/>
    <n v="70"/>
    <n v="0"/>
    <n v="11"/>
    <n v="2"/>
    <n v="8"/>
    <n v="23"/>
    <n v="114"/>
    <n v="1"/>
    <n v="2"/>
    <n v="1"/>
    <n v="3"/>
    <n v="6"/>
    <n v="6"/>
    <x v="0"/>
  </r>
  <r>
    <n v="9799"/>
    <n v="1968"/>
    <x v="1"/>
    <x v="1"/>
    <x v="3"/>
    <n v="83664"/>
    <x v="2"/>
    <n v="1"/>
    <n v="1"/>
    <x v="1"/>
    <x v="7"/>
    <n v="57"/>
    <x v="0"/>
    <n v="0"/>
    <n v="866"/>
    <n v="21"/>
    <n v="151"/>
    <n v="28"/>
    <n v="21"/>
    <n v="86"/>
    <n v="1173"/>
    <n v="3"/>
    <n v="2"/>
    <n v="2"/>
    <n v="12"/>
    <n v="16"/>
    <n v="5"/>
    <x v="0"/>
  </r>
  <r>
    <n v="8318"/>
    <n v="1979"/>
    <x v="3"/>
    <x v="0"/>
    <x v="1"/>
    <n v="90300"/>
    <x v="2"/>
    <n v="0"/>
    <n v="0"/>
    <x v="0"/>
    <x v="268"/>
    <n v="7"/>
    <x v="1"/>
    <n v="0"/>
    <n v="594"/>
    <n v="134"/>
    <n v="786"/>
    <n v="33"/>
    <n v="134"/>
    <n v="57"/>
    <n v="1738"/>
    <n v="0"/>
    <n v="5"/>
    <n v="6"/>
    <n v="8"/>
    <n v="19"/>
    <n v="1"/>
    <x v="1"/>
  </r>
  <r>
    <n v="5642"/>
    <n v="1979"/>
    <x v="3"/>
    <x v="2"/>
    <x v="1"/>
    <n v="62499"/>
    <x v="0"/>
    <n v="1"/>
    <n v="0"/>
    <x v="2"/>
    <x v="163"/>
    <n v="0"/>
    <x v="1"/>
    <n v="0"/>
    <n v="140"/>
    <n v="4"/>
    <n v="61"/>
    <n v="0"/>
    <n v="13"/>
    <n v="4"/>
    <n v="222"/>
    <n v="2"/>
    <n v="3"/>
    <n v="1"/>
    <n v="6"/>
    <n v="10"/>
    <n v="4"/>
    <x v="0"/>
  </r>
  <r>
    <n v="2669"/>
    <n v="1993"/>
    <x v="2"/>
    <x v="0"/>
    <x v="0"/>
    <n v="74293"/>
    <x v="2"/>
    <n v="0"/>
    <n v="0"/>
    <x v="0"/>
    <x v="288"/>
    <n v="66"/>
    <x v="0"/>
    <n v="0"/>
    <n v="375"/>
    <n v="152"/>
    <n v="335"/>
    <n v="93"/>
    <n v="91"/>
    <n v="81"/>
    <n v="1127"/>
    <n v="1"/>
    <n v="5"/>
    <n v="4"/>
    <n v="6"/>
    <n v="15"/>
    <n v="2"/>
    <x v="0"/>
  </r>
  <r>
    <n v="455"/>
    <n v="1946"/>
    <x v="4"/>
    <x v="1"/>
    <x v="2"/>
    <n v="51012"/>
    <x v="1"/>
    <n v="0"/>
    <n v="0"/>
    <x v="0"/>
    <x v="289"/>
    <n v="86"/>
    <x v="0"/>
    <n v="0"/>
    <n v="102"/>
    <n v="9"/>
    <n v="63"/>
    <n v="2"/>
    <n v="9"/>
    <n v="24"/>
    <n v="209"/>
    <n v="1"/>
    <n v="4"/>
    <n v="1"/>
    <n v="4"/>
    <n v="9"/>
    <n v="6"/>
    <x v="0"/>
  </r>
  <r>
    <n v="7683"/>
    <n v="1968"/>
    <x v="1"/>
    <x v="2"/>
    <x v="2"/>
    <n v="70777"/>
    <x v="2"/>
    <n v="0"/>
    <n v="1"/>
    <x v="2"/>
    <x v="75"/>
    <n v="80"/>
    <x v="0"/>
    <n v="0"/>
    <n v="554"/>
    <n v="35"/>
    <n v="113"/>
    <n v="0"/>
    <n v="7"/>
    <n v="78"/>
    <n v="787"/>
    <n v="3"/>
    <n v="5"/>
    <n v="3"/>
    <n v="12"/>
    <n v="20"/>
    <n v="3"/>
    <x v="0"/>
  </r>
  <r>
    <n v="3428"/>
    <n v="1991"/>
    <x v="2"/>
    <x v="1"/>
    <x v="1"/>
    <n v="68682"/>
    <x v="2"/>
    <n v="0"/>
    <n v="0"/>
    <x v="0"/>
    <x v="290"/>
    <n v="56"/>
    <x v="0"/>
    <n v="0"/>
    <n v="919"/>
    <n v="0"/>
    <n v="505"/>
    <n v="99"/>
    <n v="30"/>
    <n v="45"/>
    <n v="1598"/>
    <n v="1"/>
    <n v="4"/>
    <n v="9"/>
    <n v="10"/>
    <n v="23"/>
    <n v="2"/>
    <x v="0"/>
  </r>
  <r>
    <n v="7414"/>
    <n v="1971"/>
    <x v="1"/>
    <x v="0"/>
    <x v="2"/>
    <n v="43824"/>
    <x v="1"/>
    <n v="1"/>
    <n v="1"/>
    <x v="1"/>
    <x v="291"/>
    <n v="18"/>
    <x v="1"/>
    <n v="0"/>
    <n v="96"/>
    <n v="1"/>
    <n v="42"/>
    <n v="12"/>
    <n v="3"/>
    <n v="32"/>
    <n v="186"/>
    <n v="4"/>
    <n v="3"/>
    <n v="1"/>
    <n v="4"/>
    <n v="8"/>
    <n v="8"/>
    <x v="0"/>
  </r>
  <r>
    <n v="6354"/>
    <n v="1984"/>
    <x v="2"/>
    <x v="0"/>
    <x v="1"/>
    <n v="15345"/>
    <x v="3"/>
    <n v="1"/>
    <n v="0"/>
    <x v="2"/>
    <x v="14"/>
    <n v="51"/>
    <x v="0"/>
    <n v="0"/>
    <n v="5"/>
    <n v="2"/>
    <n v="16"/>
    <n v="3"/>
    <n v="2"/>
    <n v="19"/>
    <n v="47"/>
    <n v="2"/>
    <n v="1"/>
    <n v="1"/>
    <n v="2"/>
    <n v="4"/>
    <n v="8"/>
    <x v="0"/>
  </r>
  <r>
    <n v="798"/>
    <n v="1987"/>
    <x v="2"/>
    <x v="0"/>
    <x v="0"/>
    <n v="23442"/>
    <x v="3"/>
    <n v="1"/>
    <n v="0"/>
    <x v="2"/>
    <x v="13"/>
    <n v="71"/>
    <x v="0"/>
    <n v="0"/>
    <n v="2"/>
    <n v="0"/>
    <n v="6"/>
    <n v="8"/>
    <n v="6"/>
    <n v="5"/>
    <n v="27"/>
    <n v="1"/>
    <n v="1"/>
    <n v="0"/>
    <n v="3"/>
    <n v="4"/>
    <n v="7"/>
    <x v="0"/>
  </r>
  <r>
    <n v="8213"/>
    <n v="1980"/>
    <x v="3"/>
    <x v="2"/>
    <x v="1"/>
    <n v="14515"/>
    <x v="3"/>
    <n v="1"/>
    <n v="0"/>
    <x v="2"/>
    <x v="40"/>
    <n v="71"/>
    <x v="0"/>
    <n v="0"/>
    <n v="6"/>
    <n v="4"/>
    <n v="9"/>
    <n v="6"/>
    <n v="36"/>
    <n v="35"/>
    <n v="96"/>
    <n v="4"/>
    <n v="2"/>
    <n v="2"/>
    <n v="3"/>
    <n v="7"/>
    <n v="7"/>
    <x v="0"/>
  </r>
  <r>
    <n v="2488"/>
    <n v="1956"/>
    <x v="0"/>
    <x v="2"/>
    <x v="3"/>
    <n v="31395"/>
    <x v="3"/>
    <n v="1"/>
    <n v="1"/>
    <x v="1"/>
    <x v="189"/>
    <n v="80"/>
    <x v="0"/>
    <n v="0"/>
    <n v="23"/>
    <n v="1"/>
    <n v="25"/>
    <n v="0"/>
    <n v="8"/>
    <n v="7"/>
    <n v="64"/>
    <n v="4"/>
    <n v="2"/>
    <n v="1"/>
    <n v="3"/>
    <n v="6"/>
    <n v="6"/>
    <x v="0"/>
  </r>
  <r>
    <n v="9999"/>
    <n v="1965"/>
    <x v="1"/>
    <x v="0"/>
    <x v="1"/>
    <n v="75276"/>
    <x v="2"/>
    <n v="0"/>
    <n v="0"/>
    <x v="0"/>
    <x v="292"/>
    <n v="2"/>
    <x v="1"/>
    <n v="0"/>
    <n v="610"/>
    <n v="105"/>
    <n v="125"/>
    <n v="137"/>
    <n v="42"/>
    <n v="21"/>
    <n v="1040"/>
    <n v="1"/>
    <n v="9"/>
    <n v="4"/>
    <n v="9"/>
    <n v="22"/>
    <n v="5"/>
    <x v="1"/>
  </r>
  <r>
    <n v="7617"/>
    <n v="1974"/>
    <x v="3"/>
    <x v="0"/>
    <x v="0"/>
    <n v="42373"/>
    <x v="1"/>
    <n v="1"/>
    <n v="1"/>
    <x v="1"/>
    <x v="264"/>
    <n v="83"/>
    <x v="0"/>
    <n v="0"/>
    <n v="67"/>
    <n v="5"/>
    <n v="61"/>
    <n v="3"/>
    <n v="8"/>
    <n v="19"/>
    <n v="163"/>
    <n v="5"/>
    <n v="2"/>
    <n v="1"/>
    <n v="5"/>
    <n v="8"/>
    <n v="5"/>
    <x v="0"/>
  </r>
  <r>
    <n v="615"/>
    <n v="1960"/>
    <x v="0"/>
    <x v="0"/>
    <x v="1"/>
    <n v="30507"/>
    <x v="3"/>
    <n v="0"/>
    <n v="0"/>
    <x v="0"/>
    <x v="293"/>
    <n v="29"/>
    <x v="1"/>
    <n v="0"/>
    <n v="65"/>
    <n v="36"/>
    <n v="74"/>
    <n v="38"/>
    <n v="20"/>
    <n v="110"/>
    <n v="343"/>
    <n v="1"/>
    <n v="5"/>
    <n v="1"/>
    <n v="4"/>
    <n v="10"/>
    <n v="7"/>
    <x v="0"/>
  </r>
  <r>
    <n v="2552"/>
    <n v="1955"/>
    <x v="0"/>
    <x v="1"/>
    <x v="0"/>
    <n v="55521"/>
    <x v="0"/>
    <n v="1"/>
    <n v="2"/>
    <x v="3"/>
    <x v="294"/>
    <n v="11"/>
    <x v="1"/>
    <n v="0"/>
    <n v="416"/>
    <n v="0"/>
    <n v="26"/>
    <n v="0"/>
    <n v="0"/>
    <n v="4"/>
    <n v="446"/>
    <n v="9"/>
    <n v="6"/>
    <n v="3"/>
    <n v="6"/>
    <n v="15"/>
    <n v="7"/>
    <x v="0"/>
  </r>
  <r>
    <n v="194"/>
    <n v="1965"/>
    <x v="1"/>
    <x v="0"/>
    <x v="2"/>
    <n v="48006"/>
    <x v="1"/>
    <n v="1"/>
    <n v="1"/>
    <x v="1"/>
    <x v="295"/>
    <n v="55"/>
    <x v="0"/>
    <n v="0"/>
    <n v="23"/>
    <n v="0"/>
    <n v="11"/>
    <n v="3"/>
    <n v="2"/>
    <n v="2"/>
    <n v="41"/>
    <n v="1"/>
    <n v="1"/>
    <n v="0"/>
    <n v="3"/>
    <n v="4"/>
    <n v="6"/>
    <x v="0"/>
  </r>
  <r>
    <n v="3645"/>
    <n v="1972"/>
    <x v="1"/>
    <x v="1"/>
    <x v="0"/>
    <n v="27213"/>
    <x v="3"/>
    <n v="1"/>
    <n v="0"/>
    <x v="2"/>
    <x v="287"/>
    <n v="19"/>
    <x v="1"/>
    <n v="0"/>
    <n v="19"/>
    <n v="3"/>
    <n v="26"/>
    <n v="10"/>
    <n v="9"/>
    <n v="3"/>
    <n v="70"/>
    <n v="3"/>
    <n v="2"/>
    <n v="0"/>
    <n v="4"/>
    <n v="6"/>
    <n v="8"/>
    <x v="0"/>
  </r>
  <r>
    <n v="8890"/>
    <n v="1971"/>
    <x v="1"/>
    <x v="1"/>
    <x v="3"/>
    <n v="65808"/>
    <x v="0"/>
    <n v="1"/>
    <n v="1"/>
    <x v="1"/>
    <x v="296"/>
    <n v="1"/>
    <x v="1"/>
    <n v="0"/>
    <n v="155"/>
    <n v="7"/>
    <n v="80"/>
    <n v="13"/>
    <n v="7"/>
    <n v="10"/>
    <n v="272"/>
    <n v="3"/>
    <n v="5"/>
    <n v="1"/>
    <n v="5"/>
    <n v="11"/>
    <n v="6"/>
    <x v="0"/>
  </r>
  <r>
    <n v="5049"/>
    <n v="1974"/>
    <x v="3"/>
    <x v="1"/>
    <x v="1"/>
    <n v="30351"/>
    <x v="3"/>
    <n v="1"/>
    <n v="0"/>
    <x v="2"/>
    <x v="8"/>
    <n v="19"/>
    <x v="1"/>
    <n v="0"/>
    <n v="14"/>
    <n v="0"/>
    <n v="24"/>
    <n v="3"/>
    <n v="3"/>
    <n v="2"/>
    <n v="46"/>
    <n v="1"/>
    <n v="3"/>
    <n v="0"/>
    <n v="2"/>
    <n v="5"/>
    <n v="9"/>
    <x v="0"/>
  </r>
  <r>
    <n v="9973"/>
    <n v="1963"/>
    <x v="1"/>
    <x v="0"/>
    <x v="2"/>
    <n v="50437"/>
    <x v="1"/>
    <n v="0"/>
    <n v="2"/>
    <x v="1"/>
    <x v="297"/>
    <n v="28"/>
    <x v="1"/>
    <n v="0"/>
    <n v="370"/>
    <n v="9"/>
    <n v="92"/>
    <n v="6"/>
    <n v="9"/>
    <n v="4"/>
    <n v="490"/>
    <n v="3"/>
    <n v="7"/>
    <n v="1"/>
    <n v="8"/>
    <n v="16"/>
    <n v="7"/>
    <x v="0"/>
  </r>
  <r>
    <n v="7301"/>
    <n v="1982"/>
    <x v="3"/>
    <x v="2"/>
    <x v="0"/>
    <n v="23616"/>
    <x v="3"/>
    <n v="1"/>
    <n v="0"/>
    <x v="2"/>
    <x v="278"/>
    <n v="76"/>
    <x v="0"/>
    <n v="0"/>
    <n v="4"/>
    <n v="22"/>
    <n v="11"/>
    <n v="3"/>
    <n v="7"/>
    <n v="32"/>
    <n v="79"/>
    <n v="2"/>
    <n v="3"/>
    <n v="0"/>
    <n v="3"/>
    <n v="6"/>
    <n v="8"/>
    <x v="0"/>
  </r>
  <r>
    <n v="10882"/>
    <n v="1976"/>
    <x v="3"/>
    <x v="0"/>
    <x v="2"/>
    <n v="53858"/>
    <x v="0"/>
    <n v="0"/>
    <n v="1"/>
    <x v="2"/>
    <x v="40"/>
    <n v="50"/>
    <x v="0"/>
    <n v="0"/>
    <n v="407"/>
    <n v="53"/>
    <n v="221"/>
    <n v="58"/>
    <n v="150"/>
    <n v="26"/>
    <n v="915"/>
    <n v="4"/>
    <n v="4"/>
    <n v="3"/>
    <n v="6"/>
    <n v="13"/>
    <n v="4"/>
    <x v="0"/>
  </r>
  <r>
    <n v="7030"/>
    <n v="1955"/>
    <x v="0"/>
    <x v="1"/>
    <x v="2"/>
    <n v="66465"/>
    <x v="0"/>
    <n v="0"/>
    <n v="1"/>
    <x v="2"/>
    <x v="298"/>
    <n v="1"/>
    <x v="1"/>
    <n v="0"/>
    <n v="1200"/>
    <n v="0"/>
    <n v="204"/>
    <n v="38"/>
    <n v="29"/>
    <n v="14"/>
    <n v="1485"/>
    <n v="3"/>
    <n v="11"/>
    <n v="9"/>
    <n v="12"/>
    <n v="32"/>
    <n v="6"/>
    <x v="1"/>
  </r>
  <r>
    <n v="7422"/>
    <n v="1987"/>
    <x v="2"/>
    <x v="0"/>
    <x v="0"/>
    <n v="46923"/>
    <x v="1"/>
    <n v="1"/>
    <n v="0"/>
    <x v="2"/>
    <x v="123"/>
    <n v="90"/>
    <x v="0"/>
    <n v="0"/>
    <n v="85"/>
    <n v="44"/>
    <n v="54"/>
    <n v="102"/>
    <n v="78"/>
    <n v="6"/>
    <n v="369"/>
    <n v="3"/>
    <n v="5"/>
    <n v="1"/>
    <n v="7"/>
    <n v="13"/>
    <n v="7"/>
    <x v="0"/>
  </r>
  <r>
    <n v="3523"/>
    <n v="1962"/>
    <x v="0"/>
    <x v="0"/>
    <x v="1"/>
    <n v="75072"/>
    <x v="2"/>
    <n v="0"/>
    <n v="1"/>
    <x v="2"/>
    <x v="299"/>
    <n v="83"/>
    <x v="0"/>
    <n v="0"/>
    <n v="583"/>
    <n v="34"/>
    <n v="309"/>
    <n v="0"/>
    <n v="22"/>
    <n v="125"/>
    <n v="1073"/>
    <n v="2"/>
    <n v="5"/>
    <n v="4"/>
    <n v="8"/>
    <n v="17"/>
    <n v="3"/>
    <x v="0"/>
  </r>
  <r>
    <n v="7106"/>
    <n v="1943"/>
    <x v="4"/>
    <x v="1"/>
    <x v="2"/>
    <n v="75865"/>
    <x v="2"/>
    <n v="0"/>
    <n v="0"/>
    <x v="0"/>
    <x v="161"/>
    <n v="73"/>
    <x v="0"/>
    <n v="0"/>
    <n v="483"/>
    <n v="0"/>
    <n v="591"/>
    <n v="156"/>
    <n v="0"/>
    <n v="12"/>
    <n v="1242"/>
    <n v="1"/>
    <n v="3"/>
    <n v="5"/>
    <n v="10"/>
    <n v="18"/>
    <n v="1"/>
    <x v="0"/>
  </r>
  <r>
    <n v="6504"/>
    <n v="1975"/>
    <x v="3"/>
    <x v="2"/>
    <x v="1"/>
    <n v="19789"/>
    <x v="3"/>
    <n v="1"/>
    <n v="0"/>
    <x v="2"/>
    <x v="300"/>
    <n v="24"/>
    <x v="1"/>
    <n v="0"/>
    <n v="2"/>
    <n v="5"/>
    <n v="9"/>
    <n v="28"/>
    <n v="6"/>
    <n v="28"/>
    <n v="78"/>
    <n v="3"/>
    <n v="2"/>
    <n v="1"/>
    <n v="3"/>
    <n v="6"/>
    <n v="5"/>
    <x v="0"/>
  </r>
  <r>
    <n v="5067"/>
    <n v="1994"/>
    <x v="2"/>
    <x v="0"/>
    <x v="1"/>
    <n v="80134"/>
    <x v="2"/>
    <n v="0"/>
    <n v="0"/>
    <x v="0"/>
    <x v="301"/>
    <n v="11"/>
    <x v="1"/>
    <n v="0"/>
    <n v="966"/>
    <n v="26"/>
    <n v="282"/>
    <n v="52"/>
    <n v="26"/>
    <n v="26"/>
    <n v="1378"/>
    <n v="1"/>
    <n v="2"/>
    <n v="7"/>
    <n v="11"/>
    <n v="20"/>
    <n v="5"/>
    <x v="1"/>
  </r>
  <r>
    <n v="4216"/>
    <n v="1981"/>
    <x v="3"/>
    <x v="0"/>
    <x v="0"/>
    <n v="91065"/>
    <x v="2"/>
    <n v="0"/>
    <n v="0"/>
    <x v="0"/>
    <x v="302"/>
    <n v="33"/>
    <x v="1"/>
    <n v="0"/>
    <n v="822"/>
    <n v="114"/>
    <n v="108"/>
    <n v="179"/>
    <n v="137"/>
    <n v="114"/>
    <n v="1474"/>
    <n v="1"/>
    <n v="7"/>
    <n v="9"/>
    <n v="9"/>
    <n v="25"/>
    <n v="3"/>
    <x v="1"/>
  </r>
  <r>
    <n v="8581"/>
    <n v="1971"/>
    <x v="1"/>
    <x v="2"/>
    <x v="2"/>
    <n v="49505"/>
    <x v="1"/>
    <n v="1"/>
    <n v="1"/>
    <x v="1"/>
    <x v="303"/>
    <n v="4"/>
    <x v="1"/>
    <n v="0"/>
    <n v="604"/>
    <n v="0"/>
    <n v="100"/>
    <n v="19"/>
    <n v="0"/>
    <n v="28"/>
    <n v="751"/>
    <n v="9"/>
    <n v="10"/>
    <n v="2"/>
    <n v="8"/>
    <n v="20"/>
    <n v="8"/>
    <x v="0"/>
  </r>
  <r>
    <n v="5929"/>
    <n v="1973"/>
    <x v="3"/>
    <x v="1"/>
    <x v="2"/>
    <n v="37401"/>
    <x v="1"/>
    <n v="1"/>
    <n v="0"/>
    <x v="2"/>
    <x v="304"/>
    <n v="14"/>
    <x v="1"/>
    <n v="0"/>
    <n v="19"/>
    <n v="3"/>
    <n v="19"/>
    <n v="3"/>
    <n v="1"/>
    <n v="3"/>
    <n v="48"/>
    <n v="2"/>
    <n v="2"/>
    <n v="0"/>
    <n v="3"/>
    <n v="5"/>
    <n v="7"/>
    <x v="0"/>
  </r>
  <r>
    <n v="6528"/>
    <n v="1982"/>
    <x v="3"/>
    <x v="2"/>
    <x v="1"/>
    <n v="18492"/>
    <x v="3"/>
    <n v="1"/>
    <n v="0"/>
    <x v="2"/>
    <x v="198"/>
    <n v="75"/>
    <x v="0"/>
    <n v="0"/>
    <n v="2"/>
    <n v="2"/>
    <n v="2"/>
    <n v="2"/>
    <n v="1"/>
    <n v="1"/>
    <n v="10"/>
    <n v="1"/>
    <n v="1"/>
    <n v="0"/>
    <n v="2"/>
    <n v="3"/>
    <n v="8"/>
    <x v="0"/>
  </r>
  <r>
    <n v="1361"/>
    <n v="1974"/>
    <x v="3"/>
    <x v="2"/>
    <x v="2"/>
    <n v="82584"/>
    <x v="2"/>
    <n v="0"/>
    <n v="0"/>
    <x v="0"/>
    <x v="207"/>
    <n v="26"/>
    <x v="1"/>
    <n v="0"/>
    <n v="1076"/>
    <n v="68"/>
    <n v="103"/>
    <n v="29"/>
    <n v="91"/>
    <n v="68"/>
    <n v="1435"/>
    <n v="1"/>
    <n v="3"/>
    <n v="4"/>
    <n v="8"/>
    <n v="15"/>
    <n v="1"/>
    <x v="1"/>
  </r>
  <r>
    <n v="6932"/>
    <n v="1941"/>
    <x v="0"/>
    <x v="1"/>
    <x v="2"/>
    <n v="93027"/>
    <x v="2"/>
    <n v="0"/>
    <n v="0"/>
    <x v="0"/>
    <x v="305"/>
    <n v="77"/>
    <x v="0"/>
    <n v="0"/>
    <n v="1285"/>
    <n v="42"/>
    <n v="716"/>
    <n v="55"/>
    <n v="0"/>
    <n v="21"/>
    <n v="2119"/>
    <n v="0"/>
    <n v="7"/>
    <n v="10"/>
    <n v="5"/>
    <n v="22"/>
    <n v="2"/>
    <x v="0"/>
  </r>
  <r>
    <n v="7284"/>
    <n v="1953"/>
    <x v="0"/>
    <x v="0"/>
    <x v="2"/>
    <n v="48686"/>
    <x v="1"/>
    <n v="1"/>
    <n v="2"/>
    <x v="3"/>
    <x v="190"/>
    <n v="8"/>
    <x v="1"/>
    <n v="0"/>
    <n v="10"/>
    <n v="0"/>
    <n v="7"/>
    <n v="2"/>
    <n v="0"/>
    <n v="1"/>
    <n v="20"/>
    <n v="1"/>
    <n v="1"/>
    <n v="0"/>
    <n v="2"/>
    <n v="3"/>
    <n v="8"/>
    <x v="0"/>
  </r>
  <r>
    <n v="1340"/>
    <n v="1986"/>
    <x v="2"/>
    <x v="0"/>
    <x v="2"/>
    <n v="92910"/>
    <x v="2"/>
    <n v="0"/>
    <n v="0"/>
    <x v="0"/>
    <x v="125"/>
    <n v="42"/>
    <x v="1"/>
    <n v="0"/>
    <n v="551"/>
    <n v="137"/>
    <n v="792"/>
    <n v="179"/>
    <n v="103"/>
    <n v="33"/>
    <n v="1795"/>
    <n v="1"/>
    <n v="6"/>
    <n v="7"/>
    <n v="13"/>
    <n v="26"/>
    <n v="1"/>
    <x v="1"/>
  </r>
  <r>
    <n v="8746"/>
    <n v="1989"/>
    <x v="2"/>
    <x v="0"/>
    <x v="2"/>
    <n v="75433"/>
    <x v="2"/>
    <n v="1"/>
    <n v="0"/>
    <x v="2"/>
    <x v="306"/>
    <n v="28"/>
    <x v="1"/>
    <n v="0"/>
    <n v="800"/>
    <n v="0"/>
    <n v="297"/>
    <n v="0"/>
    <n v="34"/>
    <n v="57"/>
    <n v="1188"/>
    <n v="2"/>
    <n v="2"/>
    <n v="5"/>
    <n v="10"/>
    <n v="17"/>
    <n v="6"/>
    <x v="1"/>
  </r>
  <r>
    <n v="5987"/>
    <n v="1989"/>
    <x v="2"/>
    <x v="2"/>
    <x v="1"/>
    <n v="10404"/>
    <x v="3"/>
    <n v="1"/>
    <n v="0"/>
    <x v="2"/>
    <x v="288"/>
    <n v="52"/>
    <x v="0"/>
    <n v="0"/>
    <n v="2"/>
    <n v="2"/>
    <n v="11"/>
    <n v="10"/>
    <n v="6"/>
    <n v="12"/>
    <n v="43"/>
    <n v="2"/>
    <n v="1"/>
    <n v="0"/>
    <n v="4"/>
    <n v="5"/>
    <n v="5"/>
    <x v="0"/>
  </r>
  <r>
    <n v="3767"/>
    <n v="1968"/>
    <x v="1"/>
    <x v="0"/>
    <x v="2"/>
    <n v="61314"/>
    <x v="0"/>
    <n v="0"/>
    <n v="1"/>
    <x v="2"/>
    <x v="307"/>
    <n v="1"/>
    <x v="1"/>
    <n v="0"/>
    <n v="378"/>
    <n v="0"/>
    <n v="189"/>
    <n v="97"/>
    <n v="172"/>
    <n v="172"/>
    <n v="1008"/>
    <n v="2"/>
    <n v="5"/>
    <n v="5"/>
    <n v="12"/>
    <n v="22"/>
    <n v="3"/>
    <x v="1"/>
  </r>
  <r>
    <n v="3725"/>
    <n v="1961"/>
    <x v="0"/>
    <x v="1"/>
    <x v="0"/>
    <n v="84865"/>
    <x v="2"/>
    <n v="0"/>
    <n v="0"/>
    <x v="0"/>
    <x v="252"/>
    <n v="1"/>
    <x v="1"/>
    <n v="0"/>
    <n v="1248"/>
    <n v="16"/>
    <n v="349"/>
    <n v="43"/>
    <n v="16"/>
    <n v="16"/>
    <n v="1688"/>
    <n v="1"/>
    <n v="2"/>
    <n v="4"/>
    <n v="9"/>
    <n v="15"/>
    <n v="4"/>
    <x v="1"/>
  </r>
  <r>
    <n v="4324"/>
    <n v="1989"/>
    <x v="2"/>
    <x v="0"/>
    <x v="2"/>
    <n v="42387"/>
    <x v="1"/>
    <n v="1"/>
    <n v="0"/>
    <x v="2"/>
    <x v="29"/>
    <n v="42"/>
    <x v="1"/>
    <n v="0"/>
    <n v="235"/>
    <n v="0"/>
    <n v="235"/>
    <n v="19"/>
    <n v="4"/>
    <n v="191"/>
    <n v="684"/>
    <n v="5"/>
    <n v="8"/>
    <n v="1"/>
    <n v="7"/>
    <n v="16"/>
    <n v="8"/>
    <x v="0"/>
  </r>
  <r>
    <n v="238"/>
    <n v="1967"/>
    <x v="1"/>
    <x v="2"/>
    <x v="1"/>
    <n v="67309"/>
    <x v="0"/>
    <n v="1"/>
    <n v="1"/>
    <x v="1"/>
    <x v="299"/>
    <n v="76"/>
    <x v="0"/>
    <n v="0"/>
    <n v="515"/>
    <n v="47"/>
    <n v="181"/>
    <n v="149"/>
    <n v="95"/>
    <n v="95"/>
    <n v="1082"/>
    <n v="15"/>
    <n v="9"/>
    <n v="6"/>
    <n v="9"/>
    <n v="24"/>
    <n v="7"/>
    <x v="0"/>
  </r>
  <r>
    <n v="6694"/>
    <n v="1964"/>
    <x v="1"/>
    <x v="0"/>
    <x v="2"/>
    <n v="75236"/>
    <x v="2"/>
    <n v="0"/>
    <n v="1"/>
    <x v="2"/>
    <x v="308"/>
    <n v="27"/>
    <x v="1"/>
    <n v="0"/>
    <n v="438"/>
    <n v="66"/>
    <n v="400"/>
    <n v="12"/>
    <n v="38"/>
    <n v="114"/>
    <n v="1068"/>
    <n v="1"/>
    <n v="8"/>
    <n v="3"/>
    <n v="13"/>
    <n v="24"/>
    <n v="4"/>
    <x v="1"/>
  </r>
  <r>
    <n v="498"/>
    <n v="1970"/>
    <x v="1"/>
    <x v="0"/>
    <x v="0"/>
    <n v="30015"/>
    <x v="3"/>
    <n v="1"/>
    <n v="0"/>
    <x v="2"/>
    <x v="309"/>
    <n v="28"/>
    <x v="1"/>
    <n v="0"/>
    <n v="25"/>
    <n v="0"/>
    <n v="22"/>
    <n v="2"/>
    <n v="3"/>
    <n v="5"/>
    <n v="57"/>
    <n v="2"/>
    <n v="1"/>
    <n v="0"/>
    <n v="4"/>
    <n v="5"/>
    <n v="5"/>
    <x v="0"/>
  </r>
  <r>
    <n v="9347"/>
    <n v="1956"/>
    <x v="0"/>
    <x v="2"/>
    <x v="1"/>
    <n v="50943"/>
    <x v="1"/>
    <n v="0"/>
    <n v="1"/>
    <x v="2"/>
    <x v="310"/>
    <n v="49"/>
    <x v="0"/>
    <n v="0"/>
    <n v="31"/>
    <n v="0"/>
    <n v="7"/>
    <n v="2"/>
    <n v="0"/>
    <n v="6"/>
    <n v="46"/>
    <n v="1"/>
    <n v="1"/>
    <n v="0"/>
    <n v="3"/>
    <n v="4"/>
    <n v="5"/>
    <x v="0"/>
  </r>
  <r>
    <n v="9699"/>
    <n v="1966"/>
    <x v="1"/>
    <x v="0"/>
    <x v="3"/>
    <n v="67272"/>
    <x v="0"/>
    <n v="0"/>
    <n v="1"/>
    <x v="2"/>
    <x v="311"/>
    <n v="12"/>
    <x v="1"/>
    <n v="0"/>
    <n v="357"/>
    <n v="35"/>
    <n v="271"/>
    <n v="28"/>
    <n v="28"/>
    <n v="14"/>
    <n v="733"/>
    <n v="3"/>
    <n v="6"/>
    <n v="2"/>
    <n v="12"/>
    <n v="20"/>
    <n v="5"/>
    <x v="1"/>
  </r>
  <r>
    <n v="10664"/>
    <n v="1949"/>
    <x v="4"/>
    <x v="2"/>
    <x v="4"/>
    <n v="51529"/>
    <x v="1"/>
    <n v="0"/>
    <n v="1"/>
    <x v="2"/>
    <x v="312"/>
    <n v="14"/>
    <x v="1"/>
    <n v="0"/>
    <n v="400"/>
    <n v="4"/>
    <n v="35"/>
    <n v="6"/>
    <n v="0"/>
    <n v="22"/>
    <n v="467"/>
    <n v="2"/>
    <n v="9"/>
    <n v="1"/>
    <n v="5"/>
    <n v="15"/>
    <n v="8"/>
    <x v="0"/>
  </r>
  <r>
    <n v="5455"/>
    <n v="1971"/>
    <x v="1"/>
    <x v="1"/>
    <x v="2"/>
    <n v="32011"/>
    <x v="3"/>
    <n v="1"/>
    <n v="0"/>
    <x v="2"/>
    <x v="313"/>
    <n v="89"/>
    <x v="0"/>
    <n v="0"/>
    <n v="99"/>
    <n v="0"/>
    <n v="15"/>
    <n v="2"/>
    <n v="1"/>
    <n v="5"/>
    <n v="122"/>
    <n v="3"/>
    <n v="2"/>
    <n v="1"/>
    <n v="4"/>
    <n v="7"/>
    <n v="7"/>
    <x v="0"/>
  </r>
  <r>
    <n v="456"/>
    <n v="1986"/>
    <x v="2"/>
    <x v="2"/>
    <x v="2"/>
    <n v="7500"/>
    <x v="3"/>
    <n v="1"/>
    <n v="0"/>
    <x v="2"/>
    <x v="247"/>
    <n v="96"/>
    <x v="0"/>
    <n v="0"/>
    <n v="1"/>
    <n v="11"/>
    <n v="5"/>
    <n v="4"/>
    <n v="6"/>
    <n v="9"/>
    <n v="36"/>
    <n v="2"/>
    <n v="2"/>
    <n v="0"/>
    <n v="3"/>
    <n v="5"/>
    <n v="8"/>
    <x v="0"/>
  </r>
  <r>
    <n v="5012"/>
    <n v="1989"/>
    <x v="2"/>
    <x v="0"/>
    <x v="2"/>
    <n v="28691"/>
    <x v="3"/>
    <n v="1"/>
    <n v="0"/>
    <x v="2"/>
    <x v="53"/>
    <n v="56"/>
    <x v="0"/>
    <n v="0"/>
    <n v="5"/>
    <n v="4"/>
    <n v="13"/>
    <n v="8"/>
    <n v="0"/>
    <n v="4"/>
    <n v="34"/>
    <n v="1"/>
    <n v="1"/>
    <n v="0"/>
    <n v="3"/>
    <n v="4"/>
    <n v="8"/>
    <x v="0"/>
  </r>
  <r>
    <n v="7495"/>
    <n v="1948"/>
    <x v="4"/>
    <x v="1"/>
    <x v="2"/>
    <n v="56223"/>
    <x v="0"/>
    <n v="0"/>
    <n v="1"/>
    <x v="2"/>
    <x v="314"/>
    <n v="72"/>
    <x v="0"/>
    <n v="0"/>
    <n v="77"/>
    <n v="28"/>
    <n v="31"/>
    <n v="16"/>
    <n v="0"/>
    <n v="4"/>
    <n v="156"/>
    <n v="2"/>
    <n v="2"/>
    <n v="1"/>
    <n v="5"/>
    <n v="8"/>
    <n v="4"/>
    <x v="0"/>
  </r>
  <r>
    <n v="5029"/>
    <n v="1946"/>
    <x v="4"/>
    <x v="0"/>
    <x v="2"/>
    <n v="18100"/>
    <x v="3"/>
    <n v="0"/>
    <n v="0"/>
    <x v="0"/>
    <x v="315"/>
    <n v="14"/>
    <x v="1"/>
    <n v="0"/>
    <n v="3"/>
    <n v="1"/>
    <n v="2"/>
    <n v="4"/>
    <n v="3"/>
    <n v="1"/>
    <n v="14"/>
    <n v="1"/>
    <n v="0"/>
    <n v="0"/>
    <n v="3"/>
    <n v="3"/>
    <n v="5"/>
    <x v="0"/>
  </r>
  <r>
    <n v="2106"/>
    <n v="1974"/>
    <x v="3"/>
    <x v="2"/>
    <x v="2"/>
    <n v="20130"/>
    <x v="3"/>
    <n v="0"/>
    <n v="0"/>
    <x v="0"/>
    <x v="233"/>
    <n v="99"/>
    <x v="0"/>
    <n v="0"/>
    <n v="0"/>
    <n v="6"/>
    <n v="3"/>
    <n v="7"/>
    <n v="6"/>
    <n v="12"/>
    <n v="34"/>
    <n v="1"/>
    <n v="1"/>
    <n v="0"/>
    <n v="3"/>
    <n v="4"/>
    <n v="8"/>
    <x v="0"/>
  </r>
  <r>
    <n v="10364"/>
    <n v="1959"/>
    <x v="0"/>
    <x v="0"/>
    <x v="3"/>
    <n v="23295"/>
    <x v="3"/>
    <n v="0"/>
    <n v="0"/>
    <x v="0"/>
    <x v="141"/>
    <n v="72"/>
    <x v="0"/>
    <n v="0"/>
    <n v="0"/>
    <n v="0"/>
    <n v="1"/>
    <n v="2"/>
    <n v="12"/>
    <n v="5"/>
    <n v="20"/>
    <n v="1"/>
    <n v="1"/>
    <n v="0"/>
    <n v="2"/>
    <n v="3"/>
    <n v="8"/>
    <x v="0"/>
  </r>
  <r>
    <n v="5954"/>
    <n v="1972"/>
    <x v="1"/>
    <x v="2"/>
    <x v="3"/>
    <n v="42618"/>
    <x v="1"/>
    <n v="1"/>
    <n v="0"/>
    <x v="2"/>
    <x v="316"/>
    <n v="92"/>
    <x v="0"/>
    <n v="0"/>
    <n v="76"/>
    <n v="14"/>
    <n v="74"/>
    <n v="13"/>
    <n v="5"/>
    <n v="10"/>
    <n v="192"/>
    <n v="2"/>
    <n v="5"/>
    <n v="0"/>
    <n v="4"/>
    <n v="9"/>
    <n v="8"/>
    <x v="0"/>
  </r>
  <r>
    <n v="1137"/>
    <n v="1964"/>
    <x v="1"/>
    <x v="0"/>
    <x v="0"/>
    <n v="81246"/>
    <x v="2"/>
    <n v="0"/>
    <n v="0"/>
    <x v="0"/>
    <x v="157"/>
    <n v="87"/>
    <x v="0"/>
    <n v="0"/>
    <n v="398"/>
    <n v="190"/>
    <n v="537"/>
    <n v="61"/>
    <n v="156"/>
    <n v="37"/>
    <n v="1379"/>
    <n v="1"/>
    <n v="4"/>
    <n v="5"/>
    <n v="7"/>
    <n v="16"/>
    <n v="1"/>
    <x v="0"/>
  </r>
  <r>
    <n v="2541"/>
    <n v="1976"/>
    <x v="3"/>
    <x v="0"/>
    <x v="2"/>
    <n v="24027"/>
    <x v="3"/>
    <n v="1"/>
    <n v="0"/>
    <x v="2"/>
    <x v="317"/>
    <n v="7"/>
    <x v="1"/>
    <n v="0"/>
    <n v="14"/>
    <n v="7"/>
    <n v="11"/>
    <n v="11"/>
    <n v="0"/>
    <n v="5"/>
    <n v="48"/>
    <n v="2"/>
    <n v="2"/>
    <n v="0"/>
    <n v="3"/>
    <n v="5"/>
    <n v="8"/>
    <x v="0"/>
  </r>
  <r>
    <n v="1142"/>
    <n v="1953"/>
    <x v="0"/>
    <x v="1"/>
    <x v="2"/>
    <n v="55707"/>
    <x v="0"/>
    <n v="0"/>
    <n v="1"/>
    <x v="2"/>
    <x v="318"/>
    <n v="91"/>
    <x v="0"/>
    <n v="0"/>
    <n v="208"/>
    <n v="7"/>
    <n v="82"/>
    <n v="30"/>
    <n v="66"/>
    <n v="35"/>
    <n v="428"/>
    <n v="2"/>
    <n v="3"/>
    <n v="2"/>
    <n v="9"/>
    <n v="14"/>
    <n v="3"/>
    <x v="0"/>
  </r>
  <r>
    <n v="2276"/>
    <n v="1955"/>
    <x v="0"/>
    <x v="0"/>
    <x v="0"/>
    <n v="57959"/>
    <x v="0"/>
    <n v="0"/>
    <n v="1"/>
    <x v="2"/>
    <x v="319"/>
    <n v="71"/>
    <x v="0"/>
    <n v="0"/>
    <n v="430"/>
    <n v="16"/>
    <n v="322"/>
    <n v="43"/>
    <n v="24"/>
    <n v="33"/>
    <n v="868"/>
    <n v="5"/>
    <n v="4"/>
    <n v="7"/>
    <n v="11"/>
    <n v="22"/>
    <n v="3"/>
    <x v="0"/>
  </r>
  <r>
    <n v="2807"/>
    <n v="1969"/>
    <x v="1"/>
    <x v="0"/>
    <x v="2"/>
    <n v="56796"/>
    <x v="0"/>
    <n v="0"/>
    <n v="1"/>
    <x v="2"/>
    <x v="320"/>
    <n v="24"/>
    <x v="1"/>
    <n v="0"/>
    <n v="656"/>
    <n v="38"/>
    <n v="161"/>
    <n v="62"/>
    <n v="47"/>
    <n v="37"/>
    <n v="1001"/>
    <n v="3"/>
    <n v="8"/>
    <n v="9"/>
    <n v="7"/>
    <n v="24"/>
    <n v="7"/>
    <x v="1"/>
  </r>
  <r>
    <n v="6471"/>
    <n v="1971"/>
    <x v="1"/>
    <x v="2"/>
    <x v="0"/>
    <n v="36230"/>
    <x v="1"/>
    <n v="1"/>
    <n v="0"/>
    <x v="2"/>
    <x v="131"/>
    <n v="17"/>
    <x v="1"/>
    <n v="0"/>
    <n v="14"/>
    <n v="2"/>
    <n v="30"/>
    <n v="8"/>
    <n v="2"/>
    <n v="3"/>
    <n v="59"/>
    <n v="1"/>
    <n v="2"/>
    <n v="0"/>
    <n v="4"/>
    <n v="6"/>
    <n v="5"/>
    <x v="0"/>
  </r>
  <r>
    <n v="6131"/>
    <n v="1980"/>
    <x v="3"/>
    <x v="2"/>
    <x v="2"/>
    <n v="70829"/>
    <x v="2"/>
    <n v="1"/>
    <n v="1"/>
    <x v="1"/>
    <x v="86"/>
    <n v="87"/>
    <x v="0"/>
    <n v="0"/>
    <n v="141"/>
    <n v="70"/>
    <n v="106"/>
    <n v="72"/>
    <n v="19"/>
    <n v="23"/>
    <n v="431"/>
    <n v="2"/>
    <n v="4"/>
    <n v="2"/>
    <n v="8"/>
    <n v="14"/>
    <n v="3"/>
    <x v="0"/>
  </r>
  <r>
    <n v="6233"/>
    <n v="1976"/>
    <x v="3"/>
    <x v="0"/>
    <x v="2"/>
    <n v="65991"/>
    <x v="0"/>
    <n v="0"/>
    <n v="1"/>
    <x v="2"/>
    <x v="54"/>
    <n v="21"/>
    <x v="1"/>
    <n v="0"/>
    <n v="507"/>
    <n v="19"/>
    <n v="364"/>
    <n v="25"/>
    <n v="47"/>
    <n v="9"/>
    <n v="971"/>
    <n v="3"/>
    <n v="9"/>
    <n v="5"/>
    <n v="10"/>
    <n v="24"/>
    <n v="7"/>
    <x v="1"/>
  </r>
  <r>
    <n v="4148"/>
    <n v="1972"/>
    <x v="1"/>
    <x v="0"/>
    <x v="2"/>
    <n v="38988"/>
    <x v="1"/>
    <n v="1"/>
    <n v="2"/>
    <x v="3"/>
    <x v="321"/>
    <n v="90"/>
    <x v="0"/>
    <n v="0"/>
    <n v="164"/>
    <n v="24"/>
    <n v="103"/>
    <n v="12"/>
    <n v="3"/>
    <n v="42"/>
    <n v="348"/>
    <n v="7"/>
    <n v="5"/>
    <n v="1"/>
    <n v="6"/>
    <n v="12"/>
    <n v="8"/>
    <x v="0"/>
  </r>
  <r>
    <n v="4947"/>
    <n v="1966"/>
    <x v="1"/>
    <x v="2"/>
    <x v="0"/>
    <n v="89572"/>
    <x v="2"/>
    <n v="0"/>
    <n v="0"/>
    <x v="0"/>
    <x v="291"/>
    <n v="44"/>
    <x v="1"/>
    <n v="0"/>
    <n v="606"/>
    <n v="24"/>
    <n v="974"/>
    <n v="197"/>
    <n v="194"/>
    <n v="64"/>
    <n v="2059"/>
    <n v="1"/>
    <n v="7"/>
    <n v="7"/>
    <n v="9"/>
    <n v="23"/>
    <n v="4"/>
    <x v="1"/>
  </r>
  <r>
    <n v="3225"/>
    <n v="1984"/>
    <x v="2"/>
    <x v="2"/>
    <x v="2"/>
    <n v="42207"/>
    <x v="1"/>
    <n v="1"/>
    <n v="0"/>
    <x v="2"/>
    <x v="322"/>
    <n v="71"/>
    <x v="0"/>
    <n v="0"/>
    <n v="116"/>
    <n v="11"/>
    <n v="72"/>
    <n v="3"/>
    <n v="17"/>
    <n v="46"/>
    <n v="265"/>
    <n v="4"/>
    <n v="4"/>
    <n v="1"/>
    <n v="5"/>
    <n v="10"/>
    <n v="6"/>
    <x v="0"/>
  </r>
  <r>
    <n v="7540"/>
    <n v="1952"/>
    <x v="4"/>
    <x v="0"/>
    <x v="2"/>
    <n v="50300"/>
    <x v="1"/>
    <n v="0"/>
    <n v="1"/>
    <x v="2"/>
    <x v="323"/>
    <n v="52"/>
    <x v="0"/>
    <n v="0"/>
    <n v="143"/>
    <n v="15"/>
    <n v="60"/>
    <n v="24"/>
    <n v="23"/>
    <n v="5"/>
    <n v="270"/>
    <n v="2"/>
    <n v="2"/>
    <n v="1"/>
    <n v="8"/>
    <n v="11"/>
    <n v="2"/>
    <x v="0"/>
  </r>
  <r>
    <n v="10648"/>
    <n v="1982"/>
    <x v="3"/>
    <x v="2"/>
    <x v="1"/>
    <n v="66664"/>
    <x v="0"/>
    <n v="0"/>
    <n v="0"/>
    <x v="0"/>
    <x v="324"/>
    <n v="78"/>
    <x v="0"/>
    <n v="0"/>
    <n v="398"/>
    <n v="96"/>
    <n v="447"/>
    <n v="220"/>
    <n v="96"/>
    <n v="32"/>
    <n v="1289"/>
    <n v="1"/>
    <n v="5"/>
    <n v="7"/>
    <n v="6"/>
    <n v="18"/>
    <n v="3"/>
    <x v="0"/>
  </r>
  <r>
    <n v="1992"/>
    <n v="1964"/>
    <x v="1"/>
    <x v="0"/>
    <x v="2"/>
    <n v="60597"/>
    <x v="0"/>
    <n v="0"/>
    <n v="1"/>
    <x v="2"/>
    <x v="42"/>
    <n v="2"/>
    <x v="1"/>
    <n v="0"/>
    <n v="522"/>
    <n v="0"/>
    <n v="257"/>
    <n v="32"/>
    <n v="16"/>
    <n v="66"/>
    <n v="893"/>
    <n v="4"/>
    <n v="2"/>
    <n v="2"/>
    <n v="8"/>
    <n v="12"/>
    <n v="7"/>
    <x v="0"/>
  </r>
  <r>
    <n v="7851"/>
    <n v="1949"/>
    <x v="4"/>
    <x v="0"/>
    <x v="4"/>
    <n v="70165"/>
    <x v="2"/>
    <n v="0"/>
    <n v="0"/>
    <x v="0"/>
    <x v="325"/>
    <n v="60"/>
    <x v="0"/>
    <n v="0"/>
    <n v="161"/>
    <n v="0"/>
    <n v="253"/>
    <n v="199"/>
    <n v="191"/>
    <n v="122"/>
    <n v="926"/>
    <n v="1"/>
    <n v="3"/>
    <n v="7"/>
    <n v="11"/>
    <n v="21"/>
    <n v="1"/>
    <x v="0"/>
  </r>
  <r>
    <n v="8594"/>
    <n v="1958"/>
    <x v="0"/>
    <x v="1"/>
    <x v="4"/>
    <n v="50520"/>
    <x v="1"/>
    <n v="0"/>
    <n v="1"/>
    <x v="2"/>
    <x v="326"/>
    <n v="25"/>
    <x v="1"/>
    <n v="0"/>
    <n v="112"/>
    <n v="0"/>
    <n v="6"/>
    <n v="2"/>
    <n v="1"/>
    <n v="14"/>
    <n v="135"/>
    <n v="2"/>
    <n v="3"/>
    <n v="1"/>
    <n v="3"/>
    <n v="7"/>
    <n v="6"/>
    <x v="0"/>
  </r>
  <r>
    <n v="2815"/>
    <n v="1975"/>
    <x v="3"/>
    <x v="0"/>
    <x v="2"/>
    <n v="33183"/>
    <x v="3"/>
    <n v="1"/>
    <n v="0"/>
    <x v="2"/>
    <x v="106"/>
    <n v="46"/>
    <x v="1"/>
    <n v="0"/>
    <n v="7"/>
    <n v="5"/>
    <n v="39"/>
    <n v="17"/>
    <n v="15"/>
    <n v="37"/>
    <n v="120"/>
    <n v="2"/>
    <n v="4"/>
    <n v="0"/>
    <n v="3"/>
    <n v="7"/>
    <n v="7"/>
    <x v="0"/>
  </r>
  <r>
    <n v="2416"/>
    <n v="1969"/>
    <x v="1"/>
    <x v="1"/>
    <x v="0"/>
    <n v="66582"/>
    <x v="0"/>
    <n v="0"/>
    <n v="0"/>
    <x v="0"/>
    <x v="52"/>
    <n v="83"/>
    <x v="0"/>
    <n v="0"/>
    <n v="789"/>
    <n v="25"/>
    <n v="420"/>
    <n v="16"/>
    <n v="38"/>
    <n v="0"/>
    <n v="1288"/>
    <n v="1"/>
    <n v="2"/>
    <n v="8"/>
    <n v="9"/>
    <n v="19"/>
    <n v="1"/>
    <x v="0"/>
  </r>
  <r>
    <n v="7999"/>
    <n v="1955"/>
    <x v="0"/>
    <x v="1"/>
    <x v="1"/>
    <n v="75261"/>
    <x v="2"/>
    <n v="0"/>
    <n v="0"/>
    <x v="0"/>
    <x v="327"/>
    <n v="17"/>
    <x v="1"/>
    <n v="0"/>
    <n v="1239"/>
    <n v="17"/>
    <n v="413"/>
    <n v="23"/>
    <n v="34"/>
    <n v="17"/>
    <n v="1743"/>
    <n v="1"/>
    <n v="5"/>
    <n v="6"/>
    <n v="5"/>
    <n v="16"/>
    <n v="2"/>
    <x v="1"/>
  </r>
  <r>
    <n v="9213"/>
    <n v="1970"/>
    <x v="1"/>
    <x v="0"/>
    <x v="4"/>
    <n v="31880"/>
    <x v="3"/>
    <n v="1"/>
    <n v="0"/>
    <x v="2"/>
    <x v="227"/>
    <n v="13"/>
    <x v="1"/>
    <n v="0"/>
    <n v="4"/>
    <n v="1"/>
    <n v="5"/>
    <n v="2"/>
    <n v="0"/>
    <n v="3"/>
    <n v="15"/>
    <n v="1"/>
    <n v="1"/>
    <n v="0"/>
    <n v="2"/>
    <n v="3"/>
    <n v="8"/>
    <x v="0"/>
  </r>
  <r>
    <n v="9697"/>
    <n v="1951"/>
    <x v="4"/>
    <x v="0"/>
    <x v="2"/>
    <n v="53790"/>
    <x v="0"/>
    <n v="0"/>
    <n v="2"/>
    <x v="1"/>
    <x v="328"/>
    <n v="86"/>
    <x v="0"/>
    <n v="0"/>
    <n v="335"/>
    <n v="42"/>
    <n v="127"/>
    <n v="28"/>
    <n v="5"/>
    <n v="5"/>
    <n v="542"/>
    <n v="3"/>
    <n v="7"/>
    <n v="2"/>
    <n v="8"/>
    <n v="17"/>
    <n v="6"/>
    <x v="0"/>
  </r>
  <r>
    <n v="3916"/>
    <n v="1971"/>
    <x v="1"/>
    <x v="1"/>
    <x v="1"/>
    <n v="49269"/>
    <x v="1"/>
    <n v="1"/>
    <n v="0"/>
    <x v="2"/>
    <x v="329"/>
    <n v="92"/>
    <x v="0"/>
    <n v="0"/>
    <n v="639"/>
    <n v="8"/>
    <n v="166"/>
    <n v="11"/>
    <n v="8"/>
    <n v="58"/>
    <n v="890"/>
    <n v="3"/>
    <n v="7"/>
    <n v="3"/>
    <n v="12"/>
    <n v="22"/>
    <n v="7"/>
    <x v="0"/>
  </r>
  <r>
    <n v="2021"/>
    <n v="1975"/>
    <x v="3"/>
    <x v="0"/>
    <x v="2"/>
    <n v="61456"/>
    <x v="0"/>
    <n v="0"/>
    <n v="1"/>
    <x v="2"/>
    <x v="330"/>
    <n v="47"/>
    <x v="1"/>
    <n v="0"/>
    <n v="563"/>
    <n v="76"/>
    <n v="384"/>
    <n v="84"/>
    <n v="192"/>
    <n v="89"/>
    <n v="1388"/>
    <n v="4"/>
    <n v="6"/>
    <n v="10"/>
    <n v="13"/>
    <n v="29"/>
    <n v="4"/>
    <x v="1"/>
  </r>
  <r>
    <n v="1581"/>
    <n v="1980"/>
    <x v="3"/>
    <x v="0"/>
    <x v="2"/>
    <n v="37406"/>
    <x v="1"/>
    <n v="1"/>
    <n v="0"/>
    <x v="2"/>
    <x v="331"/>
    <n v="18"/>
    <x v="1"/>
    <n v="0"/>
    <n v="2"/>
    <n v="0"/>
    <n v="8"/>
    <n v="2"/>
    <n v="2"/>
    <n v="3"/>
    <n v="17"/>
    <n v="1"/>
    <n v="1"/>
    <n v="0"/>
    <n v="2"/>
    <n v="3"/>
    <n v="8"/>
    <x v="0"/>
  </r>
  <r>
    <n v="564"/>
    <n v="1981"/>
    <x v="3"/>
    <x v="1"/>
    <x v="1"/>
    <n v="56937"/>
    <x v="0"/>
    <n v="1"/>
    <n v="0"/>
    <x v="2"/>
    <x v="332"/>
    <n v="81"/>
    <x v="0"/>
    <n v="0"/>
    <n v="746"/>
    <n v="8"/>
    <n v="125"/>
    <n v="11"/>
    <n v="8"/>
    <n v="8"/>
    <n v="906"/>
    <n v="7"/>
    <n v="8"/>
    <n v="6"/>
    <n v="9"/>
    <n v="23"/>
    <n v="6"/>
    <x v="0"/>
  </r>
  <r>
    <n v="6619"/>
    <n v="1978"/>
    <x v="3"/>
    <x v="0"/>
    <x v="2"/>
    <n v="38415"/>
    <x v="1"/>
    <n v="1"/>
    <n v="1"/>
    <x v="1"/>
    <x v="22"/>
    <n v="91"/>
    <x v="0"/>
    <n v="0"/>
    <n v="22"/>
    <n v="1"/>
    <n v="13"/>
    <n v="4"/>
    <n v="0"/>
    <n v="4"/>
    <n v="44"/>
    <n v="2"/>
    <n v="1"/>
    <n v="0"/>
    <n v="3"/>
    <n v="4"/>
    <n v="7"/>
    <x v="0"/>
  </r>
  <r>
    <n v="9081"/>
    <n v="1988"/>
    <x v="2"/>
    <x v="0"/>
    <x v="0"/>
    <n v="20518"/>
    <x v="3"/>
    <n v="1"/>
    <n v="0"/>
    <x v="2"/>
    <x v="333"/>
    <n v="58"/>
    <x v="0"/>
    <n v="0"/>
    <n v="4"/>
    <n v="1"/>
    <n v="6"/>
    <n v="4"/>
    <n v="1"/>
    <n v="9"/>
    <n v="25"/>
    <n v="1"/>
    <n v="1"/>
    <n v="1"/>
    <n v="2"/>
    <n v="4"/>
    <n v="5"/>
    <x v="0"/>
  </r>
  <r>
    <n v="178"/>
    <n v="1956"/>
    <x v="0"/>
    <x v="0"/>
    <x v="2"/>
    <n v="62503"/>
    <x v="0"/>
    <n v="0"/>
    <n v="1"/>
    <x v="2"/>
    <x v="55"/>
    <n v="40"/>
    <x v="1"/>
    <n v="0"/>
    <n v="478"/>
    <n v="0"/>
    <n v="193"/>
    <n v="110"/>
    <n v="75"/>
    <n v="117"/>
    <n v="973"/>
    <n v="4"/>
    <n v="8"/>
    <n v="3"/>
    <n v="11"/>
    <n v="22"/>
    <n v="5"/>
    <x v="1"/>
  </r>
  <r>
    <n v="916"/>
    <n v="1972"/>
    <x v="1"/>
    <x v="1"/>
    <x v="0"/>
    <n v="41644"/>
    <x v="1"/>
    <n v="1"/>
    <n v="1"/>
    <x v="1"/>
    <x v="334"/>
    <n v="67"/>
    <x v="0"/>
    <n v="0"/>
    <n v="20"/>
    <n v="3"/>
    <n v="4"/>
    <n v="2"/>
    <n v="0"/>
    <n v="2"/>
    <n v="31"/>
    <n v="2"/>
    <n v="1"/>
    <n v="0"/>
    <n v="3"/>
    <n v="4"/>
    <n v="3"/>
    <x v="0"/>
  </r>
  <r>
    <n v="5512"/>
    <n v="1977"/>
    <x v="3"/>
    <x v="2"/>
    <x v="2"/>
    <n v="55842"/>
    <x v="0"/>
    <n v="0"/>
    <n v="1"/>
    <x v="2"/>
    <x v="146"/>
    <n v="19"/>
    <x v="1"/>
    <n v="0"/>
    <n v="451"/>
    <n v="0"/>
    <n v="39"/>
    <n v="0"/>
    <n v="4"/>
    <n v="24"/>
    <n v="518"/>
    <n v="1"/>
    <n v="7"/>
    <n v="1"/>
    <n v="8"/>
    <n v="16"/>
    <n v="5"/>
    <x v="0"/>
  </r>
  <r>
    <n v="8970"/>
    <n v="1972"/>
    <x v="1"/>
    <x v="1"/>
    <x v="2"/>
    <n v="62010"/>
    <x v="0"/>
    <n v="0"/>
    <n v="1"/>
    <x v="2"/>
    <x v="335"/>
    <n v="93"/>
    <x v="0"/>
    <n v="0"/>
    <n v="371"/>
    <n v="22"/>
    <n v="39"/>
    <n v="6"/>
    <n v="0"/>
    <n v="92"/>
    <n v="530"/>
    <n v="4"/>
    <n v="6"/>
    <n v="2"/>
    <n v="7"/>
    <n v="15"/>
    <n v="5"/>
    <x v="0"/>
  </r>
  <r>
    <n v="10581"/>
    <n v="1977"/>
    <x v="3"/>
    <x v="0"/>
    <x v="2"/>
    <n v="41124"/>
    <x v="1"/>
    <n v="1"/>
    <n v="0"/>
    <x v="2"/>
    <x v="227"/>
    <n v="41"/>
    <x v="1"/>
    <n v="0"/>
    <n v="281"/>
    <n v="7"/>
    <n v="84"/>
    <n v="15"/>
    <n v="0"/>
    <n v="119"/>
    <n v="506"/>
    <n v="7"/>
    <n v="7"/>
    <n v="3"/>
    <n v="4"/>
    <n v="14"/>
    <n v="8"/>
    <x v="0"/>
  </r>
  <r>
    <n v="5300"/>
    <n v="1973"/>
    <x v="3"/>
    <x v="2"/>
    <x v="2"/>
    <n v="38961"/>
    <x v="1"/>
    <n v="1"/>
    <n v="0"/>
    <x v="2"/>
    <x v="336"/>
    <n v="60"/>
    <x v="0"/>
    <n v="0"/>
    <n v="19"/>
    <n v="7"/>
    <n v="19"/>
    <n v="0"/>
    <n v="1"/>
    <n v="24"/>
    <n v="70"/>
    <n v="1"/>
    <n v="2"/>
    <n v="1"/>
    <n v="2"/>
    <n v="5"/>
    <n v="7"/>
    <x v="0"/>
  </r>
  <r>
    <n v="5154"/>
    <n v="1972"/>
    <x v="1"/>
    <x v="2"/>
    <x v="3"/>
    <n v="37760"/>
    <x v="1"/>
    <n v="1"/>
    <n v="0"/>
    <x v="2"/>
    <x v="76"/>
    <n v="54"/>
    <x v="0"/>
    <n v="0"/>
    <n v="26"/>
    <n v="3"/>
    <n v="13"/>
    <n v="2"/>
    <n v="10"/>
    <n v="0"/>
    <n v="54"/>
    <n v="1"/>
    <n v="2"/>
    <n v="0"/>
    <n v="3"/>
    <n v="5"/>
    <n v="6"/>
    <x v="0"/>
  </r>
  <r>
    <n v="8346"/>
    <n v="1974"/>
    <x v="3"/>
    <x v="0"/>
    <x v="0"/>
    <n v="32233"/>
    <x v="3"/>
    <n v="1"/>
    <n v="0"/>
    <x v="2"/>
    <x v="337"/>
    <n v="26"/>
    <x v="1"/>
    <n v="0"/>
    <n v="138"/>
    <n v="15"/>
    <n v="35"/>
    <n v="25"/>
    <n v="11"/>
    <n v="72"/>
    <n v="296"/>
    <n v="2"/>
    <n v="6"/>
    <n v="2"/>
    <n v="2"/>
    <n v="10"/>
    <n v="9"/>
    <x v="0"/>
  </r>
  <r>
    <n v="1676"/>
    <n v="1975"/>
    <x v="3"/>
    <x v="0"/>
    <x v="2"/>
    <n v="43057"/>
    <x v="1"/>
    <n v="0"/>
    <n v="1"/>
    <x v="2"/>
    <x v="338"/>
    <n v="30"/>
    <x v="1"/>
    <n v="0"/>
    <n v="213"/>
    <n v="2"/>
    <n v="44"/>
    <n v="0"/>
    <n v="2"/>
    <n v="5"/>
    <n v="266"/>
    <n v="4"/>
    <n v="4"/>
    <n v="2"/>
    <n v="5"/>
    <n v="11"/>
    <n v="5"/>
    <x v="0"/>
  </r>
  <r>
    <n v="9286"/>
    <n v="1960"/>
    <x v="0"/>
    <x v="2"/>
    <x v="1"/>
    <n v="83151"/>
    <x v="2"/>
    <n v="0"/>
    <n v="0"/>
    <x v="0"/>
    <x v="11"/>
    <n v="93"/>
    <x v="0"/>
    <n v="0"/>
    <n v="407"/>
    <n v="28"/>
    <n v="100"/>
    <n v="120"/>
    <n v="74"/>
    <n v="18"/>
    <n v="747"/>
    <n v="1"/>
    <n v="5"/>
    <n v="9"/>
    <n v="4"/>
    <n v="18"/>
    <n v="3"/>
    <x v="0"/>
  </r>
  <r>
    <n v="2426"/>
    <n v="1964"/>
    <x v="1"/>
    <x v="1"/>
    <x v="3"/>
    <n v="78825"/>
    <x v="2"/>
    <n v="0"/>
    <n v="0"/>
    <x v="0"/>
    <x v="64"/>
    <n v="35"/>
    <x v="1"/>
    <n v="0"/>
    <n v="483"/>
    <n v="74"/>
    <n v="114"/>
    <n v="169"/>
    <n v="37"/>
    <n v="18"/>
    <n v="895"/>
    <n v="1"/>
    <n v="5"/>
    <n v="10"/>
    <n v="13"/>
    <n v="28"/>
    <n v="3"/>
    <x v="1"/>
  </r>
  <r>
    <n v="5172"/>
    <n v="1976"/>
    <x v="3"/>
    <x v="2"/>
    <x v="1"/>
    <n v="65104"/>
    <x v="0"/>
    <n v="0"/>
    <n v="1"/>
    <x v="2"/>
    <x v="105"/>
    <n v="4"/>
    <x v="1"/>
    <n v="0"/>
    <n v="738"/>
    <n v="0"/>
    <n v="232"/>
    <n v="13"/>
    <n v="20"/>
    <n v="50"/>
    <n v="1053"/>
    <n v="2"/>
    <n v="3"/>
    <n v="5"/>
    <n v="7"/>
    <n v="15"/>
    <n v="7"/>
    <x v="1"/>
  </r>
  <r>
    <n v="5562"/>
    <n v="1974"/>
    <x v="3"/>
    <x v="0"/>
    <x v="2"/>
    <n v="60093"/>
    <x v="0"/>
    <n v="0"/>
    <n v="1"/>
    <x v="2"/>
    <x v="339"/>
    <n v="92"/>
    <x v="0"/>
    <n v="0"/>
    <n v="502"/>
    <n v="12"/>
    <n v="109"/>
    <n v="16"/>
    <n v="6"/>
    <n v="90"/>
    <n v="735"/>
    <n v="2"/>
    <n v="7"/>
    <n v="2"/>
    <n v="10"/>
    <n v="19"/>
    <n v="6"/>
    <x v="0"/>
  </r>
  <r>
    <n v="3436"/>
    <n v="1969"/>
    <x v="1"/>
    <x v="0"/>
    <x v="2"/>
    <n v="14045"/>
    <x v="3"/>
    <n v="1"/>
    <n v="0"/>
    <x v="2"/>
    <x v="340"/>
    <n v="24"/>
    <x v="1"/>
    <n v="0"/>
    <n v="11"/>
    <n v="0"/>
    <n v="5"/>
    <n v="2"/>
    <n v="1"/>
    <n v="1"/>
    <n v="20"/>
    <n v="1"/>
    <n v="1"/>
    <n v="0"/>
    <n v="3"/>
    <n v="4"/>
    <n v="7"/>
    <x v="0"/>
  </r>
  <r>
    <n v="3921"/>
    <n v="1952"/>
    <x v="4"/>
    <x v="2"/>
    <x v="4"/>
    <n v="28457"/>
    <x v="3"/>
    <n v="0"/>
    <n v="0"/>
    <x v="0"/>
    <x v="122"/>
    <n v="96"/>
    <x v="0"/>
    <n v="0"/>
    <n v="24"/>
    <n v="1"/>
    <n v="108"/>
    <n v="29"/>
    <n v="29"/>
    <n v="14"/>
    <n v="205"/>
    <n v="1"/>
    <n v="4"/>
    <n v="1"/>
    <n v="4"/>
    <n v="9"/>
    <n v="8"/>
    <x v="0"/>
  </r>
  <r>
    <n v="3403"/>
    <n v="1958"/>
    <x v="0"/>
    <x v="1"/>
    <x v="1"/>
    <n v="78952"/>
    <x v="2"/>
    <n v="0"/>
    <n v="1"/>
    <x v="2"/>
    <x v="341"/>
    <n v="11"/>
    <x v="1"/>
    <n v="0"/>
    <n v="1170"/>
    <n v="19"/>
    <n v="594"/>
    <n v="99"/>
    <n v="76"/>
    <n v="134"/>
    <n v="2092"/>
    <n v="2"/>
    <n v="2"/>
    <n v="5"/>
    <n v="12"/>
    <n v="19"/>
    <n v="6"/>
    <x v="1"/>
  </r>
  <r>
    <n v="22"/>
    <n v="1976"/>
    <x v="3"/>
    <x v="0"/>
    <x v="3"/>
    <n v="46310"/>
    <x v="1"/>
    <n v="1"/>
    <n v="0"/>
    <x v="2"/>
    <x v="342"/>
    <n v="99"/>
    <x v="0"/>
    <n v="0"/>
    <n v="185"/>
    <n v="2"/>
    <n v="88"/>
    <n v="15"/>
    <n v="5"/>
    <n v="14"/>
    <n v="309"/>
    <n v="2"/>
    <n v="6"/>
    <n v="1"/>
    <n v="5"/>
    <n v="12"/>
    <n v="8"/>
    <x v="0"/>
  </r>
  <r>
    <n v="10965"/>
    <n v="1955"/>
    <x v="0"/>
    <x v="0"/>
    <x v="1"/>
    <n v="76005"/>
    <x v="2"/>
    <n v="0"/>
    <n v="0"/>
    <x v="0"/>
    <x v="302"/>
    <n v="72"/>
    <x v="0"/>
    <n v="0"/>
    <n v="983"/>
    <n v="20"/>
    <n v="389"/>
    <n v="240"/>
    <n v="50"/>
    <n v="40"/>
    <n v="1722"/>
    <n v="1"/>
    <n v="3"/>
    <n v="5"/>
    <n v="13"/>
    <n v="21"/>
    <n v="6"/>
    <x v="0"/>
  </r>
  <r>
    <n v="9426"/>
    <n v="1964"/>
    <x v="1"/>
    <x v="2"/>
    <x v="0"/>
    <n v="58308"/>
    <x v="0"/>
    <n v="0"/>
    <n v="1"/>
    <x v="2"/>
    <x v="232"/>
    <n v="77"/>
    <x v="0"/>
    <n v="0"/>
    <n v="691"/>
    <n v="0"/>
    <n v="69"/>
    <n v="10"/>
    <n v="0"/>
    <n v="130"/>
    <n v="900"/>
    <n v="4"/>
    <n v="2"/>
    <n v="6"/>
    <n v="3"/>
    <n v="11"/>
    <n v="8"/>
    <x v="0"/>
  </r>
  <r>
    <n v="6605"/>
    <n v="1944"/>
    <x v="4"/>
    <x v="1"/>
    <x v="3"/>
    <n v="55614"/>
    <x v="0"/>
    <n v="0"/>
    <n v="0"/>
    <x v="0"/>
    <x v="343"/>
    <n v="85"/>
    <x v="0"/>
    <n v="0"/>
    <n v="504"/>
    <n v="13"/>
    <n v="131"/>
    <n v="8"/>
    <n v="0"/>
    <n v="26"/>
    <n v="682"/>
    <n v="1"/>
    <n v="9"/>
    <n v="4"/>
    <n v="6"/>
    <n v="19"/>
    <n v="7"/>
    <x v="0"/>
  </r>
  <r>
    <n v="3136"/>
    <n v="1962"/>
    <x v="0"/>
    <x v="2"/>
    <x v="3"/>
    <n v="59432"/>
    <x v="0"/>
    <n v="0"/>
    <n v="1"/>
    <x v="2"/>
    <x v="305"/>
    <n v="88"/>
    <x v="0"/>
    <n v="0"/>
    <n v="317"/>
    <n v="25"/>
    <n v="265"/>
    <n v="25"/>
    <n v="19"/>
    <n v="12"/>
    <n v="663"/>
    <n v="3"/>
    <n v="5"/>
    <n v="3"/>
    <n v="11"/>
    <n v="19"/>
    <n v="5"/>
    <x v="0"/>
  </r>
  <r>
    <n v="8737"/>
    <n v="1978"/>
    <x v="3"/>
    <x v="0"/>
    <x v="3"/>
    <n v="55563"/>
    <x v="0"/>
    <n v="0"/>
    <n v="1"/>
    <x v="2"/>
    <x v="306"/>
    <n v="22"/>
    <x v="1"/>
    <n v="0"/>
    <n v="29"/>
    <n v="1"/>
    <n v="9"/>
    <n v="2"/>
    <n v="0"/>
    <n v="2"/>
    <n v="43"/>
    <n v="1"/>
    <n v="2"/>
    <n v="0"/>
    <n v="3"/>
    <n v="5"/>
    <n v="3"/>
    <x v="0"/>
  </r>
  <r>
    <n v="11088"/>
    <n v="1971"/>
    <x v="1"/>
    <x v="1"/>
    <x v="1"/>
    <n v="78642"/>
    <x v="2"/>
    <n v="0"/>
    <n v="1"/>
    <x v="2"/>
    <x v="108"/>
    <n v="83"/>
    <x v="0"/>
    <n v="0"/>
    <n v="1396"/>
    <n v="0"/>
    <n v="322"/>
    <n v="46"/>
    <n v="35"/>
    <n v="17"/>
    <n v="1816"/>
    <n v="1"/>
    <n v="4"/>
    <n v="9"/>
    <n v="4"/>
    <n v="17"/>
    <n v="6"/>
    <x v="0"/>
  </r>
  <r>
    <n v="716"/>
    <n v="1949"/>
    <x v="4"/>
    <x v="1"/>
    <x v="1"/>
    <n v="67911"/>
    <x v="0"/>
    <n v="0"/>
    <n v="1"/>
    <x v="2"/>
    <x v="27"/>
    <n v="63"/>
    <x v="0"/>
    <n v="0"/>
    <n v="529"/>
    <n v="0"/>
    <n v="356"/>
    <n v="63"/>
    <n v="28"/>
    <n v="0"/>
    <n v="976"/>
    <n v="3"/>
    <n v="6"/>
    <n v="7"/>
    <n v="11"/>
    <n v="24"/>
    <n v="3"/>
    <x v="0"/>
  </r>
  <r>
    <n v="466"/>
    <n v="1944"/>
    <x v="4"/>
    <x v="0"/>
    <x v="2"/>
    <n v="65275"/>
    <x v="0"/>
    <n v="0"/>
    <n v="0"/>
    <x v="0"/>
    <x v="256"/>
    <n v="9"/>
    <x v="1"/>
    <n v="0"/>
    <n v="388"/>
    <n v="14"/>
    <n v="218"/>
    <n v="91"/>
    <n v="14"/>
    <n v="21"/>
    <n v="746"/>
    <n v="1"/>
    <n v="4"/>
    <n v="3"/>
    <n v="13"/>
    <n v="20"/>
    <n v="2"/>
    <x v="1"/>
  </r>
  <r>
    <n v="9135"/>
    <n v="1950"/>
    <x v="4"/>
    <x v="0"/>
    <x v="1"/>
    <n v="27203"/>
    <x v="3"/>
    <n v="1"/>
    <n v="1"/>
    <x v="1"/>
    <x v="344"/>
    <n v="92"/>
    <x v="0"/>
    <n v="0"/>
    <n v="13"/>
    <n v="2"/>
    <n v="21"/>
    <n v="4"/>
    <n v="0"/>
    <n v="24"/>
    <n v="64"/>
    <n v="2"/>
    <n v="1"/>
    <n v="1"/>
    <n v="2"/>
    <n v="4"/>
    <n v="8"/>
    <x v="0"/>
  </r>
  <r>
    <n v="10623"/>
    <n v="1961"/>
    <x v="0"/>
    <x v="2"/>
    <x v="1"/>
    <n v="48330"/>
    <x v="1"/>
    <n v="0"/>
    <n v="1"/>
    <x v="2"/>
    <x v="10"/>
    <n v="2"/>
    <x v="1"/>
    <n v="0"/>
    <n v="28"/>
    <n v="0"/>
    <n v="4"/>
    <n v="0"/>
    <n v="0"/>
    <n v="0"/>
    <n v="32"/>
    <n v="1"/>
    <n v="1"/>
    <n v="0"/>
    <n v="3"/>
    <n v="4"/>
    <n v="5"/>
    <x v="0"/>
  </r>
  <r>
    <n v="8151"/>
    <n v="1990"/>
    <x v="2"/>
    <x v="3"/>
    <x v="2"/>
    <n v="24279"/>
    <x v="3"/>
    <n v="0"/>
    <n v="0"/>
    <x v="0"/>
    <x v="345"/>
    <n v="6"/>
    <x v="1"/>
    <n v="0"/>
    <n v="16"/>
    <n v="36"/>
    <n v="21"/>
    <n v="20"/>
    <n v="62"/>
    <n v="108"/>
    <n v="263"/>
    <n v="1"/>
    <n v="4"/>
    <n v="1"/>
    <n v="3"/>
    <n v="8"/>
    <n v="8"/>
    <x v="0"/>
  </r>
  <r>
    <n v="5140"/>
    <n v="1985"/>
    <x v="2"/>
    <x v="1"/>
    <x v="2"/>
    <n v="64355"/>
    <x v="0"/>
    <n v="1"/>
    <n v="0"/>
    <x v="2"/>
    <x v="346"/>
    <n v="66"/>
    <x v="0"/>
    <n v="0"/>
    <n v="1047"/>
    <n v="0"/>
    <n v="140"/>
    <n v="67"/>
    <n v="38"/>
    <n v="153"/>
    <n v="1445"/>
    <n v="2"/>
    <n v="4"/>
    <n v="3"/>
    <n v="12"/>
    <n v="19"/>
    <n v="8"/>
    <x v="0"/>
  </r>
  <r>
    <n v="4945"/>
    <n v="1953"/>
    <x v="0"/>
    <x v="0"/>
    <x v="4"/>
    <n v="53653"/>
    <x v="0"/>
    <n v="0"/>
    <n v="0"/>
    <x v="0"/>
    <x v="347"/>
    <n v="29"/>
    <x v="1"/>
    <n v="0"/>
    <n v="815"/>
    <n v="10"/>
    <n v="239"/>
    <n v="28"/>
    <n v="10"/>
    <n v="108"/>
    <n v="1210"/>
    <n v="2"/>
    <n v="10"/>
    <n v="4"/>
    <n v="12"/>
    <n v="26"/>
    <n v="6"/>
    <x v="1"/>
  </r>
  <r>
    <n v="10584"/>
    <n v="1976"/>
    <x v="3"/>
    <x v="0"/>
    <x v="2"/>
    <n v="65665"/>
    <x v="0"/>
    <n v="0"/>
    <n v="1"/>
    <x v="2"/>
    <x v="348"/>
    <n v="77"/>
    <x v="0"/>
    <n v="0"/>
    <n v="225"/>
    <n v="162"/>
    <n v="387"/>
    <n v="106"/>
    <n v="36"/>
    <n v="29"/>
    <n v="945"/>
    <n v="1"/>
    <n v="5"/>
    <n v="10"/>
    <n v="8"/>
    <n v="23"/>
    <n v="3"/>
    <x v="0"/>
  </r>
  <r>
    <n v="6071"/>
    <n v="1989"/>
    <x v="2"/>
    <x v="0"/>
    <x v="0"/>
    <n v="81217"/>
    <x v="2"/>
    <n v="0"/>
    <n v="0"/>
    <x v="0"/>
    <x v="349"/>
    <n v="77"/>
    <x v="0"/>
    <n v="0"/>
    <n v="493"/>
    <n v="70"/>
    <n v="324"/>
    <n v="146"/>
    <n v="40"/>
    <n v="84"/>
    <n v="1157"/>
    <n v="1"/>
    <n v="3"/>
    <n v="7"/>
    <n v="11"/>
    <n v="21"/>
    <n v="1"/>
    <x v="0"/>
  </r>
  <r>
    <n v="3386"/>
    <n v="1992"/>
    <x v="2"/>
    <x v="0"/>
    <x v="2"/>
    <n v="34935"/>
    <x v="3"/>
    <n v="0"/>
    <n v="0"/>
    <x v="0"/>
    <x v="310"/>
    <n v="71"/>
    <x v="0"/>
    <n v="0"/>
    <n v="34"/>
    <n v="4"/>
    <n v="66"/>
    <n v="3"/>
    <n v="10"/>
    <n v="20"/>
    <n v="137"/>
    <n v="1"/>
    <n v="2"/>
    <n v="1"/>
    <n v="4"/>
    <n v="7"/>
    <n v="7"/>
    <x v="0"/>
  </r>
  <r>
    <n v="8939"/>
    <n v="1959"/>
    <x v="0"/>
    <x v="0"/>
    <x v="3"/>
    <n v="61250"/>
    <x v="0"/>
    <n v="0"/>
    <n v="1"/>
    <x v="2"/>
    <x v="145"/>
    <n v="49"/>
    <x v="0"/>
    <n v="0"/>
    <n v="382"/>
    <n v="138"/>
    <n v="65"/>
    <n v="60"/>
    <n v="26"/>
    <n v="59"/>
    <n v="730"/>
    <n v="6"/>
    <n v="5"/>
    <n v="2"/>
    <n v="12"/>
    <n v="19"/>
    <n v="5"/>
    <x v="0"/>
  </r>
  <r>
    <n v="9925"/>
    <n v="1981"/>
    <x v="3"/>
    <x v="1"/>
    <x v="1"/>
    <n v="39665"/>
    <x v="1"/>
    <n v="1"/>
    <n v="0"/>
    <x v="2"/>
    <x v="350"/>
    <n v="97"/>
    <x v="0"/>
    <n v="0"/>
    <n v="127"/>
    <n v="1"/>
    <n v="56"/>
    <n v="0"/>
    <n v="1"/>
    <n v="31"/>
    <n v="216"/>
    <n v="3"/>
    <n v="4"/>
    <n v="2"/>
    <n v="3"/>
    <n v="9"/>
    <n v="7"/>
    <x v="0"/>
  </r>
  <r>
    <n v="4320"/>
    <n v="1979"/>
    <x v="3"/>
    <x v="0"/>
    <x v="0"/>
    <n v="60152"/>
    <x v="0"/>
    <n v="0"/>
    <n v="1"/>
    <x v="2"/>
    <x v="15"/>
    <n v="6"/>
    <x v="1"/>
    <n v="0"/>
    <n v="325"/>
    <n v="83"/>
    <n v="300"/>
    <n v="86"/>
    <n v="58"/>
    <n v="91"/>
    <n v="943"/>
    <n v="1"/>
    <n v="6"/>
    <n v="4"/>
    <n v="12"/>
    <n v="22"/>
    <n v="3"/>
    <x v="1"/>
  </r>
  <r>
    <n v="5389"/>
    <n v="1964"/>
    <x v="1"/>
    <x v="0"/>
    <x v="2"/>
    <n v="48920"/>
    <x v="1"/>
    <n v="0"/>
    <n v="2"/>
    <x v="1"/>
    <x v="351"/>
    <n v="93"/>
    <x v="0"/>
    <n v="0"/>
    <n v="238"/>
    <n v="17"/>
    <n v="68"/>
    <n v="8"/>
    <n v="10"/>
    <n v="6"/>
    <n v="347"/>
    <n v="3"/>
    <n v="6"/>
    <n v="2"/>
    <n v="5"/>
    <n v="13"/>
    <n v="7"/>
    <x v="0"/>
  </r>
  <r>
    <n v="6036"/>
    <n v="1959"/>
    <x v="0"/>
    <x v="2"/>
    <x v="1"/>
    <n v="89120"/>
    <x v="2"/>
    <n v="0"/>
    <n v="0"/>
    <x v="0"/>
    <x v="233"/>
    <n v="78"/>
    <x v="0"/>
    <n v="0"/>
    <n v="1168"/>
    <n v="92"/>
    <n v="408"/>
    <n v="72"/>
    <n v="129"/>
    <n v="55"/>
    <n v="1924"/>
    <n v="1"/>
    <n v="5"/>
    <n v="6"/>
    <n v="7"/>
    <n v="18"/>
    <n v="1"/>
    <x v="0"/>
  </r>
  <r>
    <n v="182"/>
    <n v="1946"/>
    <x v="4"/>
    <x v="1"/>
    <x v="1"/>
    <n v="44124"/>
    <x v="1"/>
    <n v="0"/>
    <n v="1"/>
    <x v="2"/>
    <x v="28"/>
    <n v="62"/>
    <x v="0"/>
    <n v="0"/>
    <n v="284"/>
    <n v="0"/>
    <n v="55"/>
    <n v="0"/>
    <n v="6"/>
    <n v="52"/>
    <n v="397"/>
    <n v="4"/>
    <n v="6"/>
    <n v="2"/>
    <n v="5"/>
    <n v="13"/>
    <n v="8"/>
    <x v="0"/>
  </r>
  <r>
    <n v="203"/>
    <n v="1975"/>
    <x v="3"/>
    <x v="2"/>
    <x v="0"/>
    <n v="81169"/>
    <x v="2"/>
    <n v="0"/>
    <n v="0"/>
    <x v="0"/>
    <x v="352"/>
    <n v="47"/>
    <x v="1"/>
    <n v="0"/>
    <n v="1288"/>
    <n v="20"/>
    <n v="613"/>
    <n v="80"/>
    <n v="61"/>
    <n v="27"/>
    <n v="2089"/>
    <n v="1"/>
    <n v="5"/>
    <n v="7"/>
    <n v="9"/>
    <n v="21"/>
    <n v="2"/>
    <x v="1"/>
  </r>
  <r>
    <n v="11025"/>
    <n v="1961"/>
    <x v="0"/>
    <x v="0"/>
    <x v="2"/>
    <n v="36443"/>
    <x v="1"/>
    <n v="1"/>
    <n v="1"/>
    <x v="1"/>
    <x v="211"/>
    <n v="9"/>
    <x v="1"/>
    <n v="0"/>
    <n v="65"/>
    <n v="0"/>
    <n v="46"/>
    <n v="4"/>
    <n v="3"/>
    <n v="20"/>
    <n v="138"/>
    <n v="4"/>
    <n v="3"/>
    <n v="1"/>
    <n v="3"/>
    <n v="7"/>
    <n v="8"/>
    <x v="0"/>
  </r>
  <r>
    <n v="10203"/>
    <n v="1990"/>
    <x v="2"/>
    <x v="0"/>
    <x v="0"/>
    <n v="26095"/>
    <x v="3"/>
    <n v="1"/>
    <n v="0"/>
    <x v="2"/>
    <x v="258"/>
    <n v="77"/>
    <x v="0"/>
    <n v="0"/>
    <n v="11"/>
    <n v="7"/>
    <n v="9"/>
    <n v="3"/>
    <n v="1"/>
    <n v="11"/>
    <n v="42"/>
    <n v="1"/>
    <n v="1"/>
    <n v="0"/>
    <n v="3"/>
    <n v="4"/>
    <n v="7"/>
    <x v="0"/>
  </r>
  <r>
    <n v="4607"/>
    <n v="1959"/>
    <x v="0"/>
    <x v="0"/>
    <x v="1"/>
    <n v="71367"/>
    <x v="2"/>
    <n v="0"/>
    <n v="0"/>
    <x v="0"/>
    <x v="245"/>
    <n v="24"/>
    <x v="1"/>
    <n v="0"/>
    <n v="227"/>
    <n v="23"/>
    <n v="389"/>
    <n v="42"/>
    <n v="21"/>
    <n v="75"/>
    <n v="777"/>
    <n v="1"/>
    <n v="4"/>
    <n v="5"/>
    <n v="7"/>
    <n v="16"/>
    <n v="2"/>
    <x v="1"/>
  </r>
  <r>
    <n v="3711"/>
    <n v="1944"/>
    <x v="4"/>
    <x v="2"/>
    <x v="2"/>
    <n v="80184"/>
    <x v="2"/>
    <n v="0"/>
    <n v="0"/>
    <x v="0"/>
    <x v="137"/>
    <n v="19"/>
    <x v="1"/>
    <n v="0"/>
    <n v="1035"/>
    <n v="134"/>
    <n v="670"/>
    <n v="25"/>
    <n v="38"/>
    <n v="0"/>
    <n v="1902"/>
    <n v="1"/>
    <n v="6"/>
    <n v="3"/>
    <n v="10"/>
    <n v="19"/>
    <n v="3"/>
    <x v="1"/>
  </r>
  <r>
    <n v="3696"/>
    <n v="1965"/>
    <x v="1"/>
    <x v="0"/>
    <x v="3"/>
    <n v="30630"/>
    <x v="3"/>
    <n v="1"/>
    <n v="1"/>
    <x v="1"/>
    <x v="353"/>
    <n v="67"/>
    <x v="0"/>
    <n v="0"/>
    <n v="27"/>
    <n v="1"/>
    <n v="12"/>
    <n v="2"/>
    <n v="0"/>
    <n v="10"/>
    <n v="52"/>
    <n v="2"/>
    <n v="2"/>
    <n v="0"/>
    <n v="3"/>
    <n v="5"/>
    <n v="7"/>
    <x v="0"/>
  </r>
  <r>
    <n v="2532"/>
    <n v="1987"/>
    <x v="2"/>
    <x v="2"/>
    <x v="0"/>
    <n v="73454"/>
    <x v="2"/>
    <n v="0"/>
    <n v="0"/>
    <x v="0"/>
    <x v="137"/>
    <n v="95"/>
    <x v="0"/>
    <n v="0"/>
    <n v="982"/>
    <n v="73"/>
    <n v="351"/>
    <n v="56"/>
    <n v="14"/>
    <n v="175"/>
    <n v="1651"/>
    <n v="1"/>
    <n v="2"/>
    <n v="4"/>
    <n v="6"/>
    <n v="12"/>
    <n v="5"/>
    <x v="0"/>
  </r>
  <r>
    <n v="9214"/>
    <n v="1991"/>
    <x v="2"/>
    <x v="0"/>
    <x v="2"/>
    <n v="42691"/>
    <x v="1"/>
    <n v="0"/>
    <n v="0"/>
    <x v="0"/>
    <x v="354"/>
    <n v="48"/>
    <x v="1"/>
    <n v="0"/>
    <n v="179"/>
    <n v="2"/>
    <n v="64"/>
    <n v="38"/>
    <n v="17"/>
    <n v="58"/>
    <n v="358"/>
    <n v="1"/>
    <n v="5"/>
    <n v="1"/>
    <n v="6"/>
    <n v="12"/>
    <n v="5"/>
    <x v="0"/>
  </r>
  <r>
    <n v="4943"/>
    <n v="1953"/>
    <x v="0"/>
    <x v="0"/>
    <x v="2"/>
    <n v="70503"/>
    <x v="2"/>
    <n v="0"/>
    <n v="0"/>
    <x v="0"/>
    <x v="355"/>
    <n v="73"/>
    <x v="0"/>
    <n v="0"/>
    <n v="1379"/>
    <n v="33"/>
    <n v="216"/>
    <n v="0"/>
    <n v="33"/>
    <n v="66"/>
    <n v="1727"/>
    <n v="1"/>
    <n v="2"/>
    <n v="4"/>
    <n v="9"/>
    <n v="15"/>
    <n v="6"/>
    <x v="0"/>
  </r>
  <r>
    <n v="35"/>
    <n v="1987"/>
    <x v="2"/>
    <x v="0"/>
    <x v="2"/>
    <n v="25545"/>
    <x v="3"/>
    <n v="1"/>
    <n v="0"/>
    <x v="2"/>
    <x v="181"/>
    <n v="35"/>
    <x v="1"/>
    <n v="0"/>
    <n v="32"/>
    <n v="1"/>
    <n v="64"/>
    <n v="16"/>
    <n v="12"/>
    <n v="85"/>
    <n v="210"/>
    <n v="3"/>
    <n v="2"/>
    <n v="2"/>
    <n v="3"/>
    <n v="7"/>
    <n v="6"/>
    <x v="0"/>
  </r>
  <r>
    <n v="2258"/>
    <n v="1986"/>
    <x v="2"/>
    <x v="0"/>
    <x v="2"/>
    <n v="32880"/>
    <x v="3"/>
    <n v="1"/>
    <n v="0"/>
    <x v="2"/>
    <x v="356"/>
    <n v="76"/>
    <x v="0"/>
    <n v="0"/>
    <n v="8"/>
    <n v="4"/>
    <n v="15"/>
    <n v="7"/>
    <n v="6"/>
    <n v="2"/>
    <n v="42"/>
    <n v="1"/>
    <n v="1"/>
    <n v="0"/>
    <n v="3"/>
    <n v="4"/>
    <n v="8"/>
    <x v="0"/>
  </r>
  <r>
    <n v="4322"/>
    <n v="1958"/>
    <x v="0"/>
    <x v="1"/>
    <x v="1"/>
    <n v="77863"/>
    <x v="2"/>
    <n v="0"/>
    <n v="0"/>
    <x v="0"/>
    <x v="343"/>
    <n v="20"/>
    <x v="1"/>
    <n v="0"/>
    <n v="881"/>
    <n v="38"/>
    <n v="319"/>
    <n v="16"/>
    <n v="25"/>
    <n v="12"/>
    <n v="1291"/>
    <n v="1"/>
    <n v="4"/>
    <n v="5"/>
    <n v="10"/>
    <n v="19"/>
    <n v="2"/>
    <x v="1"/>
  </r>
  <r>
    <n v="713"/>
    <n v="1977"/>
    <x v="3"/>
    <x v="2"/>
    <x v="2"/>
    <n v="50353"/>
    <x v="1"/>
    <n v="0"/>
    <n v="0"/>
    <x v="0"/>
    <x v="109"/>
    <n v="72"/>
    <x v="0"/>
    <n v="0"/>
    <n v="141"/>
    <n v="15"/>
    <n v="153"/>
    <n v="67"/>
    <n v="31"/>
    <n v="35"/>
    <n v="442"/>
    <n v="1"/>
    <n v="4"/>
    <n v="4"/>
    <n v="6"/>
    <n v="14"/>
    <n v="3"/>
    <x v="0"/>
  </r>
  <r>
    <n v="4702"/>
    <n v="1964"/>
    <x v="1"/>
    <x v="0"/>
    <x v="0"/>
    <n v="61839"/>
    <x v="0"/>
    <n v="0"/>
    <n v="0"/>
    <x v="0"/>
    <x v="357"/>
    <n v="20"/>
    <x v="1"/>
    <n v="0"/>
    <n v="1000"/>
    <n v="155"/>
    <n v="379"/>
    <n v="224"/>
    <n v="17"/>
    <n v="120"/>
    <n v="1895"/>
    <n v="1"/>
    <n v="4"/>
    <n v="8"/>
    <n v="4"/>
    <n v="16"/>
    <n v="8"/>
    <x v="1"/>
  </r>
  <r>
    <n v="3281"/>
    <n v="1960"/>
    <x v="0"/>
    <x v="1"/>
    <x v="2"/>
    <n v="49154"/>
    <x v="1"/>
    <n v="1"/>
    <n v="1"/>
    <x v="1"/>
    <x v="358"/>
    <n v="69"/>
    <x v="0"/>
    <n v="0"/>
    <n v="206"/>
    <n v="10"/>
    <n v="67"/>
    <n v="30"/>
    <n v="27"/>
    <n v="71"/>
    <n v="411"/>
    <n v="6"/>
    <n v="4"/>
    <n v="1"/>
    <n v="8"/>
    <n v="13"/>
    <n v="6"/>
    <x v="0"/>
  </r>
  <r>
    <n v="702"/>
    <n v="1975"/>
    <x v="3"/>
    <x v="2"/>
    <x v="4"/>
    <n v="47682"/>
    <x v="1"/>
    <n v="0"/>
    <n v="1"/>
    <x v="2"/>
    <x v="359"/>
    <n v="80"/>
    <x v="0"/>
    <n v="0"/>
    <n v="162"/>
    <n v="61"/>
    <n v="83"/>
    <n v="97"/>
    <n v="57"/>
    <n v="61"/>
    <n v="521"/>
    <n v="4"/>
    <n v="4"/>
    <n v="3"/>
    <n v="8"/>
    <n v="15"/>
    <n v="5"/>
    <x v="0"/>
  </r>
  <r>
    <n v="2004"/>
    <n v="1969"/>
    <x v="1"/>
    <x v="0"/>
    <x v="0"/>
    <n v="72679"/>
    <x v="2"/>
    <n v="0"/>
    <n v="1"/>
    <x v="2"/>
    <x v="360"/>
    <n v="65"/>
    <x v="0"/>
    <n v="0"/>
    <n v="619"/>
    <n v="54"/>
    <n v="260"/>
    <n v="127"/>
    <n v="54"/>
    <n v="54"/>
    <n v="1168"/>
    <n v="1"/>
    <n v="4"/>
    <n v="7"/>
    <n v="5"/>
    <n v="16"/>
    <n v="1"/>
    <x v="0"/>
  </r>
  <r>
    <n v="4769"/>
    <n v="1977"/>
    <x v="3"/>
    <x v="2"/>
    <x v="1"/>
    <n v="57954"/>
    <x v="0"/>
    <n v="1"/>
    <n v="1"/>
    <x v="1"/>
    <x v="361"/>
    <n v="52"/>
    <x v="0"/>
    <n v="0"/>
    <n v="456"/>
    <n v="4"/>
    <n v="24"/>
    <n v="0"/>
    <n v="0"/>
    <n v="9"/>
    <n v="493"/>
    <n v="7"/>
    <n v="8"/>
    <n v="2"/>
    <n v="6"/>
    <n v="16"/>
    <n v="7"/>
    <x v="0"/>
  </r>
  <r>
    <n v="4437"/>
    <n v="1962"/>
    <x v="0"/>
    <x v="0"/>
    <x v="2"/>
    <n v="65316"/>
    <x v="0"/>
    <n v="1"/>
    <n v="1"/>
    <x v="1"/>
    <x v="362"/>
    <n v="65"/>
    <x v="0"/>
    <n v="0"/>
    <n v="112"/>
    <n v="6"/>
    <n v="92"/>
    <n v="3"/>
    <n v="9"/>
    <n v="38"/>
    <n v="260"/>
    <n v="2"/>
    <n v="3"/>
    <n v="2"/>
    <n v="5"/>
    <n v="10"/>
    <n v="4"/>
    <x v="0"/>
  </r>
  <r>
    <n v="8724"/>
    <n v="1982"/>
    <x v="3"/>
    <x v="0"/>
    <x v="0"/>
    <n v="28567"/>
    <x v="3"/>
    <n v="1"/>
    <n v="0"/>
    <x v="2"/>
    <x v="51"/>
    <n v="57"/>
    <x v="0"/>
    <n v="0"/>
    <n v="11"/>
    <n v="3"/>
    <n v="22"/>
    <n v="2"/>
    <n v="2"/>
    <n v="6"/>
    <n v="46"/>
    <n v="2"/>
    <n v="2"/>
    <n v="0"/>
    <n v="3"/>
    <n v="5"/>
    <n v="6"/>
    <x v="0"/>
  </r>
  <r>
    <n v="10741"/>
    <n v="1951"/>
    <x v="4"/>
    <x v="2"/>
    <x v="1"/>
    <n v="47352"/>
    <x v="1"/>
    <n v="0"/>
    <n v="1"/>
    <x v="2"/>
    <x v="85"/>
    <n v="70"/>
    <x v="0"/>
    <n v="0"/>
    <n v="172"/>
    <n v="12"/>
    <n v="112"/>
    <n v="8"/>
    <n v="0"/>
    <n v="15"/>
    <n v="319"/>
    <n v="4"/>
    <n v="6"/>
    <n v="1"/>
    <n v="5"/>
    <n v="12"/>
    <n v="7"/>
    <x v="0"/>
  </r>
  <r>
    <n v="1991"/>
    <n v="1967"/>
    <x v="1"/>
    <x v="0"/>
    <x v="1"/>
    <n v="44931"/>
    <x v="1"/>
    <n v="0"/>
    <n v="1"/>
    <x v="2"/>
    <x v="239"/>
    <n v="0"/>
    <x v="1"/>
    <n v="0"/>
    <n v="78"/>
    <n v="0"/>
    <n v="11"/>
    <n v="0"/>
    <n v="0"/>
    <n v="7"/>
    <n v="96"/>
    <n v="1"/>
    <n v="2"/>
    <n v="1"/>
    <n v="3"/>
    <n v="6"/>
    <n v="5"/>
    <x v="0"/>
  </r>
  <r>
    <n v="6931"/>
    <n v="1967"/>
    <x v="1"/>
    <x v="0"/>
    <x v="3"/>
    <n v="76982"/>
    <x v="2"/>
    <n v="0"/>
    <n v="0"/>
    <x v="0"/>
    <x v="363"/>
    <n v="19"/>
    <x v="1"/>
    <n v="0"/>
    <n v="464"/>
    <n v="151"/>
    <n v="292"/>
    <n v="65"/>
    <n v="60"/>
    <n v="30"/>
    <n v="1062"/>
    <n v="1"/>
    <n v="8"/>
    <n v="3"/>
    <n v="4"/>
    <n v="15"/>
    <n v="4"/>
    <x v="1"/>
  </r>
  <r>
    <n v="11096"/>
    <n v="1952"/>
    <x v="4"/>
    <x v="2"/>
    <x v="1"/>
    <n v="57247"/>
    <x v="0"/>
    <n v="0"/>
    <n v="1"/>
    <x v="2"/>
    <x v="364"/>
    <n v="50"/>
    <x v="0"/>
    <n v="0"/>
    <n v="99"/>
    <n v="4"/>
    <n v="32"/>
    <n v="37"/>
    <n v="54"/>
    <n v="6"/>
    <n v="232"/>
    <n v="2"/>
    <n v="2"/>
    <n v="1"/>
    <n v="7"/>
    <n v="10"/>
    <n v="2"/>
    <x v="0"/>
  </r>
  <r>
    <n v="304"/>
    <n v="1981"/>
    <x v="3"/>
    <x v="2"/>
    <x v="0"/>
    <n v="22944"/>
    <x v="3"/>
    <n v="1"/>
    <n v="0"/>
    <x v="2"/>
    <x v="365"/>
    <n v="67"/>
    <x v="0"/>
    <n v="0"/>
    <n v="19"/>
    <n v="3"/>
    <n v="19"/>
    <n v="4"/>
    <n v="5"/>
    <n v="26"/>
    <n v="76"/>
    <n v="3"/>
    <n v="3"/>
    <n v="0"/>
    <n v="3"/>
    <n v="6"/>
    <n v="7"/>
    <x v="0"/>
  </r>
  <r>
    <n v="3665"/>
    <n v="1977"/>
    <x v="3"/>
    <x v="2"/>
    <x v="1"/>
    <n v="25315"/>
    <x v="3"/>
    <n v="1"/>
    <n v="0"/>
    <x v="2"/>
    <x v="251"/>
    <n v="46"/>
    <x v="1"/>
    <n v="0"/>
    <n v="1"/>
    <n v="9"/>
    <n v="8"/>
    <n v="11"/>
    <n v="3"/>
    <n v="22"/>
    <n v="54"/>
    <n v="3"/>
    <n v="3"/>
    <n v="0"/>
    <n v="3"/>
    <n v="6"/>
    <n v="8"/>
    <x v="0"/>
  </r>
  <r>
    <n v="10591"/>
    <n v="1969"/>
    <x v="1"/>
    <x v="0"/>
    <x v="4"/>
    <n v="43638"/>
    <x v="1"/>
    <n v="0"/>
    <n v="1"/>
    <x v="2"/>
    <x v="344"/>
    <n v="37"/>
    <x v="1"/>
    <n v="0"/>
    <n v="63"/>
    <n v="10"/>
    <n v="83"/>
    <n v="7"/>
    <n v="19"/>
    <n v="19"/>
    <n v="201"/>
    <n v="2"/>
    <n v="4"/>
    <n v="1"/>
    <n v="4"/>
    <n v="9"/>
    <n v="7"/>
    <x v="0"/>
  </r>
  <r>
    <n v="5036"/>
    <n v="1984"/>
    <x v="2"/>
    <x v="1"/>
    <x v="0"/>
    <n v="42710"/>
    <x v="1"/>
    <n v="1"/>
    <n v="0"/>
    <x v="2"/>
    <x v="366"/>
    <n v="38"/>
    <x v="1"/>
    <n v="0"/>
    <n v="252"/>
    <n v="3"/>
    <n v="42"/>
    <n v="4"/>
    <n v="3"/>
    <n v="102"/>
    <n v="406"/>
    <n v="2"/>
    <n v="4"/>
    <n v="5"/>
    <n v="3"/>
    <n v="12"/>
    <n v="6"/>
    <x v="0"/>
  </r>
  <r>
    <n v="5547"/>
    <n v="1982"/>
    <x v="3"/>
    <x v="1"/>
    <x v="2"/>
    <n v="84169"/>
    <x v="2"/>
    <n v="0"/>
    <n v="0"/>
    <x v="0"/>
    <x v="367"/>
    <n v="9"/>
    <x v="1"/>
    <n v="0"/>
    <n v="1478"/>
    <n v="19"/>
    <n v="403"/>
    <n v="0"/>
    <n v="19"/>
    <n v="0"/>
    <n v="1919"/>
    <n v="1"/>
    <n v="7"/>
    <n v="6"/>
    <n v="6"/>
    <n v="19"/>
    <n v="3"/>
    <x v="1"/>
  </r>
  <r>
    <n v="7822"/>
    <n v="1976"/>
    <x v="3"/>
    <x v="0"/>
    <x v="1"/>
    <n v="54058"/>
    <x v="0"/>
    <n v="0"/>
    <n v="1"/>
    <x v="2"/>
    <x v="207"/>
    <n v="56"/>
    <x v="0"/>
    <n v="0"/>
    <n v="198"/>
    <n v="18"/>
    <n v="252"/>
    <n v="32"/>
    <n v="108"/>
    <n v="54"/>
    <n v="662"/>
    <n v="2"/>
    <n v="4"/>
    <n v="6"/>
    <n v="8"/>
    <n v="18"/>
    <n v="3"/>
    <x v="0"/>
  </r>
  <r>
    <n v="8541"/>
    <n v="1990"/>
    <x v="2"/>
    <x v="2"/>
    <x v="2"/>
    <n v="24683"/>
    <x v="3"/>
    <n v="1"/>
    <n v="0"/>
    <x v="2"/>
    <x v="1"/>
    <n v="98"/>
    <x v="0"/>
    <n v="0"/>
    <n v="8"/>
    <n v="4"/>
    <n v="10"/>
    <n v="6"/>
    <n v="7"/>
    <n v="6"/>
    <n v="41"/>
    <n v="2"/>
    <n v="2"/>
    <n v="0"/>
    <n v="4"/>
    <n v="6"/>
    <n v="5"/>
    <x v="0"/>
  </r>
  <r>
    <n v="10955"/>
    <n v="1964"/>
    <x v="1"/>
    <x v="0"/>
    <x v="4"/>
    <n v="85620"/>
    <x v="2"/>
    <n v="0"/>
    <n v="0"/>
    <x v="0"/>
    <x v="368"/>
    <n v="68"/>
    <x v="0"/>
    <n v="0"/>
    <n v="416"/>
    <n v="46"/>
    <n v="925"/>
    <n v="60"/>
    <n v="107"/>
    <n v="46"/>
    <n v="1600"/>
    <n v="1"/>
    <n v="3"/>
    <n v="6"/>
    <n v="4"/>
    <n v="13"/>
    <n v="1"/>
    <x v="0"/>
  </r>
  <r>
    <n v="4368"/>
    <n v="1980"/>
    <x v="3"/>
    <x v="0"/>
    <x v="2"/>
    <n v="47850"/>
    <x v="1"/>
    <n v="1"/>
    <n v="0"/>
    <x v="2"/>
    <x v="369"/>
    <n v="72"/>
    <x v="0"/>
    <n v="0"/>
    <n v="42"/>
    <n v="7"/>
    <n v="43"/>
    <n v="20"/>
    <n v="12"/>
    <n v="10"/>
    <n v="134"/>
    <n v="1"/>
    <n v="3"/>
    <n v="0"/>
    <n v="4"/>
    <n v="7"/>
    <n v="6"/>
    <x v="0"/>
  </r>
  <r>
    <n v="9671"/>
    <n v="1968"/>
    <x v="1"/>
    <x v="0"/>
    <x v="2"/>
    <n v="19514"/>
    <x v="3"/>
    <n v="1"/>
    <n v="1"/>
    <x v="1"/>
    <x v="340"/>
    <n v="47"/>
    <x v="1"/>
    <n v="0"/>
    <n v="14"/>
    <n v="3"/>
    <n v="21"/>
    <n v="2"/>
    <n v="1"/>
    <n v="28"/>
    <n v="69"/>
    <n v="4"/>
    <n v="3"/>
    <n v="1"/>
    <n v="2"/>
    <n v="6"/>
    <n v="8"/>
    <x v="0"/>
  </r>
  <r>
    <n v="2256"/>
    <n v="1973"/>
    <x v="3"/>
    <x v="2"/>
    <x v="2"/>
    <n v="27159"/>
    <x v="3"/>
    <n v="1"/>
    <n v="1"/>
    <x v="1"/>
    <x v="370"/>
    <n v="33"/>
    <x v="1"/>
    <n v="0"/>
    <n v="17"/>
    <n v="0"/>
    <n v="3"/>
    <n v="0"/>
    <n v="0"/>
    <n v="1"/>
    <n v="21"/>
    <n v="2"/>
    <n v="1"/>
    <n v="0"/>
    <n v="3"/>
    <n v="4"/>
    <n v="6"/>
    <x v="0"/>
  </r>
  <r>
    <n v="4279"/>
    <n v="1963"/>
    <x v="1"/>
    <x v="2"/>
    <x v="0"/>
    <n v="39548"/>
    <x v="1"/>
    <n v="1"/>
    <n v="1"/>
    <x v="1"/>
    <x v="161"/>
    <n v="87"/>
    <x v="0"/>
    <n v="0"/>
    <n v="15"/>
    <n v="4"/>
    <n v="10"/>
    <n v="3"/>
    <n v="4"/>
    <n v="18"/>
    <n v="54"/>
    <n v="2"/>
    <n v="1"/>
    <n v="1"/>
    <n v="3"/>
    <n v="5"/>
    <n v="3"/>
    <x v="0"/>
  </r>
  <r>
    <n v="5371"/>
    <n v="1989"/>
    <x v="2"/>
    <x v="0"/>
    <x v="0"/>
    <n v="21474"/>
    <x v="3"/>
    <n v="1"/>
    <n v="0"/>
    <x v="2"/>
    <x v="371"/>
    <n v="0"/>
    <x v="1"/>
    <n v="0"/>
    <n v="6"/>
    <n v="16"/>
    <n v="24"/>
    <n v="11"/>
    <n v="0"/>
    <n v="34"/>
    <n v="91"/>
    <n v="2"/>
    <n v="3"/>
    <n v="1"/>
    <n v="2"/>
    <n v="6"/>
    <n v="7"/>
    <x v="0"/>
  </r>
  <r>
    <n v="9240"/>
    <n v="1971"/>
    <x v="1"/>
    <x v="1"/>
    <x v="0"/>
    <n v="60504"/>
    <x v="0"/>
    <n v="0"/>
    <n v="1"/>
    <x v="2"/>
    <x v="372"/>
    <n v="73"/>
    <x v="0"/>
    <n v="0"/>
    <n v="458"/>
    <n v="0"/>
    <n v="24"/>
    <n v="6"/>
    <n v="4"/>
    <n v="34"/>
    <n v="526"/>
    <n v="2"/>
    <n v="6"/>
    <n v="2"/>
    <n v="8"/>
    <n v="16"/>
    <n v="6"/>
    <x v="0"/>
  </r>
  <r>
    <n v="9460"/>
    <n v="1963"/>
    <x v="1"/>
    <x v="0"/>
    <x v="2"/>
    <n v="22419"/>
    <x v="3"/>
    <n v="0"/>
    <n v="0"/>
    <x v="0"/>
    <x v="289"/>
    <n v="74"/>
    <x v="0"/>
    <n v="0"/>
    <n v="30"/>
    <n v="3"/>
    <n v="47"/>
    <n v="19"/>
    <n v="21"/>
    <n v="42"/>
    <n v="162"/>
    <n v="1"/>
    <n v="3"/>
    <n v="2"/>
    <n v="2"/>
    <n v="7"/>
    <n v="8"/>
    <x v="0"/>
  </r>
  <r>
    <n v="9504"/>
    <n v="1949"/>
    <x v="4"/>
    <x v="2"/>
    <x v="2"/>
    <n v="81698"/>
    <x v="2"/>
    <n v="0"/>
    <n v="0"/>
    <x v="0"/>
    <x v="373"/>
    <n v="4"/>
    <x v="1"/>
    <n v="0"/>
    <n v="179"/>
    <n v="28"/>
    <n v="520"/>
    <n v="111"/>
    <n v="123"/>
    <n v="47"/>
    <n v="1008"/>
    <n v="1"/>
    <n v="3"/>
    <n v="8"/>
    <n v="13"/>
    <n v="24"/>
    <n v="1"/>
    <x v="1"/>
  </r>
  <r>
    <n v="8692"/>
    <n v="1952"/>
    <x v="4"/>
    <x v="0"/>
    <x v="1"/>
    <n v="43462"/>
    <x v="1"/>
    <n v="1"/>
    <n v="1"/>
    <x v="1"/>
    <x v="144"/>
    <n v="50"/>
    <x v="0"/>
    <n v="0"/>
    <n v="90"/>
    <n v="17"/>
    <n v="97"/>
    <n v="15"/>
    <n v="6"/>
    <n v="15"/>
    <n v="240"/>
    <n v="6"/>
    <n v="4"/>
    <n v="1"/>
    <n v="5"/>
    <n v="10"/>
    <n v="8"/>
    <x v="0"/>
  </r>
  <r>
    <n v="448"/>
    <n v="1978"/>
    <x v="3"/>
    <x v="1"/>
    <x v="0"/>
    <n v="54880"/>
    <x v="0"/>
    <n v="1"/>
    <n v="0"/>
    <x v="2"/>
    <x v="374"/>
    <n v="57"/>
    <x v="0"/>
    <n v="0"/>
    <n v="308"/>
    <n v="85"/>
    <n v="137"/>
    <n v="102"/>
    <n v="45"/>
    <n v="118"/>
    <n v="795"/>
    <n v="2"/>
    <n v="6"/>
    <n v="2"/>
    <n v="11"/>
    <n v="19"/>
    <n v="5"/>
    <x v="0"/>
  </r>
  <r>
    <n v="8314"/>
    <n v="1982"/>
    <x v="3"/>
    <x v="0"/>
    <x v="2"/>
    <n v="79908"/>
    <x v="2"/>
    <n v="0"/>
    <n v="0"/>
    <x v="0"/>
    <x v="66"/>
    <n v="30"/>
    <x v="1"/>
    <n v="0"/>
    <n v="557"/>
    <n v="129"/>
    <n v="761"/>
    <n v="29"/>
    <n v="185"/>
    <n v="111"/>
    <n v="1772"/>
    <n v="1"/>
    <n v="5"/>
    <n v="6"/>
    <n v="7"/>
    <n v="18"/>
    <n v="2"/>
    <x v="1"/>
  </r>
  <r>
    <n v="8420"/>
    <n v="1970"/>
    <x v="1"/>
    <x v="2"/>
    <x v="2"/>
    <n v="15315"/>
    <x v="3"/>
    <n v="0"/>
    <n v="0"/>
    <x v="0"/>
    <x v="375"/>
    <n v="27"/>
    <x v="1"/>
    <n v="0"/>
    <n v="7"/>
    <n v="4"/>
    <n v="13"/>
    <n v="15"/>
    <n v="8"/>
    <n v="17"/>
    <n v="64"/>
    <n v="2"/>
    <n v="2"/>
    <n v="0"/>
    <n v="4"/>
    <n v="6"/>
    <n v="5"/>
    <x v="0"/>
  </r>
  <r>
    <n v="3174"/>
    <n v="1959"/>
    <x v="0"/>
    <x v="0"/>
    <x v="1"/>
    <n v="87771"/>
    <x v="2"/>
    <n v="0"/>
    <n v="1"/>
    <x v="2"/>
    <x v="208"/>
    <n v="61"/>
    <x v="0"/>
    <n v="0"/>
    <n v="1492"/>
    <n v="38"/>
    <n v="287"/>
    <n v="50"/>
    <n v="57"/>
    <n v="33"/>
    <n v="1957"/>
    <n v="1"/>
    <n v="5"/>
    <n v="10"/>
    <n v="4"/>
    <n v="19"/>
    <n v="6"/>
    <x v="0"/>
  </r>
  <r>
    <n v="7685"/>
    <n v="1978"/>
    <x v="3"/>
    <x v="0"/>
    <x v="2"/>
    <n v="33039"/>
    <x v="3"/>
    <n v="1"/>
    <n v="0"/>
    <x v="2"/>
    <x v="5"/>
    <n v="4"/>
    <x v="1"/>
    <n v="0"/>
    <n v="30"/>
    <n v="8"/>
    <n v="12"/>
    <n v="8"/>
    <n v="8"/>
    <n v="12"/>
    <n v="78"/>
    <n v="1"/>
    <n v="2"/>
    <n v="0"/>
    <n v="4"/>
    <n v="6"/>
    <n v="5"/>
    <x v="0"/>
  </r>
  <r>
    <n v="3179"/>
    <n v="1980"/>
    <x v="3"/>
    <x v="0"/>
    <x v="0"/>
    <n v="81741"/>
    <x v="2"/>
    <n v="0"/>
    <n v="0"/>
    <x v="0"/>
    <x v="376"/>
    <n v="75"/>
    <x v="0"/>
    <n v="0"/>
    <n v="249"/>
    <n v="153"/>
    <n v="940"/>
    <n v="58"/>
    <n v="134"/>
    <n v="38"/>
    <n v="1572"/>
    <n v="0"/>
    <n v="6"/>
    <n v="6"/>
    <n v="7"/>
    <n v="19"/>
    <n v="2"/>
    <x v="0"/>
  </r>
  <r>
    <n v="9780"/>
    <n v="1971"/>
    <x v="1"/>
    <x v="2"/>
    <x v="1"/>
    <n v="71499"/>
    <x v="2"/>
    <n v="0"/>
    <n v="1"/>
    <x v="2"/>
    <x v="377"/>
    <n v="12"/>
    <x v="1"/>
    <n v="0"/>
    <n v="465"/>
    <n v="25"/>
    <n v="132"/>
    <n v="136"/>
    <n v="0"/>
    <n v="37"/>
    <n v="795"/>
    <n v="2"/>
    <n v="8"/>
    <n v="3"/>
    <n v="13"/>
    <n v="24"/>
    <n v="4"/>
    <x v="1"/>
  </r>
  <r>
    <n v="10681"/>
    <n v="1970"/>
    <x v="1"/>
    <x v="2"/>
    <x v="2"/>
    <n v="62466"/>
    <x v="0"/>
    <n v="0"/>
    <n v="1"/>
    <x v="2"/>
    <x v="228"/>
    <n v="13"/>
    <x v="1"/>
    <n v="0"/>
    <n v="129"/>
    <n v="129"/>
    <n v="259"/>
    <n v="168"/>
    <n v="121"/>
    <n v="83"/>
    <n v="889"/>
    <n v="5"/>
    <n v="6"/>
    <n v="3"/>
    <n v="12"/>
    <n v="21"/>
    <n v="4"/>
    <x v="1"/>
  </r>
  <r>
    <n v="10232"/>
    <n v="1963"/>
    <x v="1"/>
    <x v="1"/>
    <x v="3"/>
    <n v="48799"/>
    <x v="1"/>
    <n v="0"/>
    <n v="1"/>
    <x v="2"/>
    <x v="37"/>
    <n v="9"/>
    <x v="1"/>
    <n v="0"/>
    <n v="174"/>
    <n v="18"/>
    <n v="81"/>
    <n v="28"/>
    <n v="6"/>
    <n v="24"/>
    <n v="331"/>
    <n v="3"/>
    <n v="3"/>
    <n v="2"/>
    <n v="7"/>
    <n v="12"/>
    <n v="3"/>
    <x v="0"/>
  </r>
  <r>
    <n v="4184"/>
    <n v="1950"/>
    <x v="4"/>
    <x v="1"/>
    <x v="1"/>
    <n v="52157"/>
    <x v="0"/>
    <n v="0"/>
    <n v="1"/>
    <x v="2"/>
    <x v="46"/>
    <n v="48"/>
    <x v="1"/>
    <n v="0"/>
    <n v="189"/>
    <n v="2"/>
    <n v="29"/>
    <n v="3"/>
    <n v="2"/>
    <n v="40"/>
    <n v="265"/>
    <n v="2"/>
    <n v="3"/>
    <n v="2"/>
    <n v="5"/>
    <n v="10"/>
    <n v="4"/>
    <x v="0"/>
  </r>
  <r>
    <n v="9120"/>
    <n v="1962"/>
    <x v="0"/>
    <x v="0"/>
    <x v="0"/>
    <n v="66565"/>
    <x v="0"/>
    <n v="0"/>
    <n v="1"/>
    <x v="2"/>
    <x v="151"/>
    <n v="80"/>
    <x v="0"/>
    <n v="0"/>
    <n v="747"/>
    <n v="10"/>
    <n v="161"/>
    <n v="65"/>
    <n v="40"/>
    <n v="42"/>
    <n v="1065"/>
    <n v="4"/>
    <n v="4"/>
    <n v="2"/>
    <n v="9"/>
    <n v="15"/>
    <n v="8"/>
    <x v="0"/>
  </r>
  <r>
    <n v="891"/>
    <n v="1951"/>
    <x v="4"/>
    <x v="2"/>
    <x v="1"/>
    <n v="29298"/>
    <x v="3"/>
    <n v="1"/>
    <n v="1"/>
    <x v="1"/>
    <x v="312"/>
    <n v="60"/>
    <x v="0"/>
    <n v="0"/>
    <n v="6"/>
    <n v="0"/>
    <n v="2"/>
    <n v="2"/>
    <n v="0"/>
    <n v="1"/>
    <n v="11"/>
    <n v="1"/>
    <n v="1"/>
    <n v="0"/>
    <n v="2"/>
    <n v="3"/>
    <n v="5"/>
    <x v="0"/>
  </r>
  <r>
    <n v="10381"/>
    <n v="1979"/>
    <x v="3"/>
    <x v="0"/>
    <x v="0"/>
    <n v="47691"/>
    <x v="1"/>
    <n v="0"/>
    <n v="1"/>
    <x v="2"/>
    <x v="249"/>
    <n v="43"/>
    <x v="1"/>
    <n v="0"/>
    <n v="14"/>
    <n v="0"/>
    <n v="3"/>
    <n v="0"/>
    <n v="0"/>
    <n v="4"/>
    <n v="21"/>
    <n v="1"/>
    <n v="1"/>
    <n v="0"/>
    <n v="2"/>
    <n v="3"/>
    <n v="6"/>
    <x v="0"/>
  </r>
  <r>
    <n v="3525"/>
    <n v="1970"/>
    <x v="1"/>
    <x v="0"/>
    <x v="1"/>
    <n v="38200"/>
    <x v="1"/>
    <n v="1"/>
    <n v="1"/>
    <x v="1"/>
    <x v="96"/>
    <n v="19"/>
    <x v="1"/>
    <n v="0"/>
    <n v="12"/>
    <n v="0"/>
    <n v="4"/>
    <n v="0"/>
    <n v="0"/>
    <n v="1"/>
    <n v="17"/>
    <n v="1"/>
    <n v="1"/>
    <n v="0"/>
    <n v="2"/>
    <n v="3"/>
    <n v="7"/>
    <x v="0"/>
  </r>
  <r>
    <n v="6818"/>
    <n v="1974"/>
    <x v="3"/>
    <x v="0"/>
    <x v="2"/>
    <n v="44989"/>
    <x v="1"/>
    <n v="0"/>
    <n v="1"/>
    <x v="2"/>
    <x v="144"/>
    <n v="26"/>
    <x v="1"/>
    <n v="0"/>
    <n v="98"/>
    <n v="0"/>
    <n v="106"/>
    <n v="49"/>
    <n v="10"/>
    <n v="106"/>
    <n v="369"/>
    <n v="5"/>
    <n v="5"/>
    <n v="1"/>
    <n v="5"/>
    <n v="11"/>
    <n v="6"/>
    <x v="0"/>
  </r>
  <r>
    <n v="3526"/>
    <n v="1968"/>
    <x v="1"/>
    <x v="1"/>
    <x v="2"/>
    <n v="38443"/>
    <x v="1"/>
    <n v="1"/>
    <n v="1"/>
    <x v="1"/>
    <x v="353"/>
    <n v="58"/>
    <x v="0"/>
    <n v="0"/>
    <n v="32"/>
    <n v="0"/>
    <n v="5"/>
    <n v="0"/>
    <n v="0"/>
    <n v="1"/>
    <n v="38"/>
    <n v="2"/>
    <n v="1"/>
    <n v="0"/>
    <n v="3"/>
    <n v="4"/>
    <n v="7"/>
    <x v="0"/>
  </r>
  <r>
    <n v="8181"/>
    <n v="1978"/>
    <x v="3"/>
    <x v="2"/>
    <x v="0"/>
    <n v="38593"/>
    <x v="1"/>
    <n v="1"/>
    <n v="0"/>
    <x v="2"/>
    <x v="378"/>
    <n v="42"/>
    <x v="1"/>
    <n v="0"/>
    <n v="51"/>
    <n v="12"/>
    <n v="49"/>
    <n v="17"/>
    <n v="24"/>
    <n v="24"/>
    <n v="177"/>
    <n v="3"/>
    <n v="4"/>
    <n v="1"/>
    <n v="3"/>
    <n v="8"/>
    <n v="8"/>
    <x v="0"/>
  </r>
  <r>
    <n v="1029"/>
    <n v="1970"/>
    <x v="1"/>
    <x v="1"/>
    <x v="1"/>
    <n v="64413"/>
    <x v="0"/>
    <n v="0"/>
    <n v="1"/>
    <x v="2"/>
    <x v="379"/>
    <n v="27"/>
    <x v="1"/>
    <n v="0"/>
    <n v="200"/>
    <n v="5"/>
    <n v="44"/>
    <n v="0"/>
    <n v="10"/>
    <n v="20"/>
    <n v="279"/>
    <n v="1"/>
    <n v="5"/>
    <n v="1"/>
    <n v="5"/>
    <n v="11"/>
    <n v="5"/>
    <x v="0"/>
  </r>
  <r>
    <n v="7369"/>
    <n v="1981"/>
    <x v="3"/>
    <x v="2"/>
    <x v="2"/>
    <n v="36959"/>
    <x v="1"/>
    <n v="1"/>
    <n v="0"/>
    <x v="2"/>
    <x v="38"/>
    <n v="56"/>
    <x v="0"/>
    <n v="0"/>
    <n v="25"/>
    <n v="6"/>
    <n v="25"/>
    <n v="6"/>
    <n v="0"/>
    <n v="0"/>
    <n v="62"/>
    <n v="2"/>
    <n v="2"/>
    <n v="0"/>
    <n v="3"/>
    <n v="5"/>
    <n v="8"/>
    <x v="0"/>
  </r>
  <r>
    <n v="2574"/>
    <n v="1977"/>
    <x v="3"/>
    <x v="1"/>
    <x v="2"/>
    <n v="61996"/>
    <x v="0"/>
    <n v="0"/>
    <n v="1"/>
    <x v="2"/>
    <x v="380"/>
    <n v="27"/>
    <x v="1"/>
    <n v="0"/>
    <n v="1050"/>
    <n v="12"/>
    <n v="144"/>
    <n v="0"/>
    <n v="0"/>
    <n v="24"/>
    <n v="1230"/>
    <n v="3"/>
    <n v="6"/>
    <n v="4"/>
    <n v="8"/>
    <n v="18"/>
    <n v="5"/>
    <x v="1"/>
  </r>
  <r>
    <n v="8159"/>
    <n v="1968"/>
    <x v="1"/>
    <x v="0"/>
    <x v="2"/>
    <n v="51287"/>
    <x v="1"/>
    <n v="1"/>
    <n v="1"/>
    <x v="1"/>
    <x v="175"/>
    <n v="10"/>
    <x v="1"/>
    <n v="0"/>
    <n v="117"/>
    <n v="0"/>
    <n v="22"/>
    <n v="13"/>
    <n v="0"/>
    <n v="30"/>
    <n v="182"/>
    <n v="3"/>
    <n v="4"/>
    <n v="1"/>
    <n v="3"/>
    <n v="8"/>
    <n v="7"/>
    <x v="0"/>
  </r>
  <r>
    <n v="1160"/>
    <n v="1970"/>
    <x v="1"/>
    <x v="0"/>
    <x v="2"/>
    <n v="13260"/>
    <x v="3"/>
    <n v="1"/>
    <n v="1"/>
    <x v="1"/>
    <x v="245"/>
    <n v="48"/>
    <x v="1"/>
    <n v="0"/>
    <n v="9"/>
    <n v="4"/>
    <n v="17"/>
    <n v="10"/>
    <n v="2"/>
    <n v="7"/>
    <n v="49"/>
    <n v="4"/>
    <n v="3"/>
    <n v="0"/>
    <n v="3"/>
    <n v="6"/>
    <n v="8"/>
    <x v="0"/>
  </r>
  <r>
    <n v="10242"/>
    <n v="1966"/>
    <x v="1"/>
    <x v="1"/>
    <x v="1"/>
    <n v="47472"/>
    <x v="1"/>
    <n v="1"/>
    <n v="1"/>
    <x v="1"/>
    <x v="201"/>
    <n v="39"/>
    <x v="1"/>
    <n v="0"/>
    <n v="56"/>
    <n v="0"/>
    <n v="11"/>
    <n v="0"/>
    <n v="0"/>
    <n v="8"/>
    <n v="75"/>
    <n v="2"/>
    <n v="2"/>
    <n v="0"/>
    <n v="4"/>
    <n v="6"/>
    <n v="5"/>
    <x v="0"/>
  </r>
  <r>
    <n v="5253"/>
    <n v="1956"/>
    <x v="0"/>
    <x v="2"/>
    <x v="1"/>
    <n v="54603"/>
    <x v="0"/>
    <n v="1"/>
    <n v="1"/>
    <x v="1"/>
    <x v="381"/>
    <n v="85"/>
    <x v="0"/>
    <n v="0"/>
    <n v="145"/>
    <n v="13"/>
    <n v="46"/>
    <n v="17"/>
    <n v="2"/>
    <n v="4"/>
    <n v="227"/>
    <n v="6"/>
    <n v="4"/>
    <n v="2"/>
    <n v="4"/>
    <n v="10"/>
    <n v="7"/>
    <x v="0"/>
  </r>
  <r>
    <n v="5966"/>
    <n v="1974"/>
    <x v="3"/>
    <x v="1"/>
    <x v="2"/>
    <n v="45207"/>
    <x v="1"/>
    <n v="1"/>
    <n v="1"/>
    <x v="1"/>
    <x v="98"/>
    <n v="64"/>
    <x v="0"/>
    <n v="0"/>
    <n v="203"/>
    <n v="0"/>
    <n v="10"/>
    <n v="0"/>
    <n v="0"/>
    <n v="2"/>
    <n v="215"/>
    <n v="5"/>
    <n v="3"/>
    <n v="1"/>
    <n v="6"/>
    <n v="10"/>
    <n v="6"/>
    <x v="0"/>
  </r>
  <r>
    <n v="5081"/>
    <n v="1967"/>
    <x v="1"/>
    <x v="2"/>
    <x v="1"/>
    <n v="47821"/>
    <x v="1"/>
    <n v="1"/>
    <n v="1"/>
    <x v="1"/>
    <x v="351"/>
    <n v="54"/>
    <x v="0"/>
    <n v="0"/>
    <n v="9"/>
    <n v="0"/>
    <n v="16"/>
    <n v="6"/>
    <n v="6"/>
    <n v="10"/>
    <n v="47"/>
    <n v="1"/>
    <n v="1"/>
    <n v="0"/>
    <n v="3"/>
    <n v="4"/>
    <n v="8"/>
    <x v="0"/>
  </r>
  <r>
    <n v="5123"/>
    <n v="1951"/>
    <x v="4"/>
    <x v="2"/>
    <x v="2"/>
    <n v="27450"/>
    <x v="3"/>
    <n v="0"/>
    <n v="0"/>
    <x v="0"/>
    <x v="382"/>
    <n v="57"/>
    <x v="0"/>
    <n v="0"/>
    <n v="37"/>
    <n v="12"/>
    <n v="23"/>
    <n v="8"/>
    <n v="11"/>
    <n v="52"/>
    <n v="143"/>
    <n v="1"/>
    <n v="2"/>
    <n v="1"/>
    <n v="3"/>
    <n v="6"/>
    <n v="7"/>
    <x v="0"/>
  </r>
  <r>
    <n v="5756"/>
    <n v="1983"/>
    <x v="2"/>
    <x v="0"/>
    <x v="1"/>
    <n v="39453"/>
    <x v="1"/>
    <n v="1"/>
    <n v="0"/>
    <x v="2"/>
    <x v="383"/>
    <n v="64"/>
    <x v="0"/>
    <n v="0"/>
    <n v="46"/>
    <n v="0"/>
    <n v="7"/>
    <n v="0"/>
    <n v="0"/>
    <n v="2"/>
    <n v="55"/>
    <n v="2"/>
    <n v="2"/>
    <n v="0"/>
    <n v="3"/>
    <n v="5"/>
    <n v="6"/>
    <x v="0"/>
  </r>
  <r>
    <n v="8036"/>
    <n v="1971"/>
    <x v="1"/>
    <x v="2"/>
    <x v="1"/>
    <n v="26850"/>
    <x v="3"/>
    <n v="1"/>
    <n v="1"/>
    <x v="1"/>
    <x v="384"/>
    <n v="10"/>
    <x v="1"/>
    <n v="0"/>
    <n v="31"/>
    <n v="1"/>
    <n v="13"/>
    <n v="7"/>
    <n v="2"/>
    <n v="9"/>
    <n v="63"/>
    <n v="4"/>
    <n v="2"/>
    <n v="1"/>
    <n v="4"/>
    <n v="7"/>
    <n v="4"/>
    <x v="0"/>
  </r>
  <r>
    <n v="9058"/>
    <n v="1955"/>
    <x v="0"/>
    <x v="0"/>
    <x v="4"/>
    <n v="79800"/>
    <x v="2"/>
    <n v="0"/>
    <n v="0"/>
    <x v="0"/>
    <x v="385"/>
    <n v="65"/>
    <x v="0"/>
    <n v="0"/>
    <n v="1060"/>
    <n v="21"/>
    <n v="530"/>
    <n v="32"/>
    <n v="0"/>
    <n v="224"/>
    <n v="1867"/>
    <n v="1"/>
    <n v="5"/>
    <n v="11"/>
    <n v="5"/>
    <n v="21"/>
    <n v="3"/>
    <x v="0"/>
  </r>
  <r>
    <n v="5057"/>
    <n v="1961"/>
    <x v="0"/>
    <x v="2"/>
    <x v="2"/>
    <n v="61794"/>
    <x v="0"/>
    <n v="0"/>
    <n v="1"/>
    <x v="2"/>
    <x v="386"/>
    <n v="74"/>
    <x v="0"/>
    <n v="0"/>
    <n v="264"/>
    <n v="47"/>
    <n v="188"/>
    <n v="54"/>
    <n v="47"/>
    <n v="11"/>
    <n v="611"/>
    <n v="2"/>
    <n v="4"/>
    <n v="4"/>
    <n v="10"/>
    <n v="18"/>
    <n v="2"/>
    <x v="0"/>
  </r>
  <r>
    <n v="254"/>
    <n v="1955"/>
    <x v="0"/>
    <x v="0"/>
    <x v="1"/>
    <n v="53863"/>
    <x v="0"/>
    <n v="0"/>
    <n v="1"/>
    <x v="2"/>
    <x v="193"/>
    <n v="4"/>
    <x v="1"/>
    <n v="0"/>
    <n v="399"/>
    <n v="4"/>
    <n v="30"/>
    <n v="6"/>
    <n v="4"/>
    <n v="30"/>
    <n v="473"/>
    <n v="3"/>
    <n v="7"/>
    <n v="1"/>
    <n v="7"/>
    <n v="15"/>
    <n v="7"/>
    <x v="0"/>
  </r>
  <r>
    <n v="4179"/>
    <n v="1959"/>
    <x v="0"/>
    <x v="0"/>
    <x v="1"/>
    <n v="24221"/>
    <x v="3"/>
    <n v="0"/>
    <n v="0"/>
    <x v="0"/>
    <x v="132"/>
    <n v="94"/>
    <x v="0"/>
    <n v="0"/>
    <n v="8"/>
    <n v="9"/>
    <n v="9"/>
    <n v="2"/>
    <n v="5"/>
    <n v="22"/>
    <n v="55"/>
    <n v="1"/>
    <n v="1"/>
    <n v="1"/>
    <n v="3"/>
    <n v="5"/>
    <n v="4"/>
    <x v="0"/>
  </r>
  <r>
    <n v="3710"/>
    <n v="1984"/>
    <x v="2"/>
    <x v="1"/>
    <x v="0"/>
    <n v="39684"/>
    <x v="1"/>
    <n v="1"/>
    <n v="0"/>
    <x v="2"/>
    <x v="70"/>
    <n v="41"/>
    <x v="1"/>
    <n v="1"/>
    <n v="19"/>
    <n v="0"/>
    <n v="35"/>
    <n v="6"/>
    <n v="4"/>
    <n v="17"/>
    <n v="81"/>
    <n v="2"/>
    <n v="2"/>
    <n v="1"/>
    <n v="2"/>
    <n v="5"/>
    <n v="7"/>
    <x v="0"/>
  </r>
  <r>
    <n v="7627"/>
    <n v="1975"/>
    <x v="3"/>
    <x v="2"/>
    <x v="2"/>
    <n v="92163"/>
    <x v="2"/>
    <n v="0"/>
    <n v="0"/>
    <x v="0"/>
    <x v="100"/>
    <n v="25"/>
    <x v="1"/>
    <n v="0"/>
    <n v="817"/>
    <n v="183"/>
    <n v="797"/>
    <n v="106"/>
    <n v="163"/>
    <n v="20"/>
    <n v="2086"/>
    <n v="0"/>
    <n v="5"/>
    <n v="11"/>
    <n v="5"/>
    <n v="21"/>
    <n v="2"/>
    <x v="1"/>
  </r>
  <r>
    <n v="4501"/>
    <n v="1965"/>
    <x v="1"/>
    <x v="2"/>
    <x v="0"/>
    <n v="69882"/>
    <x v="2"/>
    <n v="0"/>
    <n v="0"/>
    <x v="0"/>
    <x v="265"/>
    <n v="94"/>
    <x v="0"/>
    <n v="0"/>
    <n v="292"/>
    <n v="127"/>
    <n v="635"/>
    <n v="132"/>
    <n v="127"/>
    <n v="165"/>
    <n v="1478"/>
    <n v="1"/>
    <n v="3"/>
    <n v="7"/>
    <n v="9"/>
    <n v="19"/>
    <n v="1"/>
    <x v="0"/>
  </r>
  <r>
    <n v="6424"/>
    <n v="1977"/>
    <x v="3"/>
    <x v="0"/>
    <x v="1"/>
    <n v="33178"/>
    <x v="3"/>
    <n v="1"/>
    <n v="0"/>
    <x v="2"/>
    <x v="142"/>
    <n v="9"/>
    <x v="1"/>
    <n v="0"/>
    <n v="12"/>
    <n v="6"/>
    <n v="2"/>
    <n v="11"/>
    <n v="2"/>
    <n v="16"/>
    <n v="49"/>
    <n v="1"/>
    <n v="1"/>
    <n v="0"/>
    <n v="3"/>
    <n v="4"/>
    <n v="4"/>
    <x v="0"/>
  </r>
  <r>
    <n v="3075"/>
    <n v="1972"/>
    <x v="1"/>
    <x v="1"/>
    <x v="2"/>
    <n v="59973"/>
    <x v="0"/>
    <n v="0"/>
    <n v="0"/>
    <x v="0"/>
    <x v="255"/>
    <n v="47"/>
    <x v="1"/>
    <n v="0"/>
    <n v="130"/>
    <n v="30"/>
    <n v="168"/>
    <n v="20"/>
    <n v="34"/>
    <n v="0"/>
    <n v="382"/>
    <n v="1"/>
    <n v="3"/>
    <n v="4"/>
    <n v="7"/>
    <n v="14"/>
    <n v="1"/>
    <x v="0"/>
  </r>
  <r>
    <n v="4992"/>
    <n v="1975"/>
    <x v="3"/>
    <x v="2"/>
    <x v="1"/>
    <n v="17459"/>
    <x v="3"/>
    <n v="1"/>
    <n v="0"/>
    <x v="2"/>
    <x v="159"/>
    <n v="12"/>
    <x v="1"/>
    <n v="0"/>
    <n v="6"/>
    <n v="4"/>
    <n v="16"/>
    <n v="3"/>
    <n v="10"/>
    <n v="30"/>
    <n v="69"/>
    <n v="3"/>
    <n v="3"/>
    <n v="1"/>
    <n v="2"/>
    <n v="6"/>
    <n v="7"/>
    <x v="0"/>
  </r>
  <r>
    <n v="5252"/>
    <n v="1969"/>
    <x v="1"/>
    <x v="0"/>
    <x v="3"/>
    <n v="23910"/>
    <x v="3"/>
    <n v="1"/>
    <n v="0"/>
    <x v="2"/>
    <x v="387"/>
    <n v="80"/>
    <x v="0"/>
    <n v="0"/>
    <n v="16"/>
    <n v="12"/>
    <n v="18"/>
    <n v="7"/>
    <n v="1"/>
    <n v="13"/>
    <n v="67"/>
    <n v="1"/>
    <n v="2"/>
    <n v="0"/>
    <n v="3"/>
    <n v="5"/>
    <n v="7"/>
    <x v="0"/>
  </r>
  <r>
    <n v="7444"/>
    <n v="1969"/>
    <x v="1"/>
    <x v="2"/>
    <x v="2"/>
    <n v="42169"/>
    <x v="1"/>
    <n v="1"/>
    <n v="1"/>
    <x v="1"/>
    <x v="388"/>
    <n v="20"/>
    <x v="1"/>
    <n v="0"/>
    <n v="19"/>
    <n v="0"/>
    <n v="9"/>
    <n v="0"/>
    <n v="0"/>
    <n v="2"/>
    <n v="30"/>
    <n v="2"/>
    <n v="1"/>
    <n v="0"/>
    <n v="3"/>
    <n v="4"/>
    <n v="8"/>
    <x v="0"/>
  </r>
  <r>
    <n v="6919"/>
    <n v="1978"/>
    <x v="3"/>
    <x v="2"/>
    <x v="2"/>
    <n v="26224"/>
    <x v="3"/>
    <n v="1"/>
    <n v="0"/>
    <x v="2"/>
    <x v="207"/>
    <n v="39"/>
    <x v="1"/>
    <n v="0"/>
    <n v="4"/>
    <n v="7"/>
    <n v="15"/>
    <n v="13"/>
    <n v="9"/>
    <n v="15"/>
    <n v="63"/>
    <n v="3"/>
    <n v="2"/>
    <n v="1"/>
    <n v="3"/>
    <n v="6"/>
    <n v="6"/>
    <x v="0"/>
  </r>
  <r>
    <n v="3537"/>
    <n v="1981"/>
    <x v="3"/>
    <x v="0"/>
    <x v="1"/>
    <n v="31089"/>
    <x v="3"/>
    <n v="1"/>
    <n v="0"/>
    <x v="2"/>
    <x v="197"/>
    <n v="57"/>
    <x v="0"/>
    <n v="0"/>
    <n v="31"/>
    <n v="3"/>
    <n v="31"/>
    <n v="2"/>
    <n v="8"/>
    <n v="4"/>
    <n v="79"/>
    <n v="3"/>
    <n v="3"/>
    <n v="0"/>
    <n v="4"/>
    <n v="7"/>
    <n v="8"/>
    <x v="0"/>
  </r>
  <r>
    <n v="10277"/>
    <n v="1961"/>
    <x v="0"/>
    <x v="0"/>
    <x v="0"/>
    <n v="30081"/>
    <x v="3"/>
    <n v="0"/>
    <n v="1"/>
    <x v="2"/>
    <x v="389"/>
    <n v="27"/>
    <x v="1"/>
    <n v="0"/>
    <n v="36"/>
    <n v="0"/>
    <n v="2"/>
    <n v="0"/>
    <n v="0"/>
    <n v="4"/>
    <n v="42"/>
    <n v="1"/>
    <n v="1"/>
    <n v="0"/>
    <n v="3"/>
    <n v="4"/>
    <n v="7"/>
    <x v="0"/>
  </r>
  <r>
    <n v="2453"/>
    <n v="1960"/>
    <x v="0"/>
    <x v="0"/>
    <x v="1"/>
    <n v="62807"/>
    <x v="0"/>
    <n v="0"/>
    <n v="1"/>
    <x v="2"/>
    <x v="14"/>
    <n v="83"/>
    <x v="0"/>
    <n v="0"/>
    <n v="526"/>
    <n v="28"/>
    <n v="135"/>
    <n v="10"/>
    <n v="21"/>
    <n v="99"/>
    <n v="819"/>
    <n v="3"/>
    <n v="5"/>
    <n v="3"/>
    <n v="12"/>
    <n v="20"/>
    <n v="5"/>
    <x v="0"/>
  </r>
  <r>
    <n v="7972"/>
    <n v="1955"/>
    <x v="0"/>
    <x v="0"/>
    <x v="0"/>
    <n v="72906"/>
    <x v="2"/>
    <n v="0"/>
    <n v="0"/>
    <x v="0"/>
    <x v="390"/>
    <n v="79"/>
    <x v="0"/>
    <n v="0"/>
    <n v="400"/>
    <n v="32"/>
    <n v="519"/>
    <n v="71"/>
    <n v="75"/>
    <n v="54"/>
    <n v="1151"/>
    <n v="1"/>
    <n v="3"/>
    <n v="4"/>
    <n v="9"/>
    <n v="16"/>
    <n v="1"/>
    <x v="0"/>
  </r>
  <r>
    <n v="895"/>
    <n v="1948"/>
    <x v="4"/>
    <x v="1"/>
    <x v="2"/>
    <n v="61467"/>
    <x v="0"/>
    <n v="0"/>
    <n v="2"/>
    <x v="1"/>
    <x v="184"/>
    <n v="69"/>
    <x v="0"/>
    <n v="0"/>
    <n v="410"/>
    <n v="16"/>
    <n v="114"/>
    <n v="0"/>
    <n v="5"/>
    <n v="49"/>
    <n v="594"/>
    <n v="3"/>
    <n v="5"/>
    <n v="2"/>
    <n v="10"/>
    <n v="17"/>
    <n v="5"/>
    <x v="0"/>
  </r>
  <r>
    <n v="1177"/>
    <n v="1966"/>
    <x v="1"/>
    <x v="2"/>
    <x v="1"/>
    <n v="49618"/>
    <x v="1"/>
    <n v="1"/>
    <n v="1"/>
    <x v="1"/>
    <x v="391"/>
    <n v="77"/>
    <x v="0"/>
    <n v="0"/>
    <n v="80"/>
    <n v="3"/>
    <n v="26"/>
    <n v="4"/>
    <n v="2"/>
    <n v="14"/>
    <n v="129"/>
    <n v="4"/>
    <n v="3"/>
    <n v="1"/>
    <n v="3"/>
    <n v="7"/>
    <n v="7"/>
    <x v="0"/>
  </r>
  <r>
    <n v="7141"/>
    <n v="1986"/>
    <x v="2"/>
    <x v="2"/>
    <x v="0"/>
    <n v="21888"/>
    <x v="3"/>
    <n v="1"/>
    <n v="0"/>
    <x v="2"/>
    <x v="345"/>
    <n v="15"/>
    <x v="1"/>
    <n v="0"/>
    <n v="88"/>
    <n v="10"/>
    <n v="46"/>
    <n v="2"/>
    <n v="3"/>
    <n v="64"/>
    <n v="213"/>
    <n v="4"/>
    <n v="5"/>
    <n v="1"/>
    <n v="2"/>
    <n v="8"/>
    <n v="10"/>
    <x v="0"/>
  </r>
  <r>
    <n v="8477"/>
    <n v="1956"/>
    <x v="0"/>
    <x v="0"/>
    <x v="3"/>
    <n v="26150"/>
    <x v="3"/>
    <n v="2"/>
    <n v="1"/>
    <x v="3"/>
    <x v="293"/>
    <n v="61"/>
    <x v="0"/>
    <n v="0"/>
    <n v="5"/>
    <n v="1"/>
    <n v="13"/>
    <n v="3"/>
    <n v="5"/>
    <n v="1"/>
    <n v="28"/>
    <n v="1"/>
    <n v="1"/>
    <n v="0"/>
    <n v="3"/>
    <n v="4"/>
    <n v="7"/>
    <x v="0"/>
  </r>
  <r>
    <n v="2457"/>
    <n v="1975"/>
    <x v="3"/>
    <x v="3"/>
    <x v="2"/>
    <n v="30801"/>
    <x v="3"/>
    <n v="0"/>
    <n v="1"/>
    <x v="2"/>
    <x v="387"/>
    <n v="23"/>
    <x v="1"/>
    <n v="0"/>
    <n v="8"/>
    <n v="4"/>
    <n v="5"/>
    <n v="15"/>
    <n v="2"/>
    <n v="11"/>
    <n v="45"/>
    <n v="2"/>
    <n v="1"/>
    <n v="0"/>
    <n v="3"/>
    <n v="4"/>
    <n v="7"/>
    <x v="0"/>
  </r>
  <r>
    <n v="988"/>
    <n v="1965"/>
    <x v="1"/>
    <x v="0"/>
    <x v="2"/>
    <n v="81168"/>
    <x v="2"/>
    <n v="0"/>
    <n v="0"/>
    <x v="0"/>
    <x v="392"/>
    <n v="84"/>
    <x v="0"/>
    <n v="0"/>
    <n v="410"/>
    <n v="0"/>
    <n v="592"/>
    <n v="147"/>
    <n v="22"/>
    <n v="22"/>
    <n v="1193"/>
    <n v="1"/>
    <n v="6"/>
    <n v="4"/>
    <n v="7"/>
    <n v="17"/>
    <n v="3"/>
    <x v="0"/>
  </r>
  <r>
    <n v="7930"/>
    <n v="1969"/>
    <x v="1"/>
    <x v="2"/>
    <x v="0"/>
    <n v="26877"/>
    <x v="3"/>
    <n v="0"/>
    <n v="0"/>
    <x v="0"/>
    <x v="393"/>
    <n v="74"/>
    <x v="0"/>
    <n v="0"/>
    <n v="101"/>
    <n v="13"/>
    <n v="76"/>
    <n v="20"/>
    <n v="18"/>
    <n v="40"/>
    <n v="268"/>
    <n v="2"/>
    <n v="3"/>
    <n v="1"/>
    <n v="6"/>
    <n v="10"/>
    <n v="6"/>
    <x v="0"/>
  </r>
  <r>
    <n v="4587"/>
    <n v="1944"/>
    <x v="4"/>
    <x v="2"/>
    <x v="4"/>
    <n v="45006"/>
    <x v="1"/>
    <n v="0"/>
    <n v="0"/>
    <x v="0"/>
    <x v="394"/>
    <n v="90"/>
    <x v="0"/>
    <n v="0"/>
    <n v="162"/>
    <n v="25"/>
    <n v="53"/>
    <n v="16"/>
    <n v="0"/>
    <n v="10"/>
    <n v="266"/>
    <n v="1"/>
    <n v="3"/>
    <n v="1"/>
    <n v="7"/>
    <n v="11"/>
    <n v="3"/>
    <x v="0"/>
  </r>
  <r>
    <n v="6682"/>
    <n v="1973"/>
    <x v="3"/>
    <x v="3"/>
    <x v="2"/>
    <n v="18978"/>
    <x v="3"/>
    <n v="1"/>
    <n v="0"/>
    <x v="2"/>
    <x v="395"/>
    <n v="41"/>
    <x v="1"/>
    <n v="0"/>
    <n v="2"/>
    <n v="8"/>
    <n v="1"/>
    <n v="4"/>
    <n v="7"/>
    <n v="15"/>
    <n v="37"/>
    <n v="1"/>
    <n v="1"/>
    <n v="0"/>
    <n v="3"/>
    <n v="4"/>
    <n v="8"/>
    <x v="0"/>
  </r>
  <r>
    <n v="10299"/>
    <n v="1969"/>
    <x v="1"/>
    <x v="1"/>
    <x v="0"/>
    <n v="48240"/>
    <x v="1"/>
    <n v="0"/>
    <n v="0"/>
    <x v="0"/>
    <x v="40"/>
    <n v="73"/>
    <x v="0"/>
    <n v="0"/>
    <n v="389"/>
    <n v="91"/>
    <n v="248"/>
    <n v="64"/>
    <n v="49"/>
    <n v="41"/>
    <n v="882"/>
    <n v="3"/>
    <n v="6"/>
    <n v="3"/>
    <n v="13"/>
    <n v="22"/>
    <n v="5"/>
    <x v="0"/>
  </r>
  <r>
    <n v="3083"/>
    <n v="1974"/>
    <x v="3"/>
    <x v="0"/>
    <x v="2"/>
    <n v="45837"/>
    <x v="1"/>
    <n v="1"/>
    <n v="1"/>
    <x v="1"/>
    <x v="396"/>
    <n v="88"/>
    <x v="0"/>
    <n v="0"/>
    <n v="215"/>
    <n v="13"/>
    <n v="87"/>
    <n v="17"/>
    <n v="17"/>
    <n v="24"/>
    <n v="373"/>
    <n v="5"/>
    <n v="6"/>
    <n v="2"/>
    <n v="5"/>
    <n v="13"/>
    <n v="7"/>
    <x v="0"/>
  </r>
  <r>
    <n v="8953"/>
    <n v="1965"/>
    <x v="1"/>
    <x v="2"/>
    <x v="0"/>
    <n v="35791"/>
    <x v="1"/>
    <n v="2"/>
    <n v="1"/>
    <x v="3"/>
    <x v="397"/>
    <n v="94"/>
    <x v="0"/>
    <n v="0"/>
    <n v="27"/>
    <n v="0"/>
    <n v="5"/>
    <n v="0"/>
    <n v="0"/>
    <n v="3"/>
    <n v="35"/>
    <n v="2"/>
    <n v="1"/>
    <n v="0"/>
    <n v="3"/>
    <n v="4"/>
    <n v="8"/>
    <x v="0"/>
  </r>
  <r>
    <n v="1503"/>
    <n v="1976"/>
    <x v="3"/>
    <x v="1"/>
    <x v="1"/>
    <n v="162397"/>
    <x v="2"/>
    <n v="1"/>
    <n v="1"/>
    <x v="1"/>
    <x v="240"/>
    <n v="31"/>
    <x v="1"/>
    <n v="0"/>
    <n v="85"/>
    <n v="1"/>
    <n v="16"/>
    <n v="2"/>
    <n v="1"/>
    <n v="2"/>
    <n v="107"/>
    <n v="0"/>
    <n v="0"/>
    <n v="0"/>
    <n v="1"/>
    <n v="1"/>
    <n v="1"/>
    <x v="0"/>
  </r>
  <r>
    <n v="8650"/>
    <n v="1978"/>
    <x v="3"/>
    <x v="0"/>
    <x v="4"/>
    <n v="54162"/>
    <x v="0"/>
    <n v="1"/>
    <n v="1"/>
    <x v="1"/>
    <x v="21"/>
    <n v="31"/>
    <x v="1"/>
    <n v="0"/>
    <n v="5"/>
    <n v="6"/>
    <n v="10"/>
    <n v="6"/>
    <n v="5"/>
    <n v="10"/>
    <n v="42"/>
    <n v="1"/>
    <n v="1"/>
    <n v="0"/>
    <n v="3"/>
    <n v="4"/>
    <n v="4"/>
    <x v="0"/>
  </r>
  <r>
    <n v="10862"/>
    <n v="1960"/>
    <x v="0"/>
    <x v="2"/>
    <x v="2"/>
    <n v="30522"/>
    <x v="3"/>
    <n v="0"/>
    <n v="1"/>
    <x v="2"/>
    <x v="197"/>
    <n v="6"/>
    <x v="1"/>
    <n v="0"/>
    <n v="179"/>
    <n v="8"/>
    <n v="83"/>
    <n v="19"/>
    <n v="11"/>
    <n v="26"/>
    <n v="326"/>
    <n v="5"/>
    <n v="1"/>
    <n v="2"/>
    <n v="9"/>
    <n v="12"/>
    <n v="2"/>
    <x v="0"/>
  </r>
  <r>
    <n v="2782"/>
    <n v="1961"/>
    <x v="0"/>
    <x v="1"/>
    <x v="2"/>
    <n v="54456"/>
    <x v="0"/>
    <n v="0"/>
    <n v="1"/>
    <x v="2"/>
    <x v="104"/>
    <n v="23"/>
    <x v="1"/>
    <n v="0"/>
    <n v="352"/>
    <n v="0"/>
    <n v="27"/>
    <n v="10"/>
    <n v="0"/>
    <n v="15"/>
    <n v="404"/>
    <n v="3"/>
    <n v="6"/>
    <n v="1"/>
    <n v="7"/>
    <n v="14"/>
    <n v="6"/>
    <x v="0"/>
  </r>
  <r>
    <n v="6941"/>
    <n v="1971"/>
    <x v="1"/>
    <x v="0"/>
    <x v="0"/>
    <n v="31632"/>
    <x v="3"/>
    <n v="0"/>
    <n v="0"/>
    <x v="0"/>
    <x v="398"/>
    <n v="92"/>
    <x v="0"/>
    <n v="0"/>
    <n v="17"/>
    <n v="8"/>
    <n v="12"/>
    <n v="11"/>
    <n v="15"/>
    <n v="32"/>
    <n v="95"/>
    <n v="1"/>
    <n v="2"/>
    <n v="1"/>
    <n v="2"/>
    <n v="5"/>
    <n v="7"/>
    <x v="0"/>
  </r>
  <r>
    <n v="10972"/>
    <n v="1949"/>
    <x v="4"/>
    <x v="0"/>
    <x v="4"/>
    <n v="72298"/>
    <x v="2"/>
    <n v="0"/>
    <n v="0"/>
    <x v="0"/>
    <x v="399"/>
    <n v="52"/>
    <x v="0"/>
    <n v="0"/>
    <n v="625"/>
    <n v="35"/>
    <n v="169"/>
    <n v="58"/>
    <n v="17"/>
    <n v="35"/>
    <n v="939"/>
    <n v="1"/>
    <n v="4"/>
    <n v="3"/>
    <n v="6"/>
    <n v="13"/>
    <n v="1"/>
    <x v="0"/>
  </r>
  <r>
    <n v="10708"/>
    <n v="1978"/>
    <x v="3"/>
    <x v="2"/>
    <x v="0"/>
    <n v="36975"/>
    <x v="1"/>
    <n v="1"/>
    <n v="0"/>
    <x v="2"/>
    <x v="400"/>
    <n v="50"/>
    <x v="0"/>
    <n v="0"/>
    <n v="10"/>
    <n v="6"/>
    <n v="11"/>
    <n v="0"/>
    <n v="4"/>
    <n v="2"/>
    <n v="33"/>
    <n v="1"/>
    <n v="1"/>
    <n v="0"/>
    <n v="3"/>
    <n v="4"/>
    <n v="7"/>
    <x v="0"/>
  </r>
  <r>
    <n v="6583"/>
    <n v="1955"/>
    <x v="0"/>
    <x v="2"/>
    <x v="2"/>
    <n v="72635"/>
    <x v="2"/>
    <n v="0"/>
    <n v="0"/>
    <x v="0"/>
    <x v="240"/>
    <n v="54"/>
    <x v="0"/>
    <n v="0"/>
    <n v="390"/>
    <n v="22"/>
    <n v="323"/>
    <n v="104"/>
    <n v="35"/>
    <n v="107"/>
    <n v="981"/>
    <n v="1"/>
    <n v="6"/>
    <n v="8"/>
    <n v="6"/>
    <n v="20"/>
    <n v="3"/>
    <x v="0"/>
  </r>
  <r>
    <n v="3641"/>
    <n v="1976"/>
    <x v="3"/>
    <x v="0"/>
    <x v="2"/>
    <n v="13624"/>
    <x v="3"/>
    <n v="1"/>
    <n v="0"/>
    <x v="2"/>
    <x v="401"/>
    <n v="93"/>
    <x v="0"/>
    <n v="0"/>
    <n v="10"/>
    <n v="2"/>
    <n v="15"/>
    <n v="2"/>
    <n v="1"/>
    <n v="6"/>
    <n v="36"/>
    <n v="2"/>
    <n v="2"/>
    <n v="0"/>
    <n v="3"/>
    <n v="5"/>
    <n v="6"/>
    <x v="0"/>
  </r>
  <r>
    <n v="10156"/>
    <n v="1975"/>
    <x v="3"/>
    <x v="0"/>
    <x v="0"/>
    <n v="84196"/>
    <x v="2"/>
    <n v="0"/>
    <n v="1"/>
    <x v="2"/>
    <x v="240"/>
    <n v="56"/>
    <x v="0"/>
    <n v="0"/>
    <n v="215"/>
    <n v="63"/>
    <n v="507"/>
    <n v="231"/>
    <n v="31"/>
    <n v="190"/>
    <n v="1237"/>
    <n v="1"/>
    <n v="8"/>
    <n v="4"/>
    <n v="7"/>
    <n v="19"/>
    <n v="3"/>
    <x v="0"/>
  </r>
  <r>
    <n v="4299"/>
    <n v="1960"/>
    <x v="0"/>
    <x v="0"/>
    <x v="1"/>
    <n v="70971"/>
    <x v="2"/>
    <n v="0"/>
    <n v="1"/>
    <x v="2"/>
    <x v="402"/>
    <n v="28"/>
    <x v="1"/>
    <n v="0"/>
    <n v="1001"/>
    <n v="17"/>
    <n v="572"/>
    <n v="93"/>
    <n v="125"/>
    <n v="17"/>
    <n v="1825"/>
    <n v="7"/>
    <n v="11"/>
    <n v="11"/>
    <n v="5"/>
    <n v="27"/>
    <n v="7"/>
    <x v="1"/>
  </r>
  <r>
    <n v="3469"/>
    <n v="1977"/>
    <x v="3"/>
    <x v="1"/>
    <x v="3"/>
    <n v="34487"/>
    <x v="3"/>
    <n v="1"/>
    <n v="1"/>
    <x v="1"/>
    <x v="403"/>
    <n v="94"/>
    <x v="0"/>
    <n v="0"/>
    <n v="19"/>
    <n v="18"/>
    <n v="33"/>
    <n v="24"/>
    <n v="1"/>
    <n v="8"/>
    <n v="103"/>
    <n v="3"/>
    <n v="3"/>
    <n v="0"/>
    <n v="3"/>
    <n v="6"/>
    <n v="9"/>
    <x v="0"/>
  </r>
  <r>
    <n v="5063"/>
    <n v="1977"/>
    <x v="3"/>
    <x v="0"/>
    <x v="0"/>
    <n v="28769"/>
    <x v="3"/>
    <n v="1"/>
    <n v="0"/>
    <x v="2"/>
    <x v="404"/>
    <n v="76"/>
    <x v="0"/>
    <n v="0"/>
    <n v="41"/>
    <n v="5"/>
    <n v="129"/>
    <n v="10"/>
    <n v="3"/>
    <n v="3"/>
    <n v="191"/>
    <n v="3"/>
    <n v="4"/>
    <n v="1"/>
    <n v="4"/>
    <n v="9"/>
    <n v="9"/>
    <x v="0"/>
  </r>
  <r>
    <n v="10727"/>
    <n v="1970"/>
    <x v="1"/>
    <x v="1"/>
    <x v="2"/>
    <n v="69084"/>
    <x v="2"/>
    <n v="1"/>
    <n v="0"/>
    <x v="2"/>
    <x v="405"/>
    <n v="43"/>
    <x v="1"/>
    <n v="0"/>
    <n v="1181"/>
    <n v="107"/>
    <n v="199"/>
    <n v="39"/>
    <n v="30"/>
    <n v="30"/>
    <n v="1586"/>
    <n v="2"/>
    <n v="7"/>
    <n v="3"/>
    <n v="13"/>
    <n v="23"/>
    <n v="8"/>
    <x v="1"/>
  </r>
  <r>
    <n v="9624"/>
    <n v="1958"/>
    <x v="0"/>
    <x v="1"/>
    <x v="1"/>
    <n v="65488"/>
    <x v="0"/>
    <n v="0"/>
    <n v="0"/>
    <x v="0"/>
    <x v="406"/>
    <n v="46"/>
    <x v="1"/>
    <n v="0"/>
    <n v="603"/>
    <n v="45"/>
    <n v="207"/>
    <n v="36"/>
    <n v="18"/>
    <n v="54"/>
    <n v="963"/>
    <n v="1"/>
    <n v="3"/>
    <n v="4"/>
    <n v="6"/>
    <n v="13"/>
    <n v="1"/>
    <x v="1"/>
  </r>
  <r>
    <n v="4376"/>
    <n v="1960"/>
    <x v="0"/>
    <x v="2"/>
    <x v="0"/>
    <n v="32218"/>
    <x v="3"/>
    <n v="0"/>
    <n v="0"/>
    <x v="0"/>
    <x v="363"/>
    <n v="27"/>
    <x v="1"/>
    <n v="0"/>
    <n v="10"/>
    <n v="24"/>
    <n v="15"/>
    <n v="13"/>
    <n v="1"/>
    <n v="30"/>
    <n v="93"/>
    <n v="1"/>
    <n v="2"/>
    <n v="1"/>
    <n v="3"/>
    <n v="6"/>
    <n v="7"/>
    <x v="0"/>
  </r>
  <r>
    <n v="8923"/>
    <n v="1973"/>
    <x v="3"/>
    <x v="0"/>
    <x v="0"/>
    <n v="83917"/>
    <x v="2"/>
    <n v="0"/>
    <n v="0"/>
    <x v="0"/>
    <x v="289"/>
    <n v="12"/>
    <x v="1"/>
    <n v="0"/>
    <n v="514"/>
    <n v="22"/>
    <n v="732"/>
    <n v="42"/>
    <n v="198"/>
    <n v="79"/>
    <n v="1587"/>
    <n v="1"/>
    <n v="6"/>
    <n v="7"/>
    <n v="7"/>
    <n v="20"/>
    <n v="3"/>
    <x v="1"/>
  </r>
  <r>
    <n v="8461"/>
    <n v="1962"/>
    <x v="0"/>
    <x v="0"/>
    <x v="3"/>
    <n v="46102"/>
    <x v="1"/>
    <n v="2"/>
    <n v="1"/>
    <x v="3"/>
    <x v="399"/>
    <n v="3"/>
    <x v="1"/>
    <n v="0"/>
    <n v="14"/>
    <n v="0"/>
    <n v="1"/>
    <n v="0"/>
    <n v="0"/>
    <n v="1"/>
    <n v="16"/>
    <n v="1"/>
    <n v="1"/>
    <n v="0"/>
    <n v="2"/>
    <n v="3"/>
    <n v="7"/>
    <x v="0"/>
  </r>
  <r>
    <n v="6945"/>
    <n v="1952"/>
    <x v="4"/>
    <x v="0"/>
    <x v="0"/>
    <n v="84574"/>
    <x v="2"/>
    <n v="0"/>
    <n v="0"/>
    <x v="0"/>
    <x v="207"/>
    <n v="72"/>
    <x v="0"/>
    <n v="0"/>
    <n v="387"/>
    <n v="20"/>
    <n v="713"/>
    <n v="38"/>
    <n v="54"/>
    <n v="163"/>
    <n v="1375"/>
    <n v="1"/>
    <n v="9"/>
    <n v="11"/>
    <n v="11"/>
    <n v="31"/>
    <n v="5"/>
    <x v="0"/>
  </r>
  <r>
    <n v="944"/>
    <n v="1962"/>
    <x v="0"/>
    <x v="0"/>
    <x v="2"/>
    <n v="56181"/>
    <x v="0"/>
    <n v="0"/>
    <n v="1"/>
    <x v="2"/>
    <x v="224"/>
    <n v="6"/>
    <x v="1"/>
    <n v="0"/>
    <n v="121"/>
    <n v="103"/>
    <n v="69"/>
    <n v="8"/>
    <n v="44"/>
    <n v="48"/>
    <n v="393"/>
    <n v="1"/>
    <n v="4"/>
    <n v="2"/>
    <n v="7"/>
    <n v="13"/>
    <n v="4"/>
    <x v="0"/>
  </r>
  <r>
    <n v="1907"/>
    <n v="1950"/>
    <x v="4"/>
    <x v="2"/>
    <x v="3"/>
    <n v="63120"/>
    <x v="0"/>
    <n v="0"/>
    <n v="1"/>
    <x v="2"/>
    <x v="273"/>
    <n v="53"/>
    <x v="0"/>
    <n v="0"/>
    <n v="965"/>
    <n v="69"/>
    <n v="279"/>
    <n v="54"/>
    <n v="41"/>
    <n v="69"/>
    <n v="1477"/>
    <n v="5"/>
    <n v="8"/>
    <n v="4"/>
    <n v="9"/>
    <n v="21"/>
    <n v="7"/>
    <x v="0"/>
  </r>
  <r>
    <n v="701"/>
    <n v="1971"/>
    <x v="1"/>
    <x v="0"/>
    <x v="2"/>
    <n v="73691"/>
    <x v="2"/>
    <n v="0"/>
    <n v="1"/>
    <x v="2"/>
    <x v="373"/>
    <n v="58"/>
    <x v="0"/>
    <n v="0"/>
    <n v="707"/>
    <n v="21"/>
    <n v="250"/>
    <n v="85"/>
    <n v="43"/>
    <n v="73"/>
    <n v="1179"/>
    <n v="2"/>
    <n v="6"/>
    <n v="2"/>
    <n v="8"/>
    <n v="16"/>
    <n v="2"/>
    <x v="0"/>
  </r>
  <r>
    <n v="4149"/>
    <n v="1948"/>
    <x v="4"/>
    <x v="1"/>
    <x v="1"/>
    <n v="76140"/>
    <x v="2"/>
    <n v="0"/>
    <n v="0"/>
    <x v="0"/>
    <x v="158"/>
    <n v="57"/>
    <x v="0"/>
    <n v="0"/>
    <n v="586"/>
    <n v="66"/>
    <n v="653"/>
    <n v="17"/>
    <n v="0"/>
    <n v="26"/>
    <n v="1348"/>
    <n v="1"/>
    <n v="5"/>
    <n v="9"/>
    <n v="6"/>
    <n v="20"/>
    <n v="2"/>
    <x v="0"/>
  </r>
  <r>
    <n v="2131"/>
    <n v="1959"/>
    <x v="0"/>
    <x v="1"/>
    <x v="3"/>
    <n v="62859"/>
    <x v="0"/>
    <n v="0"/>
    <n v="1"/>
    <x v="2"/>
    <x v="284"/>
    <n v="37"/>
    <x v="1"/>
    <n v="0"/>
    <n v="1063"/>
    <n v="89"/>
    <n v="102"/>
    <n v="16"/>
    <n v="12"/>
    <n v="25"/>
    <n v="1307"/>
    <n v="4"/>
    <n v="9"/>
    <n v="4"/>
    <n v="6"/>
    <n v="19"/>
    <n v="6"/>
    <x v="1"/>
  </r>
  <r>
    <n v="2942"/>
    <n v="1964"/>
    <x v="1"/>
    <x v="0"/>
    <x v="0"/>
    <n v="45906"/>
    <x v="1"/>
    <n v="0"/>
    <n v="1"/>
    <x v="2"/>
    <x v="407"/>
    <n v="20"/>
    <x v="1"/>
    <n v="0"/>
    <n v="305"/>
    <n v="3"/>
    <n v="27"/>
    <n v="4"/>
    <n v="3"/>
    <n v="144"/>
    <n v="486"/>
    <n v="2"/>
    <n v="5"/>
    <n v="4"/>
    <n v="4"/>
    <n v="13"/>
    <n v="5"/>
    <x v="0"/>
  </r>
  <r>
    <n v="1173"/>
    <n v="1947"/>
    <x v="4"/>
    <x v="2"/>
    <x v="1"/>
    <n v="77632"/>
    <x v="2"/>
    <n v="0"/>
    <n v="0"/>
    <x v="0"/>
    <x v="112"/>
    <n v="73"/>
    <x v="0"/>
    <n v="0"/>
    <n v="1200"/>
    <n v="105"/>
    <n v="758"/>
    <n v="0"/>
    <n v="42"/>
    <n v="147"/>
    <n v="2252"/>
    <n v="1"/>
    <n v="4"/>
    <n v="2"/>
    <n v="6"/>
    <n v="12"/>
    <n v="2"/>
    <x v="0"/>
  </r>
  <r>
    <n v="4381"/>
    <n v="1971"/>
    <x v="1"/>
    <x v="1"/>
    <x v="2"/>
    <n v="46463"/>
    <x v="1"/>
    <n v="1"/>
    <n v="1"/>
    <x v="1"/>
    <x v="408"/>
    <n v="56"/>
    <x v="0"/>
    <n v="0"/>
    <n v="163"/>
    <n v="2"/>
    <n v="40"/>
    <n v="8"/>
    <n v="11"/>
    <n v="11"/>
    <n v="235"/>
    <n v="7"/>
    <n v="3"/>
    <n v="1"/>
    <n v="6"/>
    <n v="10"/>
    <n v="6"/>
    <x v="0"/>
  </r>
  <r>
    <n v="4611"/>
    <n v="1970"/>
    <x v="1"/>
    <x v="0"/>
    <x v="1"/>
    <n v="105471"/>
    <x v="2"/>
    <n v="0"/>
    <n v="0"/>
    <x v="0"/>
    <x v="173"/>
    <n v="36"/>
    <x v="1"/>
    <n v="0"/>
    <n v="1009"/>
    <n v="181"/>
    <n v="104"/>
    <n v="202"/>
    <n v="21"/>
    <n v="207"/>
    <n v="1724"/>
    <n v="0"/>
    <n v="9"/>
    <n v="8"/>
    <n v="13"/>
    <n v="30"/>
    <n v="3"/>
    <x v="1"/>
  </r>
  <r>
    <n v="3376"/>
    <n v="1970"/>
    <x v="1"/>
    <x v="2"/>
    <x v="3"/>
    <n v="55282"/>
    <x v="0"/>
    <n v="1"/>
    <n v="0"/>
    <x v="2"/>
    <x v="409"/>
    <n v="9"/>
    <x v="1"/>
    <n v="0"/>
    <n v="125"/>
    <n v="6"/>
    <n v="73"/>
    <n v="8"/>
    <n v="4"/>
    <n v="19"/>
    <n v="235"/>
    <n v="1"/>
    <n v="3"/>
    <n v="1"/>
    <n v="6"/>
    <n v="10"/>
    <n v="4"/>
    <x v="0"/>
  </r>
  <r>
    <n v="4679"/>
    <n v="1977"/>
    <x v="3"/>
    <x v="2"/>
    <x v="2"/>
    <n v="78710"/>
    <x v="2"/>
    <n v="0"/>
    <n v="1"/>
    <x v="2"/>
    <x v="146"/>
    <n v="42"/>
    <x v="1"/>
    <n v="0"/>
    <n v="721"/>
    <n v="0"/>
    <n v="152"/>
    <n v="119"/>
    <n v="50"/>
    <n v="50"/>
    <n v="1092"/>
    <n v="3"/>
    <n v="7"/>
    <n v="6"/>
    <n v="12"/>
    <n v="25"/>
    <n v="4"/>
    <x v="1"/>
  </r>
  <r>
    <n v="10928"/>
    <n v="1958"/>
    <x v="0"/>
    <x v="0"/>
    <x v="1"/>
    <n v="66886"/>
    <x v="0"/>
    <n v="0"/>
    <n v="1"/>
    <x v="2"/>
    <x v="201"/>
    <n v="28"/>
    <x v="1"/>
    <n v="0"/>
    <n v="315"/>
    <n v="4"/>
    <n v="62"/>
    <n v="41"/>
    <n v="31"/>
    <n v="146"/>
    <n v="599"/>
    <n v="2"/>
    <n v="7"/>
    <n v="1"/>
    <n v="7"/>
    <n v="15"/>
    <n v="5"/>
    <x v="0"/>
  </r>
  <r>
    <n v="4248"/>
    <n v="1960"/>
    <x v="0"/>
    <x v="2"/>
    <x v="0"/>
    <n v="98777"/>
    <x v="2"/>
    <n v="0"/>
    <n v="0"/>
    <x v="0"/>
    <x v="410"/>
    <n v="23"/>
    <x v="1"/>
    <n v="0"/>
    <n v="1000"/>
    <n v="19"/>
    <n v="711"/>
    <n v="125"/>
    <n v="115"/>
    <n v="38"/>
    <n v="2008"/>
    <n v="0"/>
    <n v="4"/>
    <n v="6"/>
    <n v="9"/>
    <n v="19"/>
    <n v="1"/>
    <x v="1"/>
  </r>
  <r>
    <n v="6728"/>
    <n v="1985"/>
    <x v="2"/>
    <x v="0"/>
    <x v="1"/>
    <n v="29103"/>
    <x v="3"/>
    <n v="1"/>
    <n v="0"/>
    <x v="2"/>
    <x v="69"/>
    <n v="38"/>
    <x v="1"/>
    <n v="0"/>
    <n v="16"/>
    <n v="0"/>
    <n v="17"/>
    <n v="6"/>
    <n v="3"/>
    <n v="6"/>
    <n v="48"/>
    <n v="2"/>
    <n v="1"/>
    <n v="0"/>
    <n v="3"/>
    <n v="4"/>
    <n v="9"/>
    <x v="0"/>
  </r>
  <r>
    <n v="6661"/>
    <n v="1974"/>
    <x v="3"/>
    <x v="0"/>
    <x v="2"/>
    <n v="67445"/>
    <x v="0"/>
    <n v="0"/>
    <n v="1"/>
    <x v="2"/>
    <x v="357"/>
    <n v="63"/>
    <x v="0"/>
    <n v="0"/>
    <n v="757"/>
    <n v="80"/>
    <n v="217"/>
    <n v="29"/>
    <n v="80"/>
    <n v="11"/>
    <n v="1174"/>
    <n v="5"/>
    <n v="9"/>
    <n v="6"/>
    <n v="12"/>
    <n v="27"/>
    <n v="6"/>
    <x v="0"/>
  </r>
  <r>
    <n v="4725"/>
    <n v="1950"/>
    <x v="4"/>
    <x v="1"/>
    <x v="1"/>
    <n v="50616"/>
    <x v="1"/>
    <n v="0"/>
    <n v="1"/>
    <x v="2"/>
    <x v="235"/>
    <n v="71"/>
    <x v="0"/>
    <n v="0"/>
    <n v="30"/>
    <n v="2"/>
    <n v="25"/>
    <n v="0"/>
    <n v="1"/>
    <n v="9"/>
    <n v="67"/>
    <n v="1"/>
    <n v="1"/>
    <n v="1"/>
    <n v="4"/>
    <n v="6"/>
    <n v="2"/>
    <x v="0"/>
  </r>
  <r>
    <n v="3277"/>
    <n v="1955"/>
    <x v="0"/>
    <x v="0"/>
    <x v="3"/>
    <n v="49431"/>
    <x v="1"/>
    <n v="0"/>
    <n v="1"/>
    <x v="2"/>
    <x v="411"/>
    <n v="9"/>
    <x v="1"/>
    <n v="0"/>
    <n v="219"/>
    <n v="3"/>
    <n v="100"/>
    <n v="26"/>
    <n v="0"/>
    <n v="17"/>
    <n v="365"/>
    <n v="2"/>
    <n v="7"/>
    <n v="1"/>
    <n v="5"/>
    <n v="13"/>
    <n v="8"/>
    <x v="0"/>
  </r>
  <r>
    <n v="5555"/>
    <n v="1975"/>
    <x v="3"/>
    <x v="0"/>
    <x v="3"/>
    <n v="153924"/>
    <x v="2"/>
    <n v="0"/>
    <n v="0"/>
    <x v="0"/>
    <x v="372"/>
    <n v="81"/>
    <x v="0"/>
    <n v="0"/>
    <n v="1"/>
    <n v="1"/>
    <n v="1"/>
    <n v="1"/>
    <n v="1"/>
    <n v="1"/>
    <n v="6"/>
    <n v="0"/>
    <n v="0"/>
    <n v="0"/>
    <n v="0"/>
    <n v="0"/>
    <n v="0"/>
    <x v="0"/>
  </r>
  <r>
    <n v="2564"/>
    <n v="1953"/>
    <x v="0"/>
    <x v="0"/>
    <x v="1"/>
    <n v="61278"/>
    <x v="0"/>
    <n v="0"/>
    <n v="1"/>
    <x v="2"/>
    <x v="412"/>
    <n v="87"/>
    <x v="0"/>
    <n v="0"/>
    <n v="111"/>
    <n v="3"/>
    <n v="28"/>
    <n v="2"/>
    <n v="6"/>
    <n v="15"/>
    <n v="165"/>
    <n v="2"/>
    <n v="3"/>
    <n v="1"/>
    <n v="4"/>
    <n v="8"/>
    <n v="6"/>
    <x v="0"/>
  </r>
  <r>
    <n v="3867"/>
    <n v="1947"/>
    <x v="4"/>
    <x v="1"/>
    <x v="1"/>
    <n v="73059"/>
    <x v="2"/>
    <n v="0"/>
    <n v="1"/>
    <x v="2"/>
    <x v="176"/>
    <n v="36"/>
    <x v="1"/>
    <n v="0"/>
    <n v="410"/>
    <n v="112"/>
    <n v="420"/>
    <n v="0"/>
    <n v="82"/>
    <n v="71"/>
    <n v="1095"/>
    <n v="1"/>
    <n v="9"/>
    <n v="3"/>
    <n v="13"/>
    <n v="25"/>
    <n v="4"/>
    <x v="1"/>
  </r>
  <r>
    <n v="6940"/>
    <n v="1966"/>
    <x v="1"/>
    <x v="1"/>
    <x v="0"/>
    <n v="46734"/>
    <x v="1"/>
    <n v="1"/>
    <n v="2"/>
    <x v="3"/>
    <x v="413"/>
    <n v="86"/>
    <x v="0"/>
    <n v="0"/>
    <n v="100"/>
    <n v="1"/>
    <n v="39"/>
    <n v="6"/>
    <n v="1"/>
    <n v="76"/>
    <n v="223"/>
    <n v="4"/>
    <n v="3"/>
    <n v="2"/>
    <n v="3"/>
    <n v="8"/>
    <n v="6"/>
    <x v="0"/>
  </r>
  <r>
    <n v="55"/>
    <n v="1963"/>
    <x v="1"/>
    <x v="0"/>
    <x v="1"/>
    <n v="56253"/>
    <x v="0"/>
    <n v="0"/>
    <n v="1"/>
    <x v="2"/>
    <x v="96"/>
    <n v="83"/>
    <x v="0"/>
    <n v="0"/>
    <n v="509"/>
    <n v="0"/>
    <n v="65"/>
    <n v="7"/>
    <n v="11"/>
    <n v="5"/>
    <n v="597"/>
    <n v="4"/>
    <n v="7"/>
    <n v="2"/>
    <n v="9"/>
    <n v="18"/>
    <n v="6"/>
    <x v="0"/>
  </r>
  <r>
    <n v="5084"/>
    <n v="1975"/>
    <x v="3"/>
    <x v="0"/>
    <x v="4"/>
    <n v="58330"/>
    <x v="0"/>
    <n v="0"/>
    <n v="1"/>
    <x v="2"/>
    <x v="414"/>
    <n v="87"/>
    <x v="0"/>
    <n v="0"/>
    <n v="445"/>
    <n v="53"/>
    <n v="213"/>
    <n v="104"/>
    <n v="98"/>
    <n v="151"/>
    <n v="1064"/>
    <n v="1"/>
    <n v="6"/>
    <n v="4"/>
    <n v="13"/>
    <n v="23"/>
    <n v="4"/>
    <x v="0"/>
  </r>
  <r>
    <n v="1777"/>
    <n v="1980"/>
    <x v="3"/>
    <x v="3"/>
    <x v="2"/>
    <n v="25965"/>
    <x v="3"/>
    <n v="0"/>
    <n v="0"/>
    <x v="0"/>
    <x v="54"/>
    <n v="29"/>
    <x v="1"/>
    <n v="0"/>
    <n v="2"/>
    <n v="2"/>
    <n v="11"/>
    <n v="41"/>
    <n v="7"/>
    <n v="11"/>
    <n v="74"/>
    <n v="1"/>
    <n v="2"/>
    <n v="0"/>
    <n v="3"/>
    <n v="5"/>
    <n v="8"/>
    <x v="0"/>
  </r>
  <r>
    <n v="8162"/>
    <n v="1956"/>
    <x v="0"/>
    <x v="2"/>
    <x v="1"/>
    <n v="14661"/>
    <x v="3"/>
    <n v="0"/>
    <n v="0"/>
    <x v="0"/>
    <x v="415"/>
    <n v="88"/>
    <x v="0"/>
    <n v="0"/>
    <n v="4"/>
    <n v="1"/>
    <n v="11"/>
    <n v="6"/>
    <n v="2"/>
    <n v="2"/>
    <n v="26"/>
    <n v="1"/>
    <n v="1"/>
    <n v="0"/>
    <n v="3"/>
    <n v="4"/>
    <n v="6"/>
    <x v="0"/>
  </r>
  <r>
    <n v="10826"/>
    <n v="1959"/>
    <x v="0"/>
    <x v="0"/>
    <x v="2"/>
    <n v="18690"/>
    <x v="3"/>
    <n v="0"/>
    <n v="0"/>
    <x v="0"/>
    <x v="275"/>
    <n v="77"/>
    <x v="0"/>
    <n v="0"/>
    <n v="6"/>
    <n v="1"/>
    <n v="7"/>
    <n v="23"/>
    <n v="4"/>
    <n v="19"/>
    <n v="60"/>
    <n v="1"/>
    <n v="1"/>
    <n v="1"/>
    <n v="2"/>
    <n v="4"/>
    <n v="8"/>
    <x v="0"/>
  </r>
  <r>
    <n v="8754"/>
    <n v="1974"/>
    <x v="3"/>
    <x v="1"/>
    <x v="1"/>
    <n v="45068"/>
    <x v="1"/>
    <n v="0"/>
    <n v="1"/>
    <x v="2"/>
    <x v="416"/>
    <n v="25"/>
    <x v="1"/>
    <n v="0"/>
    <n v="14"/>
    <n v="0"/>
    <n v="3"/>
    <n v="0"/>
    <n v="0"/>
    <n v="3"/>
    <n v="20"/>
    <n v="1"/>
    <n v="1"/>
    <n v="0"/>
    <n v="2"/>
    <n v="3"/>
    <n v="7"/>
    <x v="0"/>
  </r>
  <r>
    <n v="1987"/>
    <n v="1987"/>
    <x v="2"/>
    <x v="3"/>
    <x v="0"/>
    <n v="21063"/>
    <x v="3"/>
    <n v="1"/>
    <n v="0"/>
    <x v="2"/>
    <x v="417"/>
    <n v="34"/>
    <x v="1"/>
    <n v="0"/>
    <n v="1"/>
    <n v="10"/>
    <n v="11"/>
    <n v="19"/>
    <n v="3"/>
    <n v="15"/>
    <n v="59"/>
    <n v="2"/>
    <n v="2"/>
    <n v="0"/>
    <n v="3"/>
    <n v="5"/>
    <n v="6"/>
    <x v="0"/>
  </r>
  <r>
    <n v="11007"/>
    <n v="1968"/>
    <x v="1"/>
    <x v="1"/>
    <x v="2"/>
    <n v="29187"/>
    <x v="3"/>
    <n v="1"/>
    <n v="0"/>
    <x v="2"/>
    <x v="252"/>
    <n v="43"/>
    <x v="1"/>
    <n v="0"/>
    <n v="26"/>
    <n v="0"/>
    <n v="6"/>
    <n v="0"/>
    <n v="0"/>
    <n v="2"/>
    <n v="34"/>
    <n v="1"/>
    <n v="1"/>
    <n v="0"/>
    <n v="3"/>
    <n v="4"/>
    <n v="8"/>
    <x v="0"/>
  </r>
  <r>
    <n v="7426"/>
    <n v="1971"/>
    <x v="1"/>
    <x v="2"/>
    <x v="2"/>
    <n v="54690"/>
    <x v="0"/>
    <n v="1"/>
    <n v="1"/>
    <x v="1"/>
    <x v="251"/>
    <n v="76"/>
    <x v="0"/>
    <n v="0"/>
    <n v="111"/>
    <n v="16"/>
    <n v="37"/>
    <n v="7"/>
    <n v="9"/>
    <n v="18"/>
    <n v="198"/>
    <n v="3"/>
    <n v="3"/>
    <n v="1"/>
    <n v="5"/>
    <n v="9"/>
    <n v="3"/>
    <x v="0"/>
  </r>
  <r>
    <n v="9153"/>
    <n v="1964"/>
    <x v="1"/>
    <x v="1"/>
    <x v="2"/>
    <n v="59304"/>
    <x v="0"/>
    <n v="0"/>
    <n v="1"/>
    <x v="2"/>
    <x v="243"/>
    <n v="81"/>
    <x v="0"/>
    <n v="0"/>
    <n v="418"/>
    <n v="61"/>
    <n v="428"/>
    <n v="80"/>
    <n v="51"/>
    <n v="10"/>
    <n v="1048"/>
    <n v="3"/>
    <n v="7"/>
    <n v="8"/>
    <n v="10"/>
    <n v="25"/>
    <n v="5"/>
    <x v="0"/>
  </r>
  <r>
    <n v="10379"/>
    <n v="1962"/>
    <x v="0"/>
    <x v="2"/>
    <x v="0"/>
    <n v="59247"/>
    <x v="0"/>
    <n v="0"/>
    <n v="2"/>
    <x v="1"/>
    <x v="418"/>
    <n v="87"/>
    <x v="0"/>
    <n v="0"/>
    <n v="327"/>
    <n v="9"/>
    <n v="122"/>
    <n v="19"/>
    <n v="14"/>
    <n v="83"/>
    <n v="574"/>
    <n v="5"/>
    <n v="5"/>
    <n v="2"/>
    <n v="9"/>
    <n v="16"/>
    <n v="6"/>
    <x v="0"/>
  </r>
  <r>
    <n v="9204"/>
    <n v="1970"/>
    <x v="1"/>
    <x v="0"/>
    <x v="4"/>
    <n v="66731"/>
    <x v="0"/>
    <n v="0"/>
    <n v="1"/>
    <x v="2"/>
    <x v="144"/>
    <n v="33"/>
    <x v="1"/>
    <n v="0"/>
    <n v="371"/>
    <n v="159"/>
    <n v="194"/>
    <n v="58"/>
    <n v="106"/>
    <n v="141"/>
    <n v="1029"/>
    <n v="4"/>
    <n v="4"/>
    <n v="3"/>
    <n v="6"/>
    <n v="13"/>
    <n v="3"/>
    <x v="1"/>
  </r>
  <r>
    <n v="3197"/>
    <n v="1980"/>
    <x v="3"/>
    <x v="0"/>
    <x v="2"/>
    <n v="77353"/>
    <x v="2"/>
    <n v="0"/>
    <n v="1"/>
    <x v="2"/>
    <x v="419"/>
    <n v="38"/>
    <x v="1"/>
    <n v="0"/>
    <n v="275"/>
    <n v="59"/>
    <n v="107"/>
    <n v="69"/>
    <n v="101"/>
    <n v="59"/>
    <n v="670"/>
    <n v="2"/>
    <n v="6"/>
    <n v="4"/>
    <n v="8"/>
    <n v="18"/>
    <n v="4"/>
    <x v="1"/>
  </r>
  <r>
    <n v="6961"/>
    <n v="1974"/>
    <x v="3"/>
    <x v="0"/>
    <x v="2"/>
    <n v="26751"/>
    <x v="3"/>
    <n v="2"/>
    <n v="0"/>
    <x v="1"/>
    <x v="27"/>
    <n v="26"/>
    <x v="1"/>
    <n v="0"/>
    <n v="1"/>
    <n v="1"/>
    <n v="5"/>
    <n v="0"/>
    <n v="3"/>
    <n v="1"/>
    <n v="11"/>
    <n v="1"/>
    <n v="1"/>
    <n v="0"/>
    <n v="2"/>
    <n v="3"/>
    <n v="8"/>
    <x v="0"/>
  </r>
  <r>
    <n v="4673"/>
    <n v="1963"/>
    <x v="1"/>
    <x v="1"/>
    <x v="2"/>
    <n v="81300"/>
    <x v="2"/>
    <n v="0"/>
    <n v="1"/>
    <x v="2"/>
    <x v="420"/>
    <n v="17"/>
    <x v="1"/>
    <n v="0"/>
    <n v="1004"/>
    <n v="12"/>
    <n v="145"/>
    <n v="32"/>
    <n v="12"/>
    <n v="36"/>
    <n v="1241"/>
    <n v="3"/>
    <n v="10"/>
    <n v="3"/>
    <n v="5"/>
    <n v="18"/>
    <n v="5"/>
    <x v="1"/>
  </r>
  <r>
    <n v="9937"/>
    <n v="1979"/>
    <x v="3"/>
    <x v="0"/>
    <x v="0"/>
    <n v="70337"/>
    <x v="2"/>
    <n v="0"/>
    <n v="0"/>
    <x v="0"/>
    <x v="421"/>
    <n v="75"/>
    <x v="0"/>
    <n v="0"/>
    <n v="187"/>
    <n v="81"/>
    <n v="149"/>
    <n v="25"/>
    <n v="43"/>
    <n v="91"/>
    <n v="576"/>
    <n v="1"/>
    <n v="2"/>
    <n v="2"/>
    <n v="12"/>
    <n v="16"/>
    <n v="1"/>
    <x v="0"/>
  </r>
  <r>
    <n v="8779"/>
    <n v="1985"/>
    <x v="2"/>
    <x v="2"/>
    <x v="2"/>
    <n v="36145"/>
    <x v="1"/>
    <n v="1"/>
    <n v="0"/>
    <x v="2"/>
    <x v="376"/>
    <n v="13"/>
    <x v="1"/>
    <n v="0"/>
    <n v="56"/>
    <n v="4"/>
    <n v="76"/>
    <n v="17"/>
    <n v="1"/>
    <n v="18"/>
    <n v="172"/>
    <n v="4"/>
    <n v="4"/>
    <n v="1"/>
    <n v="3"/>
    <n v="8"/>
    <n v="9"/>
    <x v="0"/>
  </r>
  <r>
    <n v="9596"/>
    <n v="1980"/>
    <x v="3"/>
    <x v="1"/>
    <x v="0"/>
    <n v="65295"/>
    <x v="0"/>
    <n v="0"/>
    <n v="0"/>
    <x v="0"/>
    <x v="365"/>
    <n v="19"/>
    <x v="1"/>
    <n v="0"/>
    <n v="365"/>
    <n v="32"/>
    <n v="117"/>
    <n v="34"/>
    <n v="110"/>
    <n v="6"/>
    <n v="664"/>
    <n v="1"/>
    <n v="3"/>
    <n v="3"/>
    <n v="13"/>
    <n v="19"/>
    <n v="2"/>
    <x v="1"/>
  </r>
  <r>
    <n v="2891"/>
    <n v="1963"/>
    <x v="1"/>
    <x v="0"/>
    <x v="3"/>
    <n v="68118"/>
    <x v="0"/>
    <n v="0"/>
    <n v="1"/>
    <x v="2"/>
    <x v="422"/>
    <n v="51"/>
    <x v="0"/>
    <n v="0"/>
    <n v="595"/>
    <n v="23"/>
    <n v="123"/>
    <n v="10"/>
    <n v="23"/>
    <n v="154"/>
    <n v="928"/>
    <n v="2"/>
    <n v="8"/>
    <n v="9"/>
    <n v="4"/>
    <n v="21"/>
    <n v="6"/>
    <x v="0"/>
  </r>
  <r>
    <n v="4910"/>
    <n v="1967"/>
    <x v="1"/>
    <x v="0"/>
    <x v="3"/>
    <n v="68743"/>
    <x v="2"/>
    <n v="0"/>
    <n v="0"/>
    <x v="0"/>
    <x v="287"/>
    <n v="81"/>
    <x v="0"/>
    <n v="0"/>
    <n v="1132"/>
    <n v="134"/>
    <n v="384"/>
    <n v="175"/>
    <n v="134"/>
    <n v="115"/>
    <n v="2074"/>
    <n v="1"/>
    <n v="11"/>
    <n v="5"/>
    <n v="13"/>
    <n v="29"/>
    <n v="7"/>
    <x v="0"/>
  </r>
  <r>
    <n v="75"/>
    <n v="1982"/>
    <x v="3"/>
    <x v="2"/>
    <x v="1"/>
    <n v="41039"/>
    <x v="1"/>
    <n v="0"/>
    <n v="0"/>
    <x v="0"/>
    <x v="423"/>
    <n v="32"/>
    <x v="1"/>
    <n v="0"/>
    <n v="34"/>
    <n v="11"/>
    <n v="137"/>
    <n v="179"/>
    <n v="61"/>
    <n v="45"/>
    <n v="467"/>
    <n v="1"/>
    <n v="8"/>
    <n v="1"/>
    <n v="5"/>
    <n v="14"/>
    <n v="8"/>
    <x v="0"/>
  </r>
  <r>
    <n v="10120"/>
    <n v="1955"/>
    <x v="0"/>
    <x v="0"/>
    <x v="1"/>
    <n v="38946"/>
    <x v="1"/>
    <n v="0"/>
    <n v="1"/>
    <x v="2"/>
    <x v="424"/>
    <n v="84"/>
    <x v="0"/>
    <n v="0"/>
    <n v="116"/>
    <n v="6"/>
    <n v="82"/>
    <n v="6"/>
    <n v="6"/>
    <n v="41"/>
    <n v="257"/>
    <n v="2"/>
    <n v="3"/>
    <n v="1"/>
    <n v="6"/>
    <n v="10"/>
    <n v="5"/>
    <x v="0"/>
  </r>
  <r>
    <n v="6327"/>
    <n v="1967"/>
    <x v="1"/>
    <x v="0"/>
    <x v="1"/>
    <n v="65777"/>
    <x v="0"/>
    <n v="0"/>
    <n v="0"/>
    <x v="0"/>
    <x v="425"/>
    <n v="87"/>
    <x v="0"/>
    <n v="0"/>
    <n v="565"/>
    <n v="32"/>
    <n v="435"/>
    <n v="28"/>
    <n v="32"/>
    <n v="54"/>
    <n v="1146"/>
    <n v="1"/>
    <n v="2"/>
    <n v="8"/>
    <n v="6"/>
    <n v="16"/>
    <n v="1"/>
    <x v="0"/>
  </r>
  <r>
    <n v="10142"/>
    <n v="1976"/>
    <x v="3"/>
    <x v="1"/>
    <x v="3"/>
    <n v="66476"/>
    <x v="0"/>
    <n v="0"/>
    <n v="1"/>
    <x v="2"/>
    <x v="230"/>
    <n v="99"/>
    <x v="0"/>
    <n v="0"/>
    <n v="372"/>
    <n v="18"/>
    <n v="126"/>
    <n v="47"/>
    <n v="48"/>
    <n v="78"/>
    <n v="689"/>
    <n v="2"/>
    <n v="5"/>
    <n v="2"/>
    <n v="11"/>
    <n v="18"/>
    <n v="4"/>
    <x v="0"/>
  </r>
  <r>
    <n v="9826"/>
    <n v="1972"/>
    <x v="1"/>
    <x v="1"/>
    <x v="0"/>
    <n v="86857"/>
    <x v="2"/>
    <n v="0"/>
    <n v="0"/>
    <x v="0"/>
    <x v="144"/>
    <n v="96"/>
    <x v="0"/>
    <n v="0"/>
    <n v="899"/>
    <n v="102"/>
    <n v="838"/>
    <n v="133"/>
    <n v="102"/>
    <n v="40"/>
    <n v="2114"/>
    <n v="1"/>
    <n v="5"/>
    <n v="6"/>
    <n v="10"/>
    <n v="21"/>
    <n v="2"/>
    <x v="0"/>
  </r>
  <r>
    <n v="1501"/>
    <n v="1982"/>
    <x v="3"/>
    <x v="1"/>
    <x v="2"/>
    <n v="160803"/>
    <x v="2"/>
    <n v="0"/>
    <n v="0"/>
    <x v="0"/>
    <x v="332"/>
    <n v="21"/>
    <x v="1"/>
    <n v="0"/>
    <n v="55"/>
    <n v="16"/>
    <n v="1622"/>
    <n v="17"/>
    <n v="3"/>
    <n v="4"/>
    <n v="1717"/>
    <n v="15"/>
    <n v="0"/>
    <n v="28"/>
    <n v="1"/>
    <n v="29"/>
    <n v="0"/>
    <x v="1"/>
  </r>
  <r>
    <n v="10767"/>
    <n v="1989"/>
    <x v="2"/>
    <x v="1"/>
    <x v="1"/>
    <n v="77845"/>
    <x v="2"/>
    <n v="0"/>
    <n v="0"/>
    <x v="0"/>
    <x v="426"/>
    <n v="40"/>
    <x v="1"/>
    <n v="0"/>
    <n v="760"/>
    <n v="40"/>
    <n v="480"/>
    <n v="0"/>
    <n v="40"/>
    <n v="26"/>
    <n v="1346"/>
    <n v="1"/>
    <n v="3"/>
    <n v="5"/>
    <n v="12"/>
    <n v="20"/>
    <n v="1"/>
    <x v="1"/>
  </r>
  <r>
    <n v="7279"/>
    <n v="1969"/>
    <x v="1"/>
    <x v="1"/>
    <x v="1"/>
    <n v="69476"/>
    <x v="2"/>
    <n v="0"/>
    <n v="0"/>
    <x v="0"/>
    <x v="111"/>
    <n v="3"/>
    <x v="1"/>
    <n v="0"/>
    <n v="260"/>
    <n v="86"/>
    <n v="559"/>
    <n v="63"/>
    <n v="9"/>
    <n v="67"/>
    <n v="1044"/>
    <n v="1"/>
    <n v="4"/>
    <n v="6"/>
    <n v="4"/>
    <n v="14"/>
    <n v="2"/>
    <x v="1"/>
  </r>
  <r>
    <n v="7230"/>
    <n v="1960"/>
    <x v="0"/>
    <x v="1"/>
    <x v="3"/>
    <n v="50611"/>
    <x v="1"/>
    <n v="0"/>
    <n v="1"/>
    <x v="2"/>
    <x v="427"/>
    <n v="98"/>
    <x v="0"/>
    <n v="0"/>
    <n v="459"/>
    <n v="0"/>
    <n v="24"/>
    <n v="6"/>
    <n v="0"/>
    <n v="4"/>
    <n v="493"/>
    <n v="6"/>
    <n v="4"/>
    <n v="5"/>
    <n v="7"/>
    <n v="16"/>
    <n v="6"/>
    <x v="0"/>
  </r>
  <r>
    <n v="143"/>
    <n v="1970"/>
    <x v="1"/>
    <x v="0"/>
    <x v="0"/>
    <n v="61209"/>
    <x v="0"/>
    <n v="0"/>
    <n v="0"/>
    <x v="0"/>
    <x v="428"/>
    <n v="73"/>
    <x v="0"/>
    <n v="0"/>
    <n v="466"/>
    <n v="0"/>
    <n v="224"/>
    <n v="119"/>
    <n v="49"/>
    <n v="99"/>
    <n v="957"/>
    <n v="1"/>
    <n v="5"/>
    <n v="3"/>
    <n v="4"/>
    <n v="12"/>
    <n v="2"/>
    <x v="0"/>
  </r>
  <r>
    <n v="450"/>
    <n v="1958"/>
    <x v="0"/>
    <x v="2"/>
    <x v="1"/>
    <n v="42315"/>
    <x v="1"/>
    <n v="0"/>
    <n v="1"/>
    <x v="2"/>
    <x v="222"/>
    <n v="90"/>
    <x v="0"/>
    <n v="0"/>
    <n v="67"/>
    <n v="15"/>
    <n v="80"/>
    <n v="17"/>
    <n v="11"/>
    <n v="80"/>
    <n v="270"/>
    <n v="3"/>
    <n v="1"/>
    <n v="4"/>
    <n v="4"/>
    <n v="9"/>
    <n v="3"/>
    <x v="0"/>
  </r>
  <r>
    <n v="9316"/>
    <n v="1952"/>
    <x v="4"/>
    <x v="3"/>
    <x v="1"/>
    <n v="13084"/>
    <x v="3"/>
    <n v="0"/>
    <n v="0"/>
    <x v="0"/>
    <x v="97"/>
    <n v="29"/>
    <x v="1"/>
    <n v="0"/>
    <n v="2"/>
    <n v="0"/>
    <n v="7"/>
    <n v="3"/>
    <n v="7"/>
    <n v="10"/>
    <n v="29"/>
    <n v="1"/>
    <n v="1"/>
    <n v="0"/>
    <n v="3"/>
    <n v="4"/>
    <n v="6"/>
    <x v="0"/>
  </r>
  <r>
    <n v="6379"/>
    <n v="1949"/>
    <x v="4"/>
    <x v="2"/>
    <x v="4"/>
    <n v="47570"/>
    <x v="1"/>
    <n v="1"/>
    <n v="1"/>
    <x v="1"/>
    <x v="429"/>
    <n v="3"/>
    <x v="1"/>
    <n v="0"/>
    <n v="67"/>
    <n v="1"/>
    <n v="20"/>
    <n v="0"/>
    <n v="2"/>
    <n v="31"/>
    <n v="121"/>
    <n v="3"/>
    <n v="2"/>
    <n v="2"/>
    <n v="2"/>
    <n v="6"/>
    <n v="7"/>
    <x v="0"/>
  </r>
  <r>
    <n v="9239"/>
    <n v="1961"/>
    <x v="0"/>
    <x v="2"/>
    <x v="2"/>
    <n v="61923"/>
    <x v="0"/>
    <n v="0"/>
    <n v="2"/>
    <x v="1"/>
    <x v="396"/>
    <n v="94"/>
    <x v="0"/>
    <n v="0"/>
    <n v="92"/>
    <n v="4"/>
    <n v="18"/>
    <n v="3"/>
    <n v="3"/>
    <n v="6"/>
    <n v="126"/>
    <n v="1"/>
    <n v="2"/>
    <n v="1"/>
    <n v="4"/>
    <n v="7"/>
    <n v="3"/>
    <x v="0"/>
  </r>
  <r>
    <n v="8315"/>
    <n v="1995"/>
    <x v="2"/>
    <x v="0"/>
    <x v="0"/>
    <n v="34824"/>
    <x v="3"/>
    <n v="0"/>
    <n v="0"/>
    <x v="0"/>
    <x v="430"/>
    <n v="65"/>
    <x v="0"/>
    <n v="0"/>
    <n v="4"/>
    <n v="2"/>
    <n v="11"/>
    <n v="2"/>
    <n v="0"/>
    <n v="4"/>
    <n v="23"/>
    <n v="1"/>
    <n v="1"/>
    <n v="0"/>
    <n v="2"/>
    <n v="3"/>
    <n v="6"/>
    <x v="0"/>
  </r>
  <r>
    <n v="2868"/>
    <n v="1949"/>
    <x v="4"/>
    <x v="1"/>
    <x v="0"/>
    <n v="26518"/>
    <x v="3"/>
    <n v="1"/>
    <n v="1"/>
    <x v="1"/>
    <x v="62"/>
    <n v="33"/>
    <x v="1"/>
    <n v="0"/>
    <n v="20"/>
    <n v="1"/>
    <n v="28"/>
    <n v="3"/>
    <n v="3"/>
    <n v="2"/>
    <n v="57"/>
    <n v="3"/>
    <n v="2"/>
    <n v="0"/>
    <n v="3"/>
    <n v="5"/>
    <n v="8"/>
    <x v="0"/>
  </r>
  <r>
    <n v="10888"/>
    <n v="1961"/>
    <x v="0"/>
    <x v="0"/>
    <x v="0"/>
    <n v="45938"/>
    <x v="1"/>
    <n v="0"/>
    <n v="0"/>
    <x v="0"/>
    <x v="358"/>
    <n v="46"/>
    <x v="1"/>
    <n v="0"/>
    <n v="273"/>
    <n v="11"/>
    <n v="178"/>
    <n v="62"/>
    <n v="83"/>
    <n v="29"/>
    <n v="636"/>
    <n v="2"/>
    <n v="8"/>
    <n v="4"/>
    <n v="6"/>
    <n v="18"/>
    <n v="6"/>
    <x v="0"/>
  </r>
  <r>
    <n v="1277"/>
    <n v="1960"/>
    <x v="0"/>
    <x v="0"/>
    <x v="1"/>
    <n v="78468"/>
    <x v="2"/>
    <n v="0"/>
    <n v="0"/>
    <x v="0"/>
    <x v="431"/>
    <n v="29"/>
    <x v="1"/>
    <n v="0"/>
    <n v="434"/>
    <n v="22"/>
    <n v="388"/>
    <n v="104"/>
    <n v="22"/>
    <n v="34"/>
    <n v="1004"/>
    <n v="1"/>
    <n v="10"/>
    <n v="7"/>
    <n v="10"/>
    <n v="27"/>
    <n v="4"/>
    <x v="1"/>
  </r>
  <r>
    <n v="9977"/>
    <n v="1973"/>
    <x v="3"/>
    <x v="0"/>
    <x v="3"/>
    <n v="78901"/>
    <x v="2"/>
    <n v="0"/>
    <n v="1"/>
    <x v="2"/>
    <x v="390"/>
    <n v="99"/>
    <x v="0"/>
    <n v="0"/>
    <n v="321"/>
    <n v="11"/>
    <n v="309"/>
    <n v="33"/>
    <n v="26"/>
    <n v="34"/>
    <n v="734"/>
    <n v="3"/>
    <n v="9"/>
    <n v="3"/>
    <n v="5"/>
    <n v="17"/>
    <n v="4"/>
    <x v="0"/>
  </r>
  <r>
    <n v="10196"/>
    <n v="1978"/>
    <x v="3"/>
    <x v="0"/>
    <x v="2"/>
    <n v="71427"/>
    <x v="2"/>
    <n v="2"/>
    <n v="0"/>
    <x v="1"/>
    <x v="432"/>
    <n v="26"/>
    <x v="1"/>
    <n v="0"/>
    <n v="212"/>
    <n v="123"/>
    <n v="177"/>
    <n v="15"/>
    <n v="64"/>
    <n v="23"/>
    <n v="614"/>
    <n v="2"/>
    <n v="8"/>
    <n v="2"/>
    <n v="8"/>
    <n v="18"/>
    <n v="4"/>
    <x v="1"/>
  </r>
  <r>
    <n v="6384"/>
    <n v="1978"/>
    <x v="3"/>
    <x v="0"/>
    <x v="3"/>
    <n v="71022"/>
    <x v="2"/>
    <n v="0"/>
    <n v="1"/>
    <x v="2"/>
    <x v="33"/>
    <n v="30"/>
    <x v="1"/>
    <n v="0"/>
    <n v="909"/>
    <n v="12"/>
    <n v="278"/>
    <n v="0"/>
    <n v="12"/>
    <n v="242"/>
    <n v="1453"/>
    <n v="3"/>
    <n v="5"/>
    <n v="2"/>
    <n v="11"/>
    <n v="18"/>
    <n v="8"/>
    <x v="1"/>
  </r>
  <r>
    <n v="8029"/>
    <n v="1988"/>
    <x v="2"/>
    <x v="2"/>
    <x v="0"/>
    <n v="90247"/>
    <x v="2"/>
    <n v="0"/>
    <n v="0"/>
    <x v="0"/>
    <x v="433"/>
    <n v="27"/>
    <x v="1"/>
    <n v="0"/>
    <n v="1184"/>
    <n v="32"/>
    <n v="352"/>
    <n v="21"/>
    <n v="16"/>
    <n v="16"/>
    <n v="1621"/>
    <n v="1"/>
    <n v="3"/>
    <n v="4"/>
    <n v="7"/>
    <n v="14"/>
    <n v="1"/>
    <x v="1"/>
  </r>
  <r>
    <n v="968"/>
    <n v="1968"/>
    <x v="1"/>
    <x v="2"/>
    <x v="3"/>
    <n v="41335"/>
    <x v="1"/>
    <n v="1"/>
    <n v="0"/>
    <x v="2"/>
    <x v="192"/>
    <n v="24"/>
    <x v="1"/>
    <n v="0"/>
    <n v="112"/>
    <n v="19"/>
    <n v="21"/>
    <n v="16"/>
    <n v="14"/>
    <n v="5"/>
    <n v="187"/>
    <n v="3"/>
    <n v="4"/>
    <n v="1"/>
    <n v="4"/>
    <n v="9"/>
    <n v="7"/>
    <x v="0"/>
  </r>
  <r>
    <n v="4472"/>
    <n v="1970"/>
    <x v="1"/>
    <x v="1"/>
    <x v="3"/>
    <n v="35682"/>
    <x v="1"/>
    <n v="1"/>
    <n v="0"/>
    <x v="2"/>
    <x v="434"/>
    <n v="34"/>
    <x v="1"/>
    <n v="0"/>
    <n v="23"/>
    <n v="0"/>
    <n v="8"/>
    <n v="6"/>
    <n v="2"/>
    <n v="18"/>
    <n v="57"/>
    <n v="1"/>
    <n v="1"/>
    <n v="1"/>
    <n v="3"/>
    <n v="5"/>
    <n v="2"/>
    <x v="0"/>
  </r>
  <r>
    <n v="6991"/>
    <n v="1951"/>
    <x v="4"/>
    <x v="0"/>
    <x v="3"/>
    <n v="43185"/>
    <x v="1"/>
    <n v="0"/>
    <n v="1"/>
    <x v="2"/>
    <x v="435"/>
    <n v="88"/>
    <x v="0"/>
    <n v="0"/>
    <n v="537"/>
    <n v="6"/>
    <n v="42"/>
    <n v="16"/>
    <n v="6"/>
    <n v="30"/>
    <n v="637"/>
    <n v="2"/>
    <n v="9"/>
    <n v="3"/>
    <n v="6"/>
    <n v="18"/>
    <n v="8"/>
    <x v="0"/>
  </r>
  <r>
    <n v="3336"/>
    <n v="1948"/>
    <x v="4"/>
    <x v="1"/>
    <x v="1"/>
    <n v="66375"/>
    <x v="0"/>
    <n v="0"/>
    <n v="1"/>
    <x v="2"/>
    <x v="436"/>
    <n v="96"/>
    <x v="0"/>
    <n v="0"/>
    <n v="712"/>
    <n v="0"/>
    <n v="45"/>
    <n v="0"/>
    <n v="0"/>
    <n v="191"/>
    <n v="948"/>
    <n v="3"/>
    <n v="2"/>
    <n v="4"/>
    <n v="5"/>
    <n v="11"/>
    <n v="7"/>
    <x v="0"/>
  </r>
  <r>
    <n v="1940"/>
    <n v="1986"/>
    <x v="2"/>
    <x v="0"/>
    <x v="2"/>
    <n v="25252"/>
    <x v="3"/>
    <n v="1"/>
    <n v="0"/>
    <x v="2"/>
    <x v="222"/>
    <n v="26"/>
    <x v="1"/>
    <n v="0"/>
    <n v="1"/>
    <n v="3"/>
    <n v="4"/>
    <n v="2"/>
    <n v="2"/>
    <n v="6"/>
    <n v="18"/>
    <n v="1"/>
    <n v="1"/>
    <n v="0"/>
    <n v="2"/>
    <n v="3"/>
    <n v="8"/>
    <x v="0"/>
  </r>
  <r>
    <n v="1272"/>
    <n v="1965"/>
    <x v="1"/>
    <x v="2"/>
    <x v="0"/>
    <n v="55250"/>
    <x v="0"/>
    <n v="0"/>
    <n v="1"/>
    <x v="2"/>
    <x v="437"/>
    <n v="49"/>
    <x v="0"/>
    <n v="0"/>
    <n v="664"/>
    <n v="58"/>
    <n v="83"/>
    <n v="32"/>
    <n v="0"/>
    <n v="66"/>
    <n v="903"/>
    <n v="4"/>
    <n v="7"/>
    <n v="5"/>
    <n v="10"/>
    <n v="22"/>
    <n v="5"/>
    <x v="0"/>
  </r>
  <r>
    <n v="1388"/>
    <n v="1975"/>
    <x v="3"/>
    <x v="0"/>
    <x v="0"/>
    <n v="33249"/>
    <x v="3"/>
    <n v="1"/>
    <n v="0"/>
    <x v="2"/>
    <x v="24"/>
    <n v="11"/>
    <x v="1"/>
    <n v="0"/>
    <n v="6"/>
    <n v="10"/>
    <n v="21"/>
    <n v="19"/>
    <n v="14"/>
    <n v="42"/>
    <n v="112"/>
    <n v="2"/>
    <n v="2"/>
    <n v="1"/>
    <n v="3"/>
    <n v="6"/>
    <n v="6"/>
    <x v="0"/>
  </r>
  <r>
    <n v="1044"/>
    <n v="1953"/>
    <x v="0"/>
    <x v="0"/>
    <x v="1"/>
    <n v="58398"/>
    <x v="0"/>
    <n v="0"/>
    <n v="0"/>
    <x v="0"/>
    <x v="438"/>
    <n v="44"/>
    <x v="1"/>
    <n v="0"/>
    <n v="299"/>
    <n v="5"/>
    <n v="201"/>
    <n v="21"/>
    <n v="21"/>
    <n v="49"/>
    <n v="596"/>
    <n v="3"/>
    <n v="5"/>
    <n v="4"/>
    <n v="8"/>
    <n v="17"/>
    <n v="4"/>
    <x v="0"/>
  </r>
  <r>
    <n v="6969"/>
    <n v="1982"/>
    <x v="3"/>
    <x v="0"/>
    <x v="1"/>
    <n v="50272"/>
    <x v="1"/>
    <n v="1"/>
    <n v="0"/>
    <x v="2"/>
    <x v="367"/>
    <n v="75"/>
    <x v="0"/>
    <n v="0"/>
    <n v="99"/>
    <n v="13"/>
    <n v="66"/>
    <n v="43"/>
    <n v="8"/>
    <n v="4"/>
    <n v="233"/>
    <n v="3"/>
    <n v="4"/>
    <n v="1"/>
    <n v="5"/>
    <n v="10"/>
    <n v="7"/>
    <x v="0"/>
  </r>
  <r>
    <n v="10479"/>
    <n v="1975"/>
    <x v="3"/>
    <x v="1"/>
    <x v="2"/>
    <n v="76618"/>
    <x v="2"/>
    <n v="0"/>
    <n v="0"/>
    <x v="0"/>
    <x v="96"/>
    <n v="64"/>
    <x v="0"/>
    <n v="0"/>
    <n v="749"/>
    <n v="40"/>
    <n v="294"/>
    <n v="121"/>
    <n v="160"/>
    <n v="147"/>
    <n v="1511"/>
    <n v="1"/>
    <n v="3"/>
    <n v="2"/>
    <n v="5"/>
    <n v="10"/>
    <n v="1"/>
    <x v="0"/>
  </r>
  <r>
    <n v="3619"/>
    <n v="1960"/>
    <x v="0"/>
    <x v="2"/>
    <x v="3"/>
    <n v="87305"/>
    <x v="2"/>
    <n v="0"/>
    <n v="0"/>
    <x v="0"/>
    <x v="385"/>
    <n v="19"/>
    <x v="1"/>
    <n v="0"/>
    <n v="345"/>
    <n v="25"/>
    <n v="501"/>
    <n v="63"/>
    <n v="138"/>
    <n v="80"/>
    <n v="1152"/>
    <n v="1"/>
    <n v="5"/>
    <n v="3"/>
    <n v="8"/>
    <n v="16"/>
    <n v="2"/>
    <x v="1"/>
  </r>
  <r>
    <n v="1715"/>
    <n v="1978"/>
    <x v="3"/>
    <x v="0"/>
    <x v="1"/>
    <n v="25851"/>
    <x v="3"/>
    <n v="1"/>
    <n v="0"/>
    <x v="2"/>
    <x v="220"/>
    <n v="45"/>
    <x v="1"/>
    <n v="0"/>
    <n v="9"/>
    <n v="4"/>
    <n v="18"/>
    <n v="7"/>
    <n v="5"/>
    <n v="5"/>
    <n v="48"/>
    <n v="2"/>
    <n v="2"/>
    <n v="0"/>
    <n v="3"/>
    <n v="5"/>
    <n v="7"/>
    <x v="0"/>
  </r>
  <r>
    <n v="10159"/>
    <n v="1970"/>
    <x v="1"/>
    <x v="0"/>
    <x v="3"/>
    <n v="58710"/>
    <x v="0"/>
    <n v="0"/>
    <n v="1"/>
    <x v="2"/>
    <x v="170"/>
    <n v="77"/>
    <x v="0"/>
    <n v="0"/>
    <n v="440"/>
    <n v="81"/>
    <n v="368"/>
    <n v="0"/>
    <n v="122"/>
    <n v="174"/>
    <n v="1185"/>
    <n v="6"/>
    <n v="11"/>
    <n v="5"/>
    <n v="9"/>
    <n v="25"/>
    <n v="6"/>
    <x v="0"/>
  </r>
  <r>
    <n v="1463"/>
    <n v="1958"/>
    <x v="0"/>
    <x v="0"/>
    <x v="0"/>
    <n v="45160"/>
    <x v="1"/>
    <n v="1"/>
    <n v="1"/>
    <x v="1"/>
    <x v="370"/>
    <n v="9"/>
    <x v="1"/>
    <n v="0"/>
    <n v="8"/>
    <n v="2"/>
    <n v="5"/>
    <n v="3"/>
    <n v="0"/>
    <n v="3"/>
    <n v="21"/>
    <n v="1"/>
    <n v="1"/>
    <n v="0"/>
    <n v="2"/>
    <n v="3"/>
    <n v="7"/>
    <x v="0"/>
  </r>
  <r>
    <n v="5114"/>
    <n v="1965"/>
    <x v="1"/>
    <x v="2"/>
    <x v="2"/>
    <n v="74806"/>
    <x v="2"/>
    <n v="0"/>
    <n v="1"/>
    <x v="2"/>
    <x v="68"/>
    <n v="1"/>
    <x v="1"/>
    <n v="0"/>
    <n v="670"/>
    <n v="9"/>
    <n v="249"/>
    <n v="0"/>
    <n v="28"/>
    <n v="9"/>
    <n v="965"/>
    <n v="2"/>
    <n v="5"/>
    <n v="4"/>
    <n v="5"/>
    <n v="14"/>
    <n v="4"/>
    <x v="1"/>
  </r>
  <r>
    <n v="4990"/>
    <n v="1954"/>
    <x v="0"/>
    <x v="0"/>
    <x v="2"/>
    <n v="59111"/>
    <x v="0"/>
    <n v="0"/>
    <n v="0"/>
    <x v="0"/>
    <x v="319"/>
    <n v="90"/>
    <x v="0"/>
    <n v="0"/>
    <n v="524"/>
    <n v="0"/>
    <n v="134"/>
    <n v="28"/>
    <n v="28"/>
    <n v="155"/>
    <n v="869"/>
    <n v="1"/>
    <n v="11"/>
    <n v="1"/>
    <n v="8"/>
    <n v="20"/>
    <n v="7"/>
    <x v="0"/>
  </r>
  <r>
    <n v="4329"/>
    <n v="1984"/>
    <x v="2"/>
    <x v="1"/>
    <x v="2"/>
    <n v="18988"/>
    <x v="3"/>
    <n v="1"/>
    <n v="0"/>
    <x v="2"/>
    <x v="146"/>
    <n v="43"/>
    <x v="1"/>
    <n v="0"/>
    <n v="6"/>
    <n v="0"/>
    <n v="6"/>
    <n v="2"/>
    <n v="1"/>
    <n v="1"/>
    <n v="16"/>
    <n v="2"/>
    <n v="1"/>
    <n v="0"/>
    <n v="3"/>
    <n v="4"/>
    <n v="7"/>
    <x v="0"/>
  </r>
  <r>
    <n v="10936"/>
    <n v="1965"/>
    <x v="1"/>
    <x v="0"/>
    <x v="2"/>
    <n v="72190"/>
    <x v="2"/>
    <n v="0"/>
    <n v="0"/>
    <x v="0"/>
    <x v="253"/>
    <n v="79"/>
    <x v="0"/>
    <n v="0"/>
    <n v="597"/>
    <n v="166"/>
    <n v="597"/>
    <n v="172"/>
    <n v="166"/>
    <n v="249"/>
    <n v="1947"/>
    <n v="1"/>
    <n v="5"/>
    <n v="6"/>
    <n v="4"/>
    <n v="15"/>
    <n v="3"/>
    <x v="0"/>
  </r>
  <r>
    <n v="4692"/>
    <n v="1976"/>
    <x v="3"/>
    <x v="0"/>
    <x v="2"/>
    <n v="7500"/>
    <x v="3"/>
    <n v="1"/>
    <n v="0"/>
    <x v="2"/>
    <x v="439"/>
    <n v="19"/>
    <x v="1"/>
    <n v="0"/>
    <n v="7"/>
    <n v="0"/>
    <n v="12"/>
    <n v="13"/>
    <n v="7"/>
    <n v="32"/>
    <n v="71"/>
    <n v="5"/>
    <n v="4"/>
    <n v="1"/>
    <n v="2"/>
    <n v="7"/>
    <n v="9"/>
    <x v="0"/>
  </r>
  <r>
    <n v="6086"/>
    <n v="1955"/>
    <x v="0"/>
    <x v="0"/>
    <x v="2"/>
    <n v="80395"/>
    <x v="2"/>
    <n v="0"/>
    <n v="0"/>
    <x v="0"/>
    <x v="81"/>
    <n v="62"/>
    <x v="0"/>
    <n v="0"/>
    <n v="445"/>
    <n v="25"/>
    <n v="706"/>
    <n v="80"/>
    <n v="76"/>
    <n v="48"/>
    <n v="1380"/>
    <n v="1"/>
    <n v="6"/>
    <n v="5"/>
    <n v="12"/>
    <n v="23"/>
    <n v="2"/>
    <x v="0"/>
  </r>
  <r>
    <n v="437"/>
    <n v="1976"/>
    <x v="3"/>
    <x v="2"/>
    <x v="3"/>
    <n v="75012"/>
    <x v="2"/>
    <n v="0"/>
    <n v="0"/>
    <x v="0"/>
    <x v="440"/>
    <n v="41"/>
    <x v="1"/>
    <n v="0"/>
    <n v="294"/>
    <n v="142"/>
    <n v="218"/>
    <n v="164"/>
    <n v="58"/>
    <n v="151"/>
    <n v="1027"/>
    <n v="1"/>
    <n v="3"/>
    <n v="8"/>
    <n v="11"/>
    <n v="22"/>
    <n v="1"/>
    <x v="1"/>
  </r>
  <r>
    <n v="11171"/>
    <n v="1965"/>
    <x v="1"/>
    <x v="2"/>
    <x v="2"/>
    <n v="56962"/>
    <x v="0"/>
    <n v="2"/>
    <n v="1"/>
    <x v="3"/>
    <x v="441"/>
    <n v="60"/>
    <x v="0"/>
    <n v="0"/>
    <n v="292"/>
    <n v="3"/>
    <n v="77"/>
    <n v="10"/>
    <n v="3"/>
    <n v="26"/>
    <n v="411"/>
    <n v="7"/>
    <n v="6"/>
    <n v="3"/>
    <n v="5"/>
    <n v="14"/>
    <n v="7"/>
    <x v="0"/>
  </r>
  <r>
    <n v="11101"/>
    <n v="1991"/>
    <x v="2"/>
    <x v="0"/>
    <x v="1"/>
    <n v="89891"/>
    <x v="2"/>
    <n v="0"/>
    <n v="0"/>
    <x v="0"/>
    <x v="382"/>
    <n v="17"/>
    <x v="1"/>
    <n v="0"/>
    <n v="412"/>
    <n v="22"/>
    <n v="132"/>
    <n v="59"/>
    <n v="28"/>
    <n v="183"/>
    <n v="836"/>
    <n v="1"/>
    <n v="11"/>
    <n v="6"/>
    <n v="8"/>
    <n v="25"/>
    <n v="4"/>
    <x v="1"/>
  </r>
  <r>
    <n v="5329"/>
    <n v="1949"/>
    <x v="4"/>
    <x v="1"/>
    <x v="3"/>
    <n v="35946"/>
    <x v="1"/>
    <n v="1"/>
    <n v="1"/>
    <x v="1"/>
    <x v="61"/>
    <n v="24"/>
    <x v="1"/>
    <n v="0"/>
    <n v="8"/>
    <n v="0"/>
    <n v="3"/>
    <n v="0"/>
    <n v="0"/>
    <n v="0"/>
    <n v="11"/>
    <n v="1"/>
    <n v="0"/>
    <n v="0"/>
    <n v="3"/>
    <n v="3"/>
    <n v="5"/>
    <x v="0"/>
  </r>
  <r>
    <n v="610"/>
    <n v="1953"/>
    <x v="0"/>
    <x v="1"/>
    <x v="1"/>
    <n v="53593"/>
    <x v="0"/>
    <n v="1"/>
    <n v="1"/>
    <x v="1"/>
    <x v="442"/>
    <n v="60"/>
    <x v="0"/>
    <n v="0"/>
    <n v="349"/>
    <n v="4"/>
    <n v="78"/>
    <n v="6"/>
    <n v="0"/>
    <n v="43"/>
    <n v="480"/>
    <n v="8"/>
    <n v="7"/>
    <n v="2"/>
    <n v="6"/>
    <n v="15"/>
    <n v="8"/>
    <x v="0"/>
  </r>
  <r>
    <n v="5956"/>
    <n v="1948"/>
    <x v="4"/>
    <x v="1"/>
    <x v="3"/>
    <n v="45072"/>
    <x v="1"/>
    <n v="1"/>
    <n v="2"/>
    <x v="3"/>
    <x v="286"/>
    <n v="74"/>
    <x v="0"/>
    <n v="0"/>
    <n v="144"/>
    <n v="2"/>
    <n v="99"/>
    <n v="7"/>
    <n v="2"/>
    <n v="30"/>
    <n v="284"/>
    <n v="5"/>
    <n v="6"/>
    <n v="1"/>
    <n v="4"/>
    <n v="11"/>
    <n v="8"/>
    <x v="0"/>
  </r>
  <r>
    <n v="10430"/>
    <n v="1973"/>
    <x v="3"/>
    <x v="0"/>
    <x v="3"/>
    <n v="89694"/>
    <x v="2"/>
    <n v="1"/>
    <n v="1"/>
    <x v="1"/>
    <x v="316"/>
    <n v="22"/>
    <x v="1"/>
    <n v="0"/>
    <n v="1126"/>
    <n v="28"/>
    <n v="211"/>
    <n v="37"/>
    <n v="28"/>
    <n v="42"/>
    <n v="1472"/>
    <n v="3"/>
    <n v="4"/>
    <n v="3"/>
    <n v="4"/>
    <n v="11"/>
    <n v="5"/>
    <x v="0"/>
  </r>
  <r>
    <n v="7875"/>
    <n v="1949"/>
    <x v="4"/>
    <x v="0"/>
    <x v="2"/>
    <n v="72025"/>
    <x v="2"/>
    <n v="0"/>
    <n v="0"/>
    <x v="0"/>
    <x v="433"/>
    <n v="46"/>
    <x v="1"/>
    <n v="0"/>
    <n v="967"/>
    <n v="0"/>
    <n v="617"/>
    <n v="43"/>
    <n v="50"/>
    <n v="0"/>
    <n v="1677"/>
    <n v="1"/>
    <n v="4"/>
    <n v="8"/>
    <n v="13"/>
    <n v="25"/>
    <n v="2"/>
    <x v="1"/>
  </r>
  <r>
    <n v="7072"/>
    <n v="1973"/>
    <x v="3"/>
    <x v="0"/>
    <x v="2"/>
    <n v="67432"/>
    <x v="0"/>
    <n v="0"/>
    <n v="1"/>
    <x v="2"/>
    <x v="443"/>
    <n v="69"/>
    <x v="0"/>
    <n v="0"/>
    <n v="432"/>
    <n v="79"/>
    <n v="341"/>
    <n v="177"/>
    <n v="136"/>
    <n v="170"/>
    <n v="1335"/>
    <n v="2"/>
    <n v="8"/>
    <n v="5"/>
    <n v="4"/>
    <n v="17"/>
    <n v="4"/>
    <x v="0"/>
  </r>
  <r>
    <n v="6255"/>
    <n v="1952"/>
    <x v="4"/>
    <x v="2"/>
    <x v="1"/>
    <n v="70545"/>
    <x v="2"/>
    <n v="0"/>
    <n v="1"/>
    <x v="2"/>
    <x v="444"/>
    <n v="29"/>
    <x v="1"/>
    <n v="0"/>
    <n v="138"/>
    <n v="39"/>
    <n v="63"/>
    <n v="55"/>
    <n v="18"/>
    <n v="21"/>
    <n v="334"/>
    <n v="1"/>
    <n v="4"/>
    <n v="1"/>
    <n v="7"/>
    <n v="12"/>
    <n v="2"/>
    <x v="0"/>
  </r>
  <r>
    <n v="6516"/>
    <n v="1989"/>
    <x v="2"/>
    <x v="3"/>
    <x v="2"/>
    <n v="17487"/>
    <x v="3"/>
    <n v="1"/>
    <n v="0"/>
    <x v="2"/>
    <x v="21"/>
    <n v="37"/>
    <x v="1"/>
    <n v="0"/>
    <n v="0"/>
    <n v="0"/>
    <n v="1"/>
    <n v="7"/>
    <n v="4"/>
    <n v="6"/>
    <n v="18"/>
    <n v="1"/>
    <n v="1"/>
    <n v="0"/>
    <n v="2"/>
    <n v="3"/>
    <n v="7"/>
    <x v="0"/>
  </r>
  <r>
    <n v="5564"/>
    <n v="1969"/>
    <x v="1"/>
    <x v="0"/>
    <x v="1"/>
    <n v="62882"/>
    <x v="0"/>
    <n v="0"/>
    <n v="1"/>
    <x v="2"/>
    <x v="445"/>
    <n v="26"/>
    <x v="1"/>
    <n v="0"/>
    <n v="509"/>
    <n v="133"/>
    <n v="497"/>
    <n v="78"/>
    <n v="24"/>
    <n v="97"/>
    <n v="1338"/>
    <n v="2"/>
    <n v="7"/>
    <n v="5"/>
    <n v="6"/>
    <n v="18"/>
    <n v="4"/>
    <x v="1"/>
  </r>
  <r>
    <n v="5682"/>
    <n v="1953"/>
    <x v="0"/>
    <x v="1"/>
    <x v="0"/>
    <n v="64108"/>
    <x v="0"/>
    <n v="0"/>
    <n v="1"/>
    <x v="2"/>
    <x v="189"/>
    <n v="8"/>
    <x v="1"/>
    <n v="0"/>
    <n v="948"/>
    <n v="10"/>
    <n v="86"/>
    <n v="13"/>
    <n v="21"/>
    <n v="21"/>
    <n v="1099"/>
    <n v="4"/>
    <n v="6"/>
    <n v="9"/>
    <n v="11"/>
    <n v="26"/>
    <n v="5"/>
    <x v="1"/>
  </r>
  <r>
    <n v="7458"/>
    <n v="1956"/>
    <x v="0"/>
    <x v="2"/>
    <x v="1"/>
    <n v="34941"/>
    <x v="3"/>
    <n v="1"/>
    <n v="1"/>
    <x v="1"/>
    <x v="446"/>
    <n v="26"/>
    <x v="1"/>
    <n v="0"/>
    <n v="39"/>
    <n v="2"/>
    <n v="25"/>
    <n v="4"/>
    <n v="3"/>
    <n v="24"/>
    <n v="97"/>
    <n v="2"/>
    <n v="3"/>
    <n v="0"/>
    <n v="3"/>
    <n v="6"/>
    <n v="8"/>
    <x v="0"/>
  </r>
  <r>
    <n v="5237"/>
    <n v="1950"/>
    <x v="4"/>
    <x v="1"/>
    <x v="0"/>
    <n v="48767"/>
    <x v="1"/>
    <n v="1"/>
    <n v="2"/>
    <x v="3"/>
    <x v="42"/>
    <n v="79"/>
    <x v="0"/>
    <n v="0"/>
    <n v="28"/>
    <n v="1"/>
    <n v="21"/>
    <n v="3"/>
    <n v="0"/>
    <n v="10"/>
    <n v="63"/>
    <n v="3"/>
    <n v="2"/>
    <n v="1"/>
    <n v="3"/>
    <n v="6"/>
    <n v="5"/>
    <x v="0"/>
  </r>
  <r>
    <n v="7761"/>
    <n v="1978"/>
    <x v="3"/>
    <x v="2"/>
    <x v="1"/>
    <n v="38702"/>
    <x v="1"/>
    <n v="1"/>
    <n v="0"/>
    <x v="2"/>
    <x v="379"/>
    <n v="71"/>
    <x v="0"/>
    <n v="0"/>
    <n v="13"/>
    <n v="11"/>
    <n v="24"/>
    <n v="13"/>
    <n v="8"/>
    <n v="40"/>
    <n v="109"/>
    <n v="2"/>
    <n v="3"/>
    <n v="0"/>
    <n v="4"/>
    <n v="7"/>
    <n v="6"/>
    <x v="0"/>
  </r>
  <r>
    <n v="5278"/>
    <n v="1964"/>
    <x v="1"/>
    <x v="0"/>
    <x v="2"/>
    <n v="82224"/>
    <x v="2"/>
    <n v="0"/>
    <n v="0"/>
    <x v="0"/>
    <x v="440"/>
    <n v="83"/>
    <x v="0"/>
    <n v="0"/>
    <n v="307"/>
    <n v="26"/>
    <n v="360"/>
    <n v="138"/>
    <n v="31"/>
    <n v="40"/>
    <n v="902"/>
    <n v="1"/>
    <n v="6"/>
    <n v="9"/>
    <n v="5"/>
    <n v="20"/>
    <n v="3"/>
    <x v="0"/>
  </r>
  <r>
    <n v="3560"/>
    <n v="1952"/>
    <x v="4"/>
    <x v="0"/>
    <x v="1"/>
    <n v="83844"/>
    <x v="2"/>
    <n v="0"/>
    <n v="0"/>
    <x v="0"/>
    <x v="447"/>
    <n v="57"/>
    <x v="0"/>
    <n v="0"/>
    <n v="901"/>
    <n v="31"/>
    <n v="345"/>
    <n v="75"/>
    <n v="31"/>
    <n v="191"/>
    <n v="1574"/>
    <n v="1"/>
    <n v="4"/>
    <n v="4"/>
    <n v="11"/>
    <n v="19"/>
    <n v="1"/>
    <x v="0"/>
  </r>
  <r>
    <n v="7235"/>
    <n v="1975"/>
    <x v="3"/>
    <x v="2"/>
    <x v="2"/>
    <n v="17003"/>
    <x v="3"/>
    <n v="1"/>
    <n v="0"/>
    <x v="2"/>
    <x v="163"/>
    <n v="37"/>
    <x v="1"/>
    <n v="0"/>
    <n v="2"/>
    <n v="5"/>
    <n v="12"/>
    <n v="4"/>
    <n v="8"/>
    <n v="7"/>
    <n v="38"/>
    <n v="3"/>
    <n v="2"/>
    <n v="0"/>
    <n v="4"/>
    <n v="6"/>
    <n v="5"/>
    <x v="0"/>
  </r>
  <r>
    <n v="10548"/>
    <n v="1995"/>
    <x v="2"/>
    <x v="0"/>
    <x v="0"/>
    <n v="71163"/>
    <x v="2"/>
    <n v="0"/>
    <n v="0"/>
    <x v="0"/>
    <x v="448"/>
    <n v="30"/>
    <x v="1"/>
    <n v="0"/>
    <n v="283"/>
    <n v="17"/>
    <n v="372"/>
    <n v="138"/>
    <n v="106"/>
    <n v="44"/>
    <n v="960"/>
    <n v="1"/>
    <n v="3"/>
    <n v="8"/>
    <n v="12"/>
    <n v="23"/>
    <n v="1"/>
    <x v="1"/>
  </r>
  <r>
    <n v="2281"/>
    <n v="1970"/>
    <x v="1"/>
    <x v="0"/>
    <x v="0"/>
    <n v="33697"/>
    <x v="3"/>
    <n v="1"/>
    <n v="0"/>
    <x v="2"/>
    <x v="449"/>
    <n v="34"/>
    <x v="1"/>
    <n v="0"/>
    <n v="4"/>
    <n v="3"/>
    <n v="7"/>
    <n v="0"/>
    <n v="3"/>
    <n v="11"/>
    <n v="28"/>
    <n v="1"/>
    <n v="1"/>
    <n v="0"/>
    <n v="2"/>
    <n v="3"/>
    <n v="7"/>
    <x v="0"/>
  </r>
  <r>
    <n v="4073"/>
    <n v="1954"/>
    <x v="0"/>
    <x v="2"/>
    <x v="2"/>
    <n v="63564"/>
    <x v="0"/>
    <n v="0"/>
    <n v="0"/>
    <x v="0"/>
    <x v="450"/>
    <n v="0"/>
    <x v="1"/>
    <n v="0"/>
    <n v="769"/>
    <n v="80"/>
    <n v="252"/>
    <n v="15"/>
    <n v="34"/>
    <n v="65"/>
    <n v="1215"/>
    <n v="1"/>
    <n v="10"/>
    <n v="10"/>
    <n v="7"/>
    <n v="27"/>
    <n v="6"/>
    <x v="1"/>
  </r>
  <r>
    <n v="6974"/>
    <n v="1972"/>
    <x v="1"/>
    <x v="1"/>
    <x v="1"/>
    <n v="83443"/>
    <x v="2"/>
    <n v="0"/>
    <n v="0"/>
    <x v="0"/>
    <x v="31"/>
    <n v="89"/>
    <x v="0"/>
    <n v="0"/>
    <n v="518"/>
    <n v="42"/>
    <n v="742"/>
    <n v="55"/>
    <n v="56"/>
    <n v="84"/>
    <n v="1497"/>
    <n v="1"/>
    <n v="6"/>
    <n v="10"/>
    <n v="5"/>
    <n v="21"/>
    <n v="2"/>
    <x v="0"/>
  </r>
  <r>
    <n v="7938"/>
    <n v="1958"/>
    <x v="0"/>
    <x v="1"/>
    <x v="1"/>
    <n v="51518"/>
    <x v="1"/>
    <n v="0"/>
    <n v="1"/>
    <x v="2"/>
    <x v="451"/>
    <n v="92"/>
    <x v="0"/>
    <n v="0"/>
    <n v="350"/>
    <n v="8"/>
    <n v="66"/>
    <n v="17"/>
    <n v="4"/>
    <n v="4"/>
    <n v="449"/>
    <n v="2"/>
    <n v="3"/>
    <n v="2"/>
    <n v="10"/>
    <n v="15"/>
    <n v="3"/>
    <x v="0"/>
  </r>
  <r>
    <n v="3667"/>
    <n v="1969"/>
    <x v="1"/>
    <x v="0"/>
    <x v="2"/>
    <n v="80952"/>
    <x v="2"/>
    <n v="0"/>
    <n v="0"/>
    <x v="0"/>
    <x v="452"/>
    <n v="20"/>
    <x v="1"/>
    <n v="0"/>
    <n v="778"/>
    <n v="178"/>
    <n v="689"/>
    <n v="41"/>
    <n v="27"/>
    <n v="44"/>
    <n v="1757"/>
    <n v="1"/>
    <n v="8"/>
    <n v="5"/>
    <n v="11"/>
    <n v="24"/>
    <n v="8"/>
    <x v="1"/>
  </r>
  <r>
    <n v="7723"/>
    <n v="1979"/>
    <x v="3"/>
    <x v="0"/>
    <x v="1"/>
    <n v="75507"/>
    <x v="2"/>
    <n v="0"/>
    <n v="0"/>
    <x v="0"/>
    <x v="453"/>
    <n v="56"/>
    <x v="0"/>
    <n v="0"/>
    <n v="709"/>
    <n v="93"/>
    <n v="374"/>
    <n v="104"/>
    <n v="80"/>
    <n v="80"/>
    <n v="1440"/>
    <n v="1"/>
    <n v="8"/>
    <n v="6"/>
    <n v="6"/>
    <n v="20"/>
    <n v="3"/>
    <x v="0"/>
  </r>
  <r>
    <n v="3870"/>
    <n v="1978"/>
    <x v="3"/>
    <x v="2"/>
    <x v="1"/>
    <n v="63855"/>
    <x v="0"/>
    <n v="0"/>
    <n v="0"/>
    <x v="0"/>
    <x v="454"/>
    <n v="28"/>
    <x v="1"/>
    <n v="0"/>
    <n v="359"/>
    <n v="35"/>
    <n v="314"/>
    <n v="93"/>
    <n v="116"/>
    <n v="89"/>
    <n v="1006"/>
    <n v="1"/>
    <n v="7"/>
    <n v="3"/>
    <n v="13"/>
    <n v="23"/>
    <n v="4"/>
    <x v="1"/>
  </r>
  <r>
    <n v="4012"/>
    <n v="1972"/>
    <x v="1"/>
    <x v="1"/>
    <x v="1"/>
    <n v="62220"/>
    <x v="0"/>
    <n v="0"/>
    <n v="1"/>
    <x v="2"/>
    <x v="45"/>
    <n v="55"/>
    <x v="0"/>
    <n v="0"/>
    <n v="799"/>
    <n v="12"/>
    <n v="375"/>
    <n v="16"/>
    <n v="12"/>
    <n v="12"/>
    <n v="1226"/>
    <n v="5"/>
    <n v="7"/>
    <n v="6"/>
    <n v="5"/>
    <n v="18"/>
    <n v="6"/>
    <x v="0"/>
  </r>
  <r>
    <n v="5909"/>
    <n v="1964"/>
    <x v="1"/>
    <x v="0"/>
    <x v="2"/>
    <n v="58512"/>
    <x v="0"/>
    <n v="0"/>
    <n v="1"/>
    <x v="2"/>
    <x v="159"/>
    <n v="25"/>
    <x v="1"/>
    <n v="0"/>
    <n v="895"/>
    <n v="10"/>
    <n v="101"/>
    <n v="13"/>
    <n v="0"/>
    <n v="152"/>
    <n v="1171"/>
    <n v="5"/>
    <n v="3"/>
    <n v="4"/>
    <n v="8"/>
    <n v="15"/>
    <n v="8"/>
    <x v="1"/>
  </r>
  <r>
    <n v="10470"/>
    <n v="1979"/>
    <x v="3"/>
    <x v="2"/>
    <x v="2"/>
    <n v="40662"/>
    <x v="1"/>
    <n v="1"/>
    <n v="0"/>
    <x v="2"/>
    <x v="455"/>
    <n v="0"/>
    <x v="1"/>
    <n v="0"/>
    <n v="40"/>
    <n v="2"/>
    <n v="23"/>
    <n v="0"/>
    <n v="4"/>
    <n v="23"/>
    <n v="92"/>
    <n v="2"/>
    <n v="2"/>
    <n v="1"/>
    <n v="3"/>
    <n v="6"/>
    <n v="4"/>
    <x v="0"/>
  </r>
  <r>
    <n v="6488"/>
    <n v="1959"/>
    <x v="0"/>
    <x v="1"/>
    <x v="2"/>
    <n v="38829"/>
    <x v="1"/>
    <n v="0"/>
    <n v="1"/>
    <x v="2"/>
    <x v="218"/>
    <n v="86"/>
    <x v="0"/>
    <n v="0"/>
    <n v="76"/>
    <n v="0"/>
    <n v="7"/>
    <n v="0"/>
    <n v="0"/>
    <n v="16"/>
    <n v="99"/>
    <n v="1"/>
    <n v="3"/>
    <n v="2"/>
    <n v="2"/>
    <n v="7"/>
    <n v="5"/>
    <x v="0"/>
  </r>
  <r>
    <n v="10270"/>
    <n v="1981"/>
    <x v="3"/>
    <x v="2"/>
    <x v="2"/>
    <n v="35523"/>
    <x v="3"/>
    <n v="1"/>
    <n v="0"/>
    <x v="2"/>
    <x v="451"/>
    <n v="8"/>
    <x v="1"/>
    <n v="0"/>
    <n v="11"/>
    <n v="5"/>
    <n v="22"/>
    <n v="12"/>
    <n v="5"/>
    <n v="11"/>
    <n v="66"/>
    <n v="2"/>
    <n v="3"/>
    <n v="0"/>
    <n v="3"/>
    <n v="6"/>
    <n v="7"/>
    <x v="0"/>
  </r>
  <r>
    <n v="6887"/>
    <n v="1967"/>
    <x v="1"/>
    <x v="0"/>
    <x v="0"/>
    <n v="79146"/>
    <x v="2"/>
    <n v="1"/>
    <n v="1"/>
    <x v="1"/>
    <x v="125"/>
    <n v="33"/>
    <x v="1"/>
    <n v="0"/>
    <n v="245"/>
    <n v="16"/>
    <n v="223"/>
    <n v="21"/>
    <n v="43"/>
    <n v="16"/>
    <n v="564"/>
    <n v="2"/>
    <n v="8"/>
    <n v="1"/>
    <n v="8"/>
    <n v="17"/>
    <n v="6"/>
    <x v="0"/>
  </r>
  <r>
    <n v="6406"/>
    <n v="1988"/>
    <x v="2"/>
    <x v="2"/>
    <x v="2"/>
    <n v="78285"/>
    <x v="2"/>
    <n v="0"/>
    <n v="0"/>
    <x v="0"/>
    <x v="194"/>
    <n v="13"/>
    <x v="1"/>
    <n v="0"/>
    <n v="647"/>
    <n v="107"/>
    <n v="391"/>
    <n v="175"/>
    <n v="67"/>
    <n v="40"/>
    <n v="1427"/>
    <n v="1"/>
    <n v="6"/>
    <n v="4"/>
    <n v="10"/>
    <n v="20"/>
    <n v="3"/>
    <x v="1"/>
  </r>
  <r>
    <n v="7573"/>
    <n v="1978"/>
    <x v="3"/>
    <x v="1"/>
    <x v="0"/>
    <n v="31626"/>
    <x v="3"/>
    <n v="1"/>
    <n v="0"/>
    <x v="2"/>
    <x v="456"/>
    <n v="12"/>
    <x v="1"/>
    <n v="0"/>
    <n v="39"/>
    <n v="1"/>
    <n v="9"/>
    <n v="2"/>
    <n v="1"/>
    <n v="34"/>
    <n v="86"/>
    <n v="1"/>
    <n v="2"/>
    <n v="1"/>
    <n v="2"/>
    <n v="5"/>
    <n v="7"/>
    <x v="0"/>
  </r>
  <r>
    <n v="4508"/>
    <n v="1952"/>
    <x v="4"/>
    <x v="0"/>
    <x v="0"/>
    <n v="75127"/>
    <x v="2"/>
    <n v="0"/>
    <n v="0"/>
    <x v="0"/>
    <x v="27"/>
    <n v="92"/>
    <x v="0"/>
    <n v="0"/>
    <n v="203"/>
    <n v="35"/>
    <n v="305"/>
    <n v="46"/>
    <n v="17"/>
    <n v="227"/>
    <n v="833"/>
    <n v="1"/>
    <n v="2"/>
    <n v="11"/>
    <n v="5"/>
    <n v="18"/>
    <n v="1"/>
    <x v="0"/>
  </r>
  <r>
    <n v="221"/>
    <n v="1955"/>
    <x v="0"/>
    <x v="0"/>
    <x v="2"/>
    <n v="48726"/>
    <x v="1"/>
    <n v="0"/>
    <n v="1"/>
    <x v="2"/>
    <x v="238"/>
    <n v="90"/>
    <x v="0"/>
    <n v="0"/>
    <n v="138"/>
    <n v="3"/>
    <n v="38"/>
    <n v="4"/>
    <n v="0"/>
    <n v="59"/>
    <n v="242"/>
    <n v="3"/>
    <n v="3"/>
    <n v="2"/>
    <n v="4"/>
    <n v="9"/>
    <n v="6"/>
    <x v="0"/>
  </r>
  <r>
    <n v="5331"/>
    <n v="1977"/>
    <x v="3"/>
    <x v="0"/>
    <x v="2"/>
    <n v="74985"/>
    <x v="2"/>
    <n v="0"/>
    <n v="0"/>
    <x v="0"/>
    <x v="63"/>
    <n v="8"/>
    <x v="1"/>
    <n v="0"/>
    <n v="587"/>
    <n v="51"/>
    <n v="898"/>
    <n v="247"/>
    <n v="0"/>
    <n v="86"/>
    <n v="1869"/>
    <n v="1"/>
    <n v="3"/>
    <n v="6"/>
    <n v="7"/>
    <n v="16"/>
    <n v="2"/>
    <x v="1"/>
  </r>
  <r>
    <n v="1911"/>
    <n v="1987"/>
    <x v="2"/>
    <x v="0"/>
    <x v="1"/>
    <n v="67430"/>
    <x v="0"/>
    <n v="0"/>
    <n v="0"/>
    <x v="0"/>
    <x v="457"/>
    <n v="6"/>
    <x v="1"/>
    <n v="0"/>
    <n v="595"/>
    <n v="97"/>
    <n v="291"/>
    <n v="127"/>
    <n v="133"/>
    <n v="121"/>
    <n v="1364"/>
    <n v="1"/>
    <n v="11"/>
    <n v="5"/>
    <n v="12"/>
    <n v="28"/>
    <n v="6"/>
    <x v="1"/>
  </r>
  <r>
    <n v="20"/>
    <n v="1965"/>
    <x v="1"/>
    <x v="2"/>
    <x v="2"/>
    <n v="46891"/>
    <x v="1"/>
    <n v="0"/>
    <n v="1"/>
    <x v="2"/>
    <x v="458"/>
    <n v="91"/>
    <x v="0"/>
    <n v="0"/>
    <n v="43"/>
    <n v="12"/>
    <n v="23"/>
    <n v="29"/>
    <n v="15"/>
    <n v="61"/>
    <n v="183"/>
    <n v="1"/>
    <n v="2"/>
    <n v="1"/>
    <n v="4"/>
    <n v="7"/>
    <n v="4"/>
    <x v="0"/>
  </r>
  <r>
    <n v="8786"/>
    <n v="1956"/>
    <x v="0"/>
    <x v="2"/>
    <x v="2"/>
    <n v="62058"/>
    <x v="0"/>
    <n v="0"/>
    <n v="1"/>
    <x v="2"/>
    <x v="459"/>
    <n v="52"/>
    <x v="0"/>
    <n v="0"/>
    <n v="301"/>
    <n v="7"/>
    <n v="74"/>
    <n v="10"/>
    <n v="0"/>
    <n v="58"/>
    <n v="450"/>
    <n v="4"/>
    <n v="6"/>
    <n v="1"/>
    <n v="7"/>
    <n v="14"/>
    <n v="6"/>
    <x v="0"/>
  </r>
  <r>
    <n v="10582"/>
    <n v="1979"/>
    <x v="3"/>
    <x v="0"/>
    <x v="2"/>
    <n v="72063"/>
    <x v="2"/>
    <n v="0"/>
    <n v="1"/>
    <x v="2"/>
    <x v="74"/>
    <n v="3"/>
    <x v="1"/>
    <n v="0"/>
    <n v="180"/>
    <n v="32"/>
    <n v="348"/>
    <n v="76"/>
    <n v="32"/>
    <n v="90"/>
    <n v="758"/>
    <n v="2"/>
    <n v="5"/>
    <n v="2"/>
    <n v="12"/>
    <n v="19"/>
    <n v="2"/>
    <x v="1"/>
  </r>
  <r>
    <n v="1915"/>
    <n v="1951"/>
    <x v="4"/>
    <x v="1"/>
    <x v="2"/>
    <n v="78939"/>
    <x v="2"/>
    <n v="0"/>
    <n v="0"/>
    <x v="0"/>
    <x v="460"/>
    <n v="57"/>
    <x v="0"/>
    <n v="0"/>
    <n v="794"/>
    <n v="115"/>
    <n v="243"/>
    <n v="150"/>
    <n v="0"/>
    <n v="205"/>
    <n v="1507"/>
    <n v="1"/>
    <n v="8"/>
    <n v="5"/>
    <n v="6"/>
    <n v="19"/>
    <n v="3"/>
    <x v="0"/>
  </r>
  <r>
    <n v="8897"/>
    <n v="1965"/>
    <x v="1"/>
    <x v="0"/>
    <x v="0"/>
    <n v="42720"/>
    <x v="1"/>
    <n v="1"/>
    <n v="1"/>
    <x v="1"/>
    <x v="362"/>
    <n v="9"/>
    <x v="1"/>
    <n v="0"/>
    <n v="392"/>
    <n v="5"/>
    <n v="91"/>
    <n v="28"/>
    <n v="26"/>
    <n v="112"/>
    <n v="654"/>
    <n v="8"/>
    <n v="7"/>
    <n v="3"/>
    <n v="7"/>
    <n v="17"/>
    <n v="8"/>
    <x v="0"/>
  </r>
  <r>
    <n v="2371"/>
    <n v="1972"/>
    <x v="1"/>
    <x v="0"/>
    <x v="2"/>
    <n v="33622"/>
    <x v="3"/>
    <n v="1"/>
    <n v="1"/>
    <x v="1"/>
    <x v="305"/>
    <n v="22"/>
    <x v="1"/>
    <n v="0"/>
    <n v="39"/>
    <n v="1"/>
    <n v="22"/>
    <n v="3"/>
    <n v="4"/>
    <n v="12"/>
    <n v="81"/>
    <n v="3"/>
    <n v="2"/>
    <n v="0"/>
    <n v="4"/>
    <n v="6"/>
    <n v="7"/>
    <x v="0"/>
  </r>
  <r>
    <n v="4303"/>
    <n v="1957"/>
    <x v="0"/>
    <x v="1"/>
    <x v="1"/>
    <n v="6835"/>
    <x v="3"/>
    <n v="0"/>
    <n v="1"/>
    <x v="2"/>
    <x v="461"/>
    <n v="76"/>
    <x v="0"/>
    <n v="0"/>
    <n v="107"/>
    <n v="2"/>
    <n v="12"/>
    <n v="2"/>
    <n v="2"/>
    <n v="12"/>
    <n v="137"/>
    <n v="0"/>
    <n v="0"/>
    <n v="0"/>
    <n v="1"/>
    <n v="1"/>
    <n v="20"/>
    <x v="0"/>
  </r>
  <r>
    <n v="6825"/>
    <n v="1953"/>
    <x v="0"/>
    <x v="0"/>
    <x v="1"/>
    <n v="41452"/>
    <x v="1"/>
    <n v="1"/>
    <n v="1"/>
    <x v="1"/>
    <x v="446"/>
    <n v="86"/>
    <x v="0"/>
    <n v="0"/>
    <n v="13"/>
    <n v="0"/>
    <n v="3"/>
    <n v="0"/>
    <n v="0"/>
    <n v="0"/>
    <n v="16"/>
    <n v="1"/>
    <n v="1"/>
    <n v="0"/>
    <n v="2"/>
    <n v="3"/>
    <n v="7"/>
    <x v="0"/>
  </r>
  <r>
    <n v="1072"/>
    <n v="1965"/>
    <x v="1"/>
    <x v="1"/>
    <x v="0"/>
    <n v="40760"/>
    <x v="1"/>
    <n v="0"/>
    <n v="1"/>
    <x v="2"/>
    <x v="462"/>
    <n v="64"/>
    <x v="0"/>
    <n v="0"/>
    <n v="70"/>
    <n v="0"/>
    <n v="17"/>
    <n v="0"/>
    <n v="0"/>
    <n v="6"/>
    <n v="93"/>
    <n v="2"/>
    <n v="2"/>
    <n v="1"/>
    <n v="3"/>
    <n v="6"/>
    <n v="6"/>
    <x v="0"/>
  </r>
  <r>
    <n v="4964"/>
    <n v="1958"/>
    <x v="0"/>
    <x v="1"/>
    <x v="1"/>
    <n v="74250"/>
    <x v="2"/>
    <n v="0"/>
    <n v="0"/>
    <x v="0"/>
    <x v="340"/>
    <n v="90"/>
    <x v="0"/>
    <n v="0"/>
    <n v="680"/>
    <n v="11"/>
    <n v="392"/>
    <n v="75"/>
    <n v="0"/>
    <n v="0"/>
    <n v="1158"/>
    <n v="1"/>
    <n v="2"/>
    <n v="11"/>
    <n v="4"/>
    <n v="17"/>
    <n v="1"/>
    <x v="0"/>
  </r>
  <r>
    <n v="2461"/>
    <n v="1955"/>
    <x v="0"/>
    <x v="2"/>
    <x v="0"/>
    <n v="51124"/>
    <x v="1"/>
    <n v="1"/>
    <n v="1"/>
    <x v="1"/>
    <x v="463"/>
    <n v="79"/>
    <x v="0"/>
    <n v="0"/>
    <n v="26"/>
    <n v="1"/>
    <n v="11"/>
    <n v="0"/>
    <n v="1"/>
    <n v="4"/>
    <n v="43"/>
    <n v="2"/>
    <n v="1"/>
    <n v="0"/>
    <n v="3"/>
    <n v="4"/>
    <n v="3"/>
    <x v="0"/>
  </r>
  <r>
    <n v="10736"/>
    <n v="1971"/>
    <x v="1"/>
    <x v="0"/>
    <x v="0"/>
    <n v="72258"/>
    <x v="2"/>
    <n v="0"/>
    <n v="1"/>
    <x v="2"/>
    <x v="130"/>
    <n v="28"/>
    <x v="1"/>
    <n v="0"/>
    <n v="522"/>
    <n v="0"/>
    <n v="522"/>
    <n v="227"/>
    <n v="120"/>
    <n v="134"/>
    <n v="1525"/>
    <n v="2"/>
    <n v="6"/>
    <n v="9"/>
    <n v="5"/>
    <n v="20"/>
    <n v="2"/>
    <x v="1"/>
  </r>
  <r>
    <n v="3194"/>
    <n v="1974"/>
    <x v="3"/>
    <x v="1"/>
    <x v="0"/>
    <n v="71466"/>
    <x v="2"/>
    <n v="0"/>
    <n v="0"/>
    <x v="0"/>
    <x v="306"/>
    <n v="86"/>
    <x v="0"/>
    <n v="0"/>
    <n v="412"/>
    <n v="12"/>
    <n v="546"/>
    <n v="78"/>
    <n v="182"/>
    <n v="0"/>
    <n v="1230"/>
    <n v="1"/>
    <n v="4"/>
    <n v="4"/>
    <n v="10"/>
    <n v="18"/>
    <n v="1"/>
    <x v="0"/>
  </r>
  <r>
    <n v="10839"/>
    <n v="1976"/>
    <x v="3"/>
    <x v="0"/>
    <x v="1"/>
    <n v="36283"/>
    <x v="1"/>
    <n v="1"/>
    <n v="1"/>
    <x v="1"/>
    <x v="179"/>
    <n v="42"/>
    <x v="1"/>
    <n v="0"/>
    <n v="6"/>
    <n v="5"/>
    <n v="5"/>
    <n v="8"/>
    <n v="0"/>
    <n v="5"/>
    <n v="29"/>
    <n v="2"/>
    <n v="1"/>
    <n v="0"/>
    <n v="3"/>
    <n v="4"/>
    <n v="4"/>
    <x v="0"/>
  </r>
  <r>
    <n v="49"/>
    <n v="1970"/>
    <x v="1"/>
    <x v="0"/>
    <x v="0"/>
    <n v="20587"/>
    <x v="3"/>
    <n v="1"/>
    <n v="0"/>
    <x v="2"/>
    <x v="59"/>
    <n v="39"/>
    <x v="1"/>
    <n v="0"/>
    <n v="2"/>
    <n v="3"/>
    <n v="6"/>
    <n v="4"/>
    <n v="1"/>
    <n v="9"/>
    <n v="25"/>
    <n v="1"/>
    <n v="1"/>
    <n v="1"/>
    <n v="2"/>
    <n v="4"/>
    <n v="7"/>
    <x v="0"/>
  </r>
  <r>
    <n v="4290"/>
    <n v="1972"/>
    <x v="1"/>
    <x v="0"/>
    <x v="2"/>
    <n v="30467"/>
    <x v="3"/>
    <n v="1"/>
    <n v="0"/>
    <x v="2"/>
    <x v="60"/>
    <n v="8"/>
    <x v="1"/>
    <n v="0"/>
    <n v="1"/>
    <n v="3"/>
    <n v="8"/>
    <n v="2"/>
    <n v="5"/>
    <n v="5"/>
    <n v="24"/>
    <n v="1"/>
    <n v="1"/>
    <n v="0"/>
    <n v="2"/>
    <n v="3"/>
    <n v="7"/>
    <x v="0"/>
  </r>
  <r>
    <n v="10219"/>
    <n v="1972"/>
    <x v="1"/>
    <x v="0"/>
    <x v="1"/>
    <n v="31590"/>
    <x v="3"/>
    <n v="1"/>
    <n v="0"/>
    <x v="2"/>
    <x v="464"/>
    <n v="40"/>
    <x v="1"/>
    <n v="0"/>
    <n v="6"/>
    <n v="2"/>
    <n v="15"/>
    <n v="6"/>
    <n v="6"/>
    <n v="3"/>
    <n v="38"/>
    <n v="1"/>
    <n v="1"/>
    <n v="0"/>
    <n v="3"/>
    <n v="4"/>
    <n v="8"/>
    <x v="0"/>
  </r>
  <r>
    <n v="4211"/>
    <n v="1986"/>
    <x v="2"/>
    <x v="3"/>
    <x v="2"/>
    <n v="20425"/>
    <x v="3"/>
    <n v="1"/>
    <n v="0"/>
    <x v="2"/>
    <x v="29"/>
    <n v="5"/>
    <x v="1"/>
    <n v="0"/>
    <n v="4"/>
    <n v="12"/>
    <n v="5"/>
    <n v="3"/>
    <n v="16"/>
    <n v="17"/>
    <n v="57"/>
    <n v="2"/>
    <n v="2"/>
    <n v="0"/>
    <n v="3"/>
    <n v="5"/>
    <n v="7"/>
    <x v="0"/>
  </r>
  <r>
    <n v="1135"/>
    <n v="1960"/>
    <x v="0"/>
    <x v="2"/>
    <x v="1"/>
    <n v="17144"/>
    <x v="3"/>
    <n v="1"/>
    <n v="1"/>
    <x v="1"/>
    <x v="363"/>
    <n v="96"/>
    <x v="0"/>
    <n v="0"/>
    <n v="18"/>
    <n v="2"/>
    <n v="19"/>
    <n v="0"/>
    <n v="2"/>
    <n v="6"/>
    <n v="47"/>
    <n v="5"/>
    <n v="3"/>
    <n v="0"/>
    <n v="4"/>
    <n v="7"/>
    <n v="7"/>
    <x v="0"/>
  </r>
  <r>
    <n v="6299"/>
    <n v="1968"/>
    <x v="1"/>
    <x v="1"/>
    <x v="3"/>
    <n v="42564"/>
    <x v="1"/>
    <n v="0"/>
    <n v="1"/>
    <x v="2"/>
    <x v="22"/>
    <n v="28"/>
    <x v="1"/>
    <n v="0"/>
    <n v="324"/>
    <n v="48"/>
    <n v="186"/>
    <n v="39"/>
    <n v="18"/>
    <n v="198"/>
    <n v="813"/>
    <n v="6"/>
    <n v="6"/>
    <n v="8"/>
    <n v="4"/>
    <n v="18"/>
    <n v="7"/>
    <x v="0"/>
  </r>
  <r>
    <n v="10846"/>
    <n v="1978"/>
    <x v="3"/>
    <x v="2"/>
    <x v="2"/>
    <n v="43783"/>
    <x v="1"/>
    <n v="1"/>
    <n v="0"/>
    <x v="2"/>
    <x v="465"/>
    <n v="22"/>
    <x v="1"/>
    <n v="0"/>
    <n v="327"/>
    <n v="9"/>
    <n v="125"/>
    <n v="25"/>
    <n v="4"/>
    <n v="139"/>
    <n v="629"/>
    <n v="6"/>
    <n v="7"/>
    <n v="1"/>
    <n v="8"/>
    <n v="16"/>
    <n v="7"/>
    <x v="0"/>
  </r>
  <r>
    <n v="347"/>
    <n v="1976"/>
    <x v="3"/>
    <x v="0"/>
    <x v="3"/>
    <n v="40780"/>
    <x v="1"/>
    <n v="0"/>
    <n v="1"/>
    <x v="2"/>
    <x v="181"/>
    <n v="30"/>
    <x v="1"/>
    <n v="0"/>
    <n v="229"/>
    <n v="27"/>
    <n v="71"/>
    <n v="13"/>
    <n v="3"/>
    <n v="34"/>
    <n v="377"/>
    <n v="4"/>
    <n v="7"/>
    <n v="1"/>
    <n v="5"/>
    <n v="13"/>
    <n v="9"/>
    <x v="0"/>
  </r>
  <r>
    <n v="6543"/>
    <n v="1945"/>
    <x v="4"/>
    <x v="2"/>
    <x v="1"/>
    <n v="62847"/>
    <x v="0"/>
    <n v="0"/>
    <n v="0"/>
    <x v="0"/>
    <x v="466"/>
    <n v="45"/>
    <x v="1"/>
    <n v="0"/>
    <n v="521"/>
    <n v="168"/>
    <n v="706"/>
    <n v="80"/>
    <n v="76"/>
    <n v="61"/>
    <n v="1612"/>
    <n v="1"/>
    <n v="3"/>
    <n v="6"/>
    <n v="4"/>
    <n v="13"/>
    <n v="2"/>
    <x v="1"/>
  </r>
  <r>
    <n v="10446"/>
    <n v="1957"/>
    <x v="0"/>
    <x v="1"/>
    <x v="2"/>
    <n v="82017"/>
    <x v="2"/>
    <n v="0"/>
    <n v="0"/>
    <x v="0"/>
    <x v="347"/>
    <n v="58"/>
    <x v="0"/>
    <n v="0"/>
    <n v="184"/>
    <n v="23"/>
    <n v="446"/>
    <n v="30"/>
    <n v="23"/>
    <n v="23"/>
    <n v="729"/>
    <n v="1"/>
    <n v="5"/>
    <n v="4"/>
    <n v="7"/>
    <n v="16"/>
    <n v="2"/>
    <x v="0"/>
  </r>
  <r>
    <n v="3479"/>
    <n v="1950"/>
    <x v="4"/>
    <x v="0"/>
    <x v="0"/>
    <n v="16813"/>
    <x v="3"/>
    <n v="0"/>
    <n v="0"/>
    <x v="0"/>
    <x v="349"/>
    <n v="49"/>
    <x v="0"/>
    <n v="0"/>
    <n v="4"/>
    <n v="8"/>
    <n v="11"/>
    <n v="12"/>
    <n v="2"/>
    <n v="13"/>
    <n v="50"/>
    <n v="1"/>
    <n v="2"/>
    <n v="0"/>
    <n v="3"/>
    <n v="5"/>
    <n v="7"/>
    <x v="0"/>
  </r>
  <r>
    <n v="11075"/>
    <n v="1978"/>
    <x v="3"/>
    <x v="0"/>
    <x v="2"/>
    <n v="51267"/>
    <x v="1"/>
    <n v="1"/>
    <n v="1"/>
    <x v="1"/>
    <x v="467"/>
    <n v="37"/>
    <x v="1"/>
    <n v="0"/>
    <n v="183"/>
    <n v="2"/>
    <n v="64"/>
    <n v="7"/>
    <n v="2"/>
    <n v="12"/>
    <n v="270"/>
    <n v="4"/>
    <n v="3"/>
    <n v="3"/>
    <n v="5"/>
    <n v="11"/>
    <n v="4"/>
    <x v="0"/>
  </r>
  <r>
    <n v="4442"/>
    <n v="1961"/>
    <x v="0"/>
    <x v="0"/>
    <x v="0"/>
    <n v="46524"/>
    <x v="1"/>
    <n v="0"/>
    <n v="1"/>
    <x v="2"/>
    <x v="66"/>
    <n v="70"/>
    <x v="0"/>
    <n v="0"/>
    <n v="31"/>
    <n v="19"/>
    <n v="35"/>
    <n v="26"/>
    <n v="14"/>
    <n v="52"/>
    <n v="177"/>
    <n v="2"/>
    <n v="1"/>
    <n v="1"/>
    <n v="5"/>
    <n v="7"/>
    <n v="3"/>
    <x v="0"/>
  </r>
  <r>
    <n v="199"/>
    <n v="1962"/>
    <x v="0"/>
    <x v="2"/>
    <x v="0"/>
    <n v="45183"/>
    <x v="1"/>
    <n v="0"/>
    <n v="0"/>
    <x v="0"/>
    <x v="401"/>
    <n v="33"/>
    <x v="1"/>
    <n v="0"/>
    <n v="219"/>
    <n v="3"/>
    <n v="60"/>
    <n v="12"/>
    <n v="9"/>
    <n v="12"/>
    <n v="315"/>
    <n v="1"/>
    <n v="4"/>
    <n v="1"/>
    <n v="7"/>
    <n v="12"/>
    <n v="7"/>
    <x v="0"/>
  </r>
  <r>
    <n v="6722"/>
    <n v="1954"/>
    <x v="0"/>
    <x v="1"/>
    <x v="2"/>
    <n v="70421"/>
    <x v="2"/>
    <n v="0"/>
    <n v="1"/>
    <x v="2"/>
    <x v="39"/>
    <n v="98"/>
    <x v="0"/>
    <n v="0"/>
    <n v="479"/>
    <n v="28"/>
    <n v="136"/>
    <n v="75"/>
    <n v="14"/>
    <n v="35"/>
    <n v="767"/>
    <n v="3"/>
    <n v="10"/>
    <n v="3"/>
    <n v="7"/>
    <n v="20"/>
    <n v="6"/>
    <x v="0"/>
  </r>
  <r>
    <n v="796"/>
    <n v="1965"/>
    <x v="1"/>
    <x v="2"/>
    <x v="3"/>
    <n v="60161"/>
    <x v="0"/>
    <n v="0"/>
    <n v="1"/>
    <x v="2"/>
    <x v="335"/>
    <n v="17"/>
    <x v="1"/>
    <n v="0"/>
    <n v="584"/>
    <n v="44"/>
    <n v="212"/>
    <n v="46"/>
    <n v="8"/>
    <n v="177"/>
    <n v="1071"/>
    <n v="3"/>
    <n v="11"/>
    <n v="4"/>
    <n v="8"/>
    <n v="23"/>
    <n v="8"/>
    <x v="1"/>
  </r>
  <r>
    <n v="3749"/>
    <n v="1973"/>
    <x v="3"/>
    <x v="0"/>
    <x v="1"/>
    <n v="73926"/>
    <x v="2"/>
    <n v="0"/>
    <n v="0"/>
    <x v="0"/>
    <x v="468"/>
    <n v="54"/>
    <x v="0"/>
    <n v="0"/>
    <n v="627"/>
    <n v="91"/>
    <n v="597"/>
    <n v="159"/>
    <n v="91"/>
    <n v="15"/>
    <n v="1580"/>
    <n v="1"/>
    <n v="6"/>
    <n v="5"/>
    <n v="12"/>
    <n v="23"/>
    <n v="3"/>
    <x v="0"/>
  </r>
  <r>
    <n v="8523"/>
    <n v="1968"/>
    <x v="1"/>
    <x v="0"/>
    <x v="2"/>
    <n v="19329"/>
    <x v="3"/>
    <n v="1"/>
    <n v="0"/>
    <x v="2"/>
    <x v="469"/>
    <n v="39"/>
    <x v="1"/>
    <n v="0"/>
    <n v="24"/>
    <n v="1"/>
    <n v="16"/>
    <n v="12"/>
    <n v="2"/>
    <n v="5"/>
    <n v="60"/>
    <n v="3"/>
    <n v="4"/>
    <n v="0"/>
    <n v="3"/>
    <n v="7"/>
    <n v="8"/>
    <x v="0"/>
  </r>
  <r>
    <n v="310"/>
    <n v="1970"/>
    <x v="1"/>
    <x v="2"/>
    <x v="2"/>
    <n v="61872"/>
    <x v="0"/>
    <n v="0"/>
    <n v="1"/>
    <x v="2"/>
    <x v="409"/>
    <n v="81"/>
    <x v="0"/>
    <n v="0"/>
    <n v="330"/>
    <n v="5"/>
    <n v="159"/>
    <n v="36"/>
    <n v="27"/>
    <n v="16"/>
    <n v="573"/>
    <n v="4"/>
    <n v="4"/>
    <n v="4"/>
    <n v="9"/>
    <n v="17"/>
    <n v="4"/>
    <x v="0"/>
  </r>
  <r>
    <n v="8629"/>
    <n v="1956"/>
    <x v="0"/>
    <x v="0"/>
    <x v="4"/>
    <n v="46984"/>
    <x v="1"/>
    <n v="1"/>
    <n v="1"/>
    <x v="1"/>
    <x v="182"/>
    <n v="71"/>
    <x v="0"/>
    <n v="0"/>
    <n v="19"/>
    <n v="1"/>
    <n v="10"/>
    <n v="2"/>
    <n v="1"/>
    <n v="8"/>
    <n v="41"/>
    <n v="1"/>
    <n v="1"/>
    <n v="0"/>
    <n v="3"/>
    <n v="4"/>
    <n v="5"/>
    <x v="0"/>
  </r>
  <r>
    <n v="236"/>
    <n v="1951"/>
    <x v="4"/>
    <x v="0"/>
    <x v="2"/>
    <n v="34838"/>
    <x v="3"/>
    <n v="1"/>
    <n v="1"/>
    <x v="1"/>
    <x v="470"/>
    <n v="62"/>
    <x v="0"/>
    <n v="0"/>
    <n v="28"/>
    <n v="23"/>
    <n v="29"/>
    <n v="29"/>
    <n v="14"/>
    <n v="47"/>
    <n v="170"/>
    <n v="3"/>
    <n v="2"/>
    <n v="1"/>
    <n v="4"/>
    <n v="7"/>
    <n v="6"/>
    <x v="0"/>
  </r>
  <r>
    <n v="9930"/>
    <n v="1944"/>
    <x v="4"/>
    <x v="1"/>
    <x v="0"/>
    <n v="82716"/>
    <x v="2"/>
    <n v="0"/>
    <n v="0"/>
    <x v="0"/>
    <x v="37"/>
    <n v="8"/>
    <x v="1"/>
    <n v="0"/>
    <n v="606"/>
    <n v="148"/>
    <n v="228"/>
    <n v="15"/>
    <n v="148"/>
    <n v="22"/>
    <n v="1167"/>
    <n v="1"/>
    <n v="6"/>
    <n v="8"/>
    <n v="13"/>
    <n v="27"/>
    <n v="2"/>
    <x v="1"/>
  </r>
  <r>
    <n v="3483"/>
    <n v="1958"/>
    <x v="0"/>
    <x v="0"/>
    <x v="2"/>
    <n v="48192"/>
    <x v="1"/>
    <n v="0"/>
    <n v="0"/>
    <x v="0"/>
    <x v="471"/>
    <n v="76"/>
    <x v="0"/>
    <n v="0"/>
    <n v="1039"/>
    <n v="43"/>
    <n v="204"/>
    <n v="153"/>
    <n v="58"/>
    <n v="29"/>
    <n v="1526"/>
    <n v="3"/>
    <n v="2"/>
    <n v="8"/>
    <n v="12"/>
    <n v="22"/>
    <n v="8"/>
    <x v="0"/>
  </r>
  <r>
    <n v="4599"/>
    <n v="1976"/>
    <x v="3"/>
    <x v="2"/>
    <x v="2"/>
    <n v="49681"/>
    <x v="1"/>
    <n v="0"/>
    <n v="2"/>
    <x v="1"/>
    <x v="472"/>
    <n v="66"/>
    <x v="0"/>
    <n v="0"/>
    <n v="411"/>
    <n v="0"/>
    <n v="26"/>
    <n v="0"/>
    <n v="0"/>
    <n v="21"/>
    <n v="458"/>
    <n v="6"/>
    <n v="7"/>
    <n v="1"/>
    <n v="7"/>
    <n v="15"/>
    <n v="7"/>
    <x v="0"/>
  </r>
  <r>
    <n v="7326"/>
    <n v="1971"/>
    <x v="1"/>
    <x v="2"/>
    <x v="2"/>
    <n v="56850"/>
    <x v="0"/>
    <n v="0"/>
    <n v="1"/>
    <x v="2"/>
    <x v="82"/>
    <n v="83"/>
    <x v="0"/>
    <n v="0"/>
    <n v="34"/>
    <n v="1"/>
    <n v="19"/>
    <n v="2"/>
    <n v="7"/>
    <n v="0"/>
    <n v="63"/>
    <n v="1"/>
    <n v="1"/>
    <n v="1"/>
    <n v="3"/>
    <n v="5"/>
    <n v="2"/>
    <x v="0"/>
  </r>
  <r>
    <n v="7352"/>
    <n v="1957"/>
    <x v="0"/>
    <x v="0"/>
    <x v="2"/>
    <n v="55267"/>
    <x v="0"/>
    <n v="0"/>
    <n v="1"/>
    <x v="2"/>
    <x v="413"/>
    <n v="28"/>
    <x v="1"/>
    <n v="0"/>
    <n v="161"/>
    <n v="28"/>
    <n v="136"/>
    <n v="32"/>
    <n v="3"/>
    <n v="45"/>
    <n v="405"/>
    <n v="4"/>
    <n v="3"/>
    <n v="4"/>
    <n v="6"/>
    <n v="13"/>
    <n v="3"/>
    <x v="0"/>
  </r>
  <r>
    <n v="2350"/>
    <n v="1972"/>
    <x v="1"/>
    <x v="0"/>
    <x v="2"/>
    <n v="59666"/>
    <x v="0"/>
    <n v="1"/>
    <n v="1"/>
    <x v="1"/>
    <x v="473"/>
    <n v="87"/>
    <x v="0"/>
    <n v="0"/>
    <n v="623"/>
    <n v="53"/>
    <n v="178"/>
    <n v="23"/>
    <n v="17"/>
    <n v="133"/>
    <n v="1027"/>
    <n v="7"/>
    <n v="3"/>
    <n v="2"/>
    <n v="8"/>
    <n v="13"/>
    <n v="8"/>
    <x v="0"/>
  </r>
  <r>
    <n v="9145"/>
    <n v="1972"/>
    <x v="1"/>
    <x v="0"/>
    <x v="0"/>
    <n v="72504"/>
    <x v="2"/>
    <n v="0"/>
    <n v="1"/>
    <x v="2"/>
    <x v="471"/>
    <n v="43"/>
    <x v="1"/>
    <n v="0"/>
    <n v="604"/>
    <n v="26"/>
    <n v="470"/>
    <n v="123"/>
    <n v="161"/>
    <n v="94"/>
    <n v="1478"/>
    <n v="2"/>
    <n v="5"/>
    <n v="9"/>
    <n v="6"/>
    <n v="20"/>
    <n v="2"/>
    <x v="1"/>
  </r>
  <r>
    <n v="2964"/>
    <n v="1981"/>
    <x v="3"/>
    <x v="0"/>
    <x v="2"/>
    <n v="26872"/>
    <x v="3"/>
    <n v="0"/>
    <n v="0"/>
    <x v="0"/>
    <x v="286"/>
    <n v="0"/>
    <x v="1"/>
    <n v="0"/>
    <n v="3"/>
    <n v="10"/>
    <n v="8"/>
    <n v="3"/>
    <n v="16"/>
    <n v="32"/>
    <n v="72"/>
    <n v="1"/>
    <n v="1"/>
    <n v="1"/>
    <n v="2"/>
    <n v="4"/>
    <n v="6"/>
    <x v="0"/>
  </r>
  <r>
    <n v="5585"/>
    <n v="1972"/>
    <x v="1"/>
    <x v="0"/>
    <x v="0"/>
    <n v="21359"/>
    <x v="3"/>
    <n v="1"/>
    <n v="0"/>
    <x v="2"/>
    <x v="90"/>
    <n v="1"/>
    <x v="1"/>
    <n v="0"/>
    <n v="12"/>
    <n v="2"/>
    <n v="17"/>
    <n v="6"/>
    <n v="1"/>
    <n v="10"/>
    <n v="48"/>
    <n v="2"/>
    <n v="2"/>
    <n v="0"/>
    <n v="3"/>
    <n v="5"/>
    <n v="8"/>
    <x v="0"/>
  </r>
  <r>
    <n v="9687"/>
    <n v="1975"/>
    <x v="3"/>
    <x v="0"/>
    <x v="0"/>
    <n v="73170"/>
    <x v="2"/>
    <n v="0"/>
    <n v="0"/>
    <x v="0"/>
    <x v="474"/>
    <n v="1"/>
    <x v="1"/>
    <n v="0"/>
    <n v="184"/>
    <n v="174"/>
    <n v="256"/>
    <n v="50"/>
    <n v="30"/>
    <n v="32"/>
    <n v="726"/>
    <n v="1"/>
    <n v="5"/>
    <n v="4"/>
    <n v="6"/>
    <n v="15"/>
    <n v="2"/>
    <x v="1"/>
  </r>
  <r>
    <n v="3732"/>
    <n v="1955"/>
    <x v="0"/>
    <x v="2"/>
    <x v="2"/>
    <n v="52750"/>
    <x v="0"/>
    <n v="0"/>
    <n v="1"/>
    <x v="2"/>
    <x v="475"/>
    <n v="72"/>
    <x v="0"/>
    <n v="0"/>
    <n v="393"/>
    <n v="0"/>
    <n v="239"/>
    <n v="90"/>
    <n v="69"/>
    <n v="69"/>
    <n v="860"/>
    <n v="6"/>
    <n v="5"/>
    <n v="7"/>
    <n v="9"/>
    <n v="21"/>
    <n v="4"/>
    <x v="0"/>
  </r>
  <r>
    <n v="6303"/>
    <n v="1986"/>
    <x v="2"/>
    <x v="1"/>
    <x v="1"/>
    <n v="91820"/>
    <x v="2"/>
    <n v="0"/>
    <n v="0"/>
    <x v="0"/>
    <x v="81"/>
    <n v="72"/>
    <x v="0"/>
    <n v="0"/>
    <n v="410"/>
    <n v="73"/>
    <n v="747"/>
    <n v="76"/>
    <n v="161"/>
    <n v="30"/>
    <n v="1497"/>
    <n v="0"/>
    <n v="5"/>
    <n v="5"/>
    <n v="12"/>
    <n v="22"/>
    <n v="1"/>
    <x v="0"/>
  </r>
  <r>
    <n v="11176"/>
    <n v="1970"/>
    <x v="1"/>
    <x v="1"/>
    <x v="1"/>
    <n v="65968"/>
    <x v="0"/>
    <n v="0"/>
    <n v="1"/>
    <x v="2"/>
    <x v="44"/>
    <n v="12"/>
    <x v="1"/>
    <n v="0"/>
    <n v="376"/>
    <n v="9"/>
    <n v="83"/>
    <n v="19"/>
    <n v="4"/>
    <n v="4"/>
    <n v="495"/>
    <n v="2"/>
    <n v="5"/>
    <n v="4"/>
    <n v="7"/>
    <n v="16"/>
    <n v="3"/>
    <x v="0"/>
  </r>
  <r>
    <n v="2986"/>
    <n v="1976"/>
    <x v="3"/>
    <x v="0"/>
    <x v="2"/>
    <n v="30772"/>
    <x v="3"/>
    <n v="1"/>
    <n v="1"/>
    <x v="1"/>
    <x v="432"/>
    <n v="89"/>
    <x v="0"/>
    <n v="0"/>
    <n v="7"/>
    <n v="2"/>
    <n v="4"/>
    <n v="2"/>
    <n v="1"/>
    <n v="4"/>
    <n v="20"/>
    <n v="1"/>
    <n v="1"/>
    <n v="0"/>
    <n v="2"/>
    <n v="3"/>
    <n v="6"/>
    <x v="0"/>
  </r>
  <r>
    <n v="7462"/>
    <n v="1954"/>
    <x v="0"/>
    <x v="0"/>
    <x v="0"/>
    <n v="22507"/>
    <x v="3"/>
    <n v="0"/>
    <n v="0"/>
    <x v="0"/>
    <x v="12"/>
    <n v="67"/>
    <x v="0"/>
    <n v="0"/>
    <n v="68"/>
    <n v="0"/>
    <n v="226"/>
    <n v="51"/>
    <n v="157"/>
    <n v="68"/>
    <n v="570"/>
    <n v="3"/>
    <n v="10"/>
    <n v="2"/>
    <n v="4"/>
    <n v="16"/>
    <n v="9"/>
    <x v="0"/>
  </r>
  <r>
    <n v="3900"/>
    <n v="1972"/>
    <x v="1"/>
    <x v="0"/>
    <x v="2"/>
    <n v="65685"/>
    <x v="0"/>
    <n v="0"/>
    <n v="1"/>
    <x v="2"/>
    <x v="370"/>
    <n v="54"/>
    <x v="0"/>
    <n v="0"/>
    <n v="642"/>
    <n v="14"/>
    <n v="49"/>
    <n v="0"/>
    <n v="7"/>
    <n v="57"/>
    <n v="769"/>
    <n v="1"/>
    <n v="9"/>
    <n v="2"/>
    <n v="9"/>
    <n v="20"/>
    <n v="5"/>
    <x v="0"/>
  </r>
  <r>
    <n v="7034"/>
    <n v="1978"/>
    <x v="3"/>
    <x v="2"/>
    <x v="2"/>
    <n v="25804"/>
    <x v="3"/>
    <n v="1"/>
    <n v="0"/>
    <x v="2"/>
    <x v="458"/>
    <n v="34"/>
    <x v="1"/>
    <n v="0"/>
    <n v="8"/>
    <n v="7"/>
    <n v="9"/>
    <n v="13"/>
    <n v="6"/>
    <n v="12"/>
    <n v="55"/>
    <n v="2"/>
    <n v="2"/>
    <n v="0"/>
    <n v="3"/>
    <n v="5"/>
    <n v="8"/>
    <x v="0"/>
  </r>
  <r>
    <n v="9493"/>
    <n v="1980"/>
    <x v="3"/>
    <x v="1"/>
    <x v="0"/>
    <n v="76412"/>
    <x v="2"/>
    <n v="0"/>
    <n v="0"/>
    <x v="0"/>
    <x v="476"/>
    <n v="15"/>
    <x v="1"/>
    <n v="0"/>
    <n v="840"/>
    <n v="53"/>
    <n v="804"/>
    <n v="23"/>
    <n v="71"/>
    <n v="17"/>
    <n v="1808"/>
    <n v="1"/>
    <n v="5"/>
    <n v="4"/>
    <n v="8"/>
    <n v="17"/>
    <n v="3"/>
    <x v="1"/>
  </r>
  <r>
    <n v="1143"/>
    <n v="1972"/>
    <x v="1"/>
    <x v="0"/>
    <x v="2"/>
    <n v="22063"/>
    <x v="3"/>
    <n v="1"/>
    <n v="0"/>
    <x v="2"/>
    <x v="364"/>
    <n v="43"/>
    <x v="1"/>
    <n v="0"/>
    <n v="7"/>
    <n v="10"/>
    <n v="13"/>
    <n v="3"/>
    <n v="11"/>
    <n v="11"/>
    <n v="55"/>
    <n v="2"/>
    <n v="2"/>
    <n v="0"/>
    <n v="3"/>
    <n v="5"/>
    <n v="7"/>
    <x v="0"/>
  </r>
  <r>
    <n v="1"/>
    <n v="1961"/>
    <x v="5"/>
    <x v="0"/>
    <x v="0"/>
    <n v="57091"/>
    <x v="0"/>
    <n v="0"/>
    <n v="0"/>
    <x v="0"/>
    <x v="150"/>
    <n v="0"/>
    <x v="1"/>
    <n v="0"/>
    <n v="464"/>
    <n v="5"/>
    <n v="64"/>
    <n v="7"/>
    <n v="0"/>
    <n v="37"/>
    <n v="577"/>
    <n v="1"/>
    <n v="7"/>
    <n v="3"/>
    <n v="7"/>
    <n v="17"/>
    <n v="5"/>
    <x v="0"/>
  </r>
  <r>
    <n v="5989"/>
    <n v="1959"/>
    <x v="0"/>
    <x v="2"/>
    <x v="3"/>
    <n v="78353"/>
    <x v="2"/>
    <n v="0"/>
    <n v="1"/>
    <x v="2"/>
    <x v="254"/>
    <n v="51"/>
    <x v="0"/>
    <n v="0"/>
    <n v="752"/>
    <n v="122"/>
    <n v="476"/>
    <n v="39"/>
    <n v="153"/>
    <n v="34"/>
    <n v="1576"/>
    <n v="1"/>
    <n v="10"/>
    <n v="2"/>
    <n v="11"/>
    <n v="23"/>
    <n v="8"/>
    <x v="0"/>
  </r>
  <r>
    <n v="9499"/>
    <n v="1954"/>
    <x v="0"/>
    <x v="0"/>
    <x v="2"/>
    <n v="93404"/>
    <x v="2"/>
    <n v="1"/>
    <n v="2"/>
    <x v="3"/>
    <x v="407"/>
    <n v="97"/>
    <x v="0"/>
    <n v="0"/>
    <n v="1279"/>
    <n v="15"/>
    <n v="287"/>
    <n v="20"/>
    <n v="0"/>
    <n v="15"/>
    <n v="1616"/>
    <n v="3"/>
    <n v="3"/>
    <n v="4"/>
    <n v="7"/>
    <n v="14"/>
    <n v="5"/>
    <x v="0"/>
  </r>
  <r>
    <n v="6768"/>
    <n v="1962"/>
    <x v="0"/>
    <x v="0"/>
    <x v="3"/>
    <n v="37859"/>
    <x v="1"/>
    <n v="1"/>
    <n v="2"/>
    <x v="3"/>
    <x v="232"/>
    <n v="75"/>
    <x v="0"/>
    <n v="0"/>
    <n v="22"/>
    <n v="1"/>
    <n v="8"/>
    <n v="2"/>
    <n v="1"/>
    <n v="2"/>
    <n v="36"/>
    <n v="2"/>
    <n v="1"/>
    <n v="0"/>
    <n v="3"/>
    <n v="4"/>
    <n v="8"/>
    <x v="0"/>
  </r>
  <r>
    <n v="2150"/>
    <n v="1958"/>
    <x v="0"/>
    <x v="1"/>
    <x v="4"/>
    <n v="80995"/>
    <x v="2"/>
    <n v="0"/>
    <n v="1"/>
    <x v="2"/>
    <x v="28"/>
    <n v="83"/>
    <x v="0"/>
    <n v="0"/>
    <n v="860"/>
    <n v="28"/>
    <n v="409"/>
    <n v="73"/>
    <n v="56"/>
    <n v="56"/>
    <n v="1482"/>
    <n v="1"/>
    <n v="8"/>
    <n v="9"/>
    <n v="4"/>
    <n v="21"/>
    <n v="4"/>
    <x v="0"/>
  </r>
  <r>
    <n v="6646"/>
    <n v="1984"/>
    <x v="2"/>
    <x v="0"/>
    <x v="1"/>
    <n v="16529"/>
    <x v="3"/>
    <n v="1"/>
    <n v="0"/>
    <x v="2"/>
    <x v="137"/>
    <n v="23"/>
    <x v="1"/>
    <n v="0"/>
    <n v="3"/>
    <n v="0"/>
    <n v="5"/>
    <n v="13"/>
    <n v="0"/>
    <n v="1"/>
    <n v="22"/>
    <n v="1"/>
    <n v="1"/>
    <n v="0"/>
    <n v="3"/>
    <n v="4"/>
    <n v="6"/>
    <x v="0"/>
  </r>
  <r>
    <n v="4887"/>
    <n v="1976"/>
    <x v="3"/>
    <x v="1"/>
    <x v="3"/>
    <n v="55412"/>
    <x v="0"/>
    <n v="1"/>
    <n v="1"/>
    <x v="1"/>
    <x v="26"/>
    <n v="65"/>
    <x v="0"/>
    <n v="0"/>
    <n v="10"/>
    <n v="5"/>
    <n v="28"/>
    <n v="11"/>
    <n v="1"/>
    <n v="8"/>
    <n v="63"/>
    <n v="1"/>
    <n v="2"/>
    <n v="0"/>
    <n v="3"/>
    <n v="5"/>
    <n v="5"/>
    <x v="0"/>
  </r>
  <r>
    <n v="8560"/>
    <n v="1992"/>
    <x v="2"/>
    <x v="0"/>
    <x v="0"/>
    <n v="48789"/>
    <x v="1"/>
    <n v="0"/>
    <n v="0"/>
    <x v="0"/>
    <x v="169"/>
    <n v="94"/>
    <x v="0"/>
    <n v="0"/>
    <n v="351"/>
    <n v="16"/>
    <n v="156"/>
    <n v="7"/>
    <n v="5"/>
    <n v="145"/>
    <n v="680"/>
    <n v="1"/>
    <n v="6"/>
    <n v="4"/>
    <n v="7"/>
    <n v="17"/>
    <n v="6"/>
    <x v="0"/>
  </r>
  <r>
    <n v="3321"/>
    <n v="1967"/>
    <x v="1"/>
    <x v="1"/>
    <x v="1"/>
    <n v="56575"/>
    <x v="0"/>
    <n v="0"/>
    <n v="2"/>
    <x v="1"/>
    <x v="476"/>
    <n v="42"/>
    <x v="1"/>
    <n v="0"/>
    <n v="421"/>
    <n v="5"/>
    <n v="90"/>
    <n v="0"/>
    <n v="16"/>
    <n v="10"/>
    <n v="542"/>
    <n v="3"/>
    <n v="7"/>
    <n v="3"/>
    <n v="7"/>
    <n v="17"/>
    <n v="5"/>
    <x v="0"/>
  </r>
  <r>
    <n v="11003"/>
    <n v="1980"/>
    <x v="3"/>
    <x v="2"/>
    <x v="1"/>
    <n v="25130"/>
    <x v="3"/>
    <n v="1"/>
    <n v="0"/>
    <x v="2"/>
    <x v="38"/>
    <n v="10"/>
    <x v="1"/>
    <n v="0"/>
    <n v="2"/>
    <n v="5"/>
    <n v="7"/>
    <n v="0"/>
    <n v="18"/>
    <n v="18"/>
    <n v="50"/>
    <n v="2"/>
    <n v="2"/>
    <n v="0"/>
    <n v="3"/>
    <n v="5"/>
    <n v="7"/>
    <x v="0"/>
  </r>
  <r>
    <n v="10402"/>
    <n v="1967"/>
    <x v="1"/>
    <x v="0"/>
    <x v="2"/>
    <n v="35441"/>
    <x v="3"/>
    <n v="1"/>
    <n v="1"/>
    <x v="1"/>
    <x v="477"/>
    <n v="94"/>
    <x v="0"/>
    <n v="0"/>
    <n v="25"/>
    <n v="1"/>
    <n v="9"/>
    <n v="2"/>
    <n v="1"/>
    <n v="1"/>
    <n v="39"/>
    <n v="2"/>
    <n v="1"/>
    <n v="0"/>
    <n v="3"/>
    <n v="4"/>
    <n v="8"/>
    <x v="0"/>
  </r>
  <r>
    <n v="9904"/>
    <n v="1956"/>
    <x v="0"/>
    <x v="0"/>
    <x v="2"/>
    <n v="71391"/>
    <x v="2"/>
    <n v="0"/>
    <n v="1"/>
    <x v="2"/>
    <x v="443"/>
    <n v="50"/>
    <x v="0"/>
    <n v="0"/>
    <n v="336"/>
    <n v="123"/>
    <n v="274"/>
    <n v="46"/>
    <n v="123"/>
    <n v="141"/>
    <n v="1043"/>
    <n v="5"/>
    <n v="6"/>
    <n v="5"/>
    <n v="12"/>
    <n v="23"/>
    <n v="3"/>
    <x v="0"/>
  </r>
  <r>
    <n v="6141"/>
    <n v="1972"/>
    <x v="1"/>
    <x v="2"/>
    <x v="0"/>
    <n v="49494"/>
    <x v="1"/>
    <n v="1"/>
    <n v="0"/>
    <x v="2"/>
    <x v="307"/>
    <n v="46"/>
    <x v="1"/>
    <n v="0"/>
    <n v="191"/>
    <n v="9"/>
    <n v="97"/>
    <n v="0"/>
    <n v="6"/>
    <n v="82"/>
    <n v="385"/>
    <n v="2"/>
    <n v="6"/>
    <n v="1"/>
    <n v="5"/>
    <n v="12"/>
    <n v="7"/>
    <x v="0"/>
  </r>
  <r>
    <n v="5687"/>
    <n v="1980"/>
    <x v="3"/>
    <x v="0"/>
    <x v="3"/>
    <n v="81702"/>
    <x v="2"/>
    <n v="0"/>
    <n v="0"/>
    <x v="0"/>
    <x v="385"/>
    <n v="98"/>
    <x v="0"/>
    <n v="0"/>
    <n v="563"/>
    <n v="50"/>
    <n v="774"/>
    <n v="28"/>
    <n v="31"/>
    <n v="187"/>
    <n v="1633"/>
    <n v="1"/>
    <n v="7"/>
    <n v="7"/>
    <n v="12"/>
    <n v="26"/>
    <n v="3"/>
    <x v="0"/>
  </r>
  <r>
    <n v="10856"/>
    <n v="1980"/>
    <x v="3"/>
    <x v="2"/>
    <x v="0"/>
    <n v="45889"/>
    <x v="1"/>
    <n v="0"/>
    <n v="1"/>
    <x v="2"/>
    <x v="250"/>
    <n v="42"/>
    <x v="1"/>
    <n v="0"/>
    <n v="31"/>
    <n v="0"/>
    <n v="6"/>
    <n v="0"/>
    <n v="1"/>
    <n v="8"/>
    <n v="46"/>
    <n v="1"/>
    <n v="1"/>
    <n v="0"/>
    <n v="3"/>
    <n v="4"/>
    <n v="6"/>
    <x v="0"/>
  </r>
  <r>
    <n v="5121"/>
    <n v="1977"/>
    <x v="3"/>
    <x v="0"/>
    <x v="0"/>
    <n v="56628"/>
    <x v="0"/>
    <n v="0"/>
    <n v="1"/>
    <x v="2"/>
    <x v="478"/>
    <n v="30"/>
    <x v="1"/>
    <n v="0"/>
    <n v="479"/>
    <n v="5"/>
    <n v="82"/>
    <n v="7"/>
    <n v="17"/>
    <n v="171"/>
    <n v="761"/>
    <n v="2"/>
    <n v="7"/>
    <n v="6"/>
    <n v="5"/>
    <n v="18"/>
    <n v="5"/>
    <x v="1"/>
  </r>
  <r>
    <n v="4186"/>
    <n v="1950"/>
    <x v="4"/>
    <x v="0"/>
    <x v="1"/>
    <n v="34026"/>
    <x v="3"/>
    <n v="1"/>
    <n v="1"/>
    <x v="1"/>
    <x v="479"/>
    <n v="11"/>
    <x v="1"/>
    <n v="0"/>
    <n v="18"/>
    <n v="6"/>
    <n v="15"/>
    <n v="12"/>
    <n v="8"/>
    <n v="17"/>
    <n v="76"/>
    <n v="3"/>
    <n v="2"/>
    <n v="1"/>
    <n v="3"/>
    <n v="6"/>
    <n v="5"/>
    <x v="0"/>
  </r>
  <r>
    <n v="368"/>
    <n v="1974"/>
    <x v="3"/>
    <x v="0"/>
    <x v="2"/>
    <n v="40049"/>
    <x v="1"/>
    <n v="0"/>
    <n v="1"/>
    <x v="2"/>
    <x v="480"/>
    <n v="61"/>
    <x v="0"/>
    <n v="0"/>
    <n v="91"/>
    <n v="65"/>
    <n v="52"/>
    <n v="10"/>
    <n v="44"/>
    <n v="28"/>
    <n v="290"/>
    <n v="3"/>
    <n v="3"/>
    <n v="2"/>
    <n v="6"/>
    <n v="11"/>
    <n v="5"/>
    <x v="0"/>
  </r>
  <r>
    <n v="11121"/>
    <n v="1981"/>
    <x v="3"/>
    <x v="0"/>
    <x v="2"/>
    <n v="19419"/>
    <x v="3"/>
    <n v="1"/>
    <n v="0"/>
    <x v="2"/>
    <x v="98"/>
    <n v="76"/>
    <x v="0"/>
    <n v="0"/>
    <n v="2"/>
    <n v="14"/>
    <n v="28"/>
    <n v="16"/>
    <n v="3"/>
    <n v="7"/>
    <n v="70"/>
    <n v="4"/>
    <n v="4"/>
    <n v="0"/>
    <n v="3"/>
    <n v="7"/>
    <n v="9"/>
    <x v="0"/>
  </r>
  <r>
    <n v="5332"/>
    <n v="1960"/>
    <x v="0"/>
    <x v="2"/>
    <x v="2"/>
    <n v="82504"/>
    <x v="2"/>
    <n v="0"/>
    <n v="0"/>
    <x v="0"/>
    <x v="481"/>
    <n v="2"/>
    <x v="1"/>
    <n v="0"/>
    <n v="362"/>
    <n v="50"/>
    <n v="431"/>
    <n v="134"/>
    <n v="35"/>
    <n v="54"/>
    <n v="1066"/>
    <n v="1"/>
    <n v="3"/>
    <n v="6"/>
    <n v="7"/>
    <n v="16"/>
    <n v="1"/>
    <x v="1"/>
  </r>
  <r>
    <n v="5848"/>
    <n v="1970"/>
    <x v="1"/>
    <x v="0"/>
    <x v="1"/>
    <n v="81205"/>
    <x v="2"/>
    <n v="0"/>
    <n v="0"/>
    <x v="0"/>
    <x v="482"/>
    <n v="43"/>
    <x v="1"/>
    <n v="0"/>
    <n v="724"/>
    <n v="74"/>
    <n v="929"/>
    <n v="97"/>
    <n v="55"/>
    <n v="130"/>
    <n v="2009"/>
    <n v="1"/>
    <n v="5"/>
    <n v="6"/>
    <n v="7"/>
    <n v="18"/>
    <n v="2"/>
    <x v="1"/>
  </r>
  <r>
    <n v="10343"/>
    <n v="1991"/>
    <x v="2"/>
    <x v="2"/>
    <x v="0"/>
    <n v="61618"/>
    <x v="0"/>
    <n v="0"/>
    <n v="0"/>
    <x v="0"/>
    <x v="483"/>
    <n v="27"/>
    <x v="1"/>
    <n v="0"/>
    <n v="605"/>
    <n v="91"/>
    <n v="399"/>
    <n v="0"/>
    <n v="45"/>
    <n v="205"/>
    <n v="1345"/>
    <n v="2"/>
    <n v="3"/>
    <n v="6"/>
    <n v="8"/>
    <n v="17"/>
    <n v="3"/>
    <x v="1"/>
  </r>
  <r>
    <n v="5935"/>
    <n v="1956"/>
    <x v="0"/>
    <x v="2"/>
    <x v="0"/>
    <n v="55284"/>
    <x v="0"/>
    <n v="0"/>
    <n v="1"/>
    <x v="2"/>
    <x v="13"/>
    <n v="60"/>
    <x v="0"/>
    <n v="0"/>
    <n v="547"/>
    <n v="7"/>
    <n v="140"/>
    <n v="0"/>
    <n v="7"/>
    <n v="63"/>
    <n v="764"/>
    <n v="3"/>
    <n v="7"/>
    <n v="5"/>
    <n v="8"/>
    <n v="20"/>
    <n v="5"/>
    <x v="0"/>
  </r>
  <r>
    <n v="2895"/>
    <n v="1963"/>
    <x v="1"/>
    <x v="0"/>
    <x v="0"/>
    <n v="49980"/>
    <x v="1"/>
    <n v="0"/>
    <n v="1"/>
    <x v="2"/>
    <x v="484"/>
    <n v="79"/>
    <x v="0"/>
    <n v="0"/>
    <n v="104"/>
    <n v="1"/>
    <n v="54"/>
    <n v="13"/>
    <n v="9"/>
    <n v="14"/>
    <n v="195"/>
    <n v="2"/>
    <n v="3"/>
    <n v="1"/>
    <n v="5"/>
    <n v="9"/>
    <n v="5"/>
    <x v="0"/>
  </r>
  <r>
    <n v="10262"/>
    <n v="1980"/>
    <x v="3"/>
    <x v="0"/>
    <x v="2"/>
    <n v="15072"/>
    <x v="3"/>
    <n v="2"/>
    <n v="0"/>
    <x v="1"/>
    <x v="456"/>
    <n v="96"/>
    <x v="0"/>
    <n v="0"/>
    <n v="8"/>
    <n v="2"/>
    <n v="15"/>
    <n v="0"/>
    <n v="10"/>
    <n v="18"/>
    <n v="53"/>
    <n v="4"/>
    <n v="3"/>
    <n v="1"/>
    <n v="3"/>
    <n v="7"/>
    <n v="5"/>
    <x v="0"/>
  </r>
  <r>
    <n v="7848"/>
    <n v="1974"/>
    <x v="3"/>
    <x v="0"/>
    <x v="0"/>
    <n v="49166"/>
    <x v="1"/>
    <n v="0"/>
    <n v="1"/>
    <x v="2"/>
    <x v="225"/>
    <n v="17"/>
    <x v="1"/>
    <n v="0"/>
    <n v="224"/>
    <n v="2"/>
    <n v="25"/>
    <n v="7"/>
    <n v="0"/>
    <n v="110"/>
    <n v="368"/>
    <n v="2"/>
    <n v="5"/>
    <n v="3"/>
    <n v="3"/>
    <n v="11"/>
    <n v="6"/>
    <x v="0"/>
  </r>
  <r>
    <n v="4856"/>
    <n v="1957"/>
    <x v="0"/>
    <x v="2"/>
    <x v="2"/>
    <n v="82347"/>
    <x v="2"/>
    <n v="0"/>
    <n v="0"/>
    <x v="0"/>
    <x v="485"/>
    <n v="38"/>
    <x v="1"/>
    <n v="0"/>
    <n v="556"/>
    <n v="54"/>
    <n v="845"/>
    <n v="202"/>
    <n v="133"/>
    <n v="63"/>
    <n v="1853"/>
    <n v="1"/>
    <n v="7"/>
    <n v="7"/>
    <n v="10"/>
    <n v="24"/>
    <n v="3"/>
    <x v="1"/>
  </r>
  <r>
    <n v="7186"/>
    <n v="1966"/>
    <x v="1"/>
    <x v="1"/>
    <x v="1"/>
    <n v="30843"/>
    <x v="3"/>
    <n v="1"/>
    <n v="1"/>
    <x v="1"/>
    <x v="486"/>
    <n v="43"/>
    <x v="1"/>
    <n v="0"/>
    <n v="24"/>
    <n v="0"/>
    <n v="2"/>
    <n v="0"/>
    <n v="0"/>
    <n v="9"/>
    <n v="35"/>
    <n v="2"/>
    <n v="1"/>
    <n v="1"/>
    <n v="2"/>
    <n v="4"/>
    <n v="5"/>
    <x v="0"/>
  </r>
  <r>
    <n v="5794"/>
    <n v="1974"/>
    <x v="3"/>
    <x v="1"/>
    <x v="2"/>
    <n v="46374"/>
    <x v="1"/>
    <n v="0"/>
    <n v="1"/>
    <x v="2"/>
    <x v="233"/>
    <n v="1"/>
    <x v="1"/>
    <n v="0"/>
    <n v="408"/>
    <n v="0"/>
    <n v="21"/>
    <n v="0"/>
    <n v="0"/>
    <n v="17"/>
    <n v="446"/>
    <n v="3"/>
    <n v="7"/>
    <n v="1"/>
    <n v="7"/>
    <n v="15"/>
    <n v="8"/>
    <x v="0"/>
  </r>
  <r>
    <n v="1456"/>
    <n v="1979"/>
    <x v="3"/>
    <x v="0"/>
    <x v="0"/>
    <n v="60474"/>
    <x v="0"/>
    <n v="0"/>
    <n v="1"/>
    <x v="2"/>
    <x v="322"/>
    <n v="25"/>
    <x v="1"/>
    <n v="0"/>
    <n v="265"/>
    <n v="199"/>
    <n v="303"/>
    <n v="234"/>
    <n v="9"/>
    <n v="170"/>
    <n v="1180"/>
    <n v="7"/>
    <n v="10"/>
    <n v="2"/>
    <n v="12"/>
    <n v="24"/>
    <n v="7"/>
    <x v="1"/>
  </r>
  <r>
    <n v="4877"/>
    <n v="1973"/>
    <x v="3"/>
    <x v="2"/>
    <x v="2"/>
    <n v="38576"/>
    <x v="1"/>
    <n v="0"/>
    <n v="1"/>
    <x v="2"/>
    <x v="487"/>
    <n v="2"/>
    <x v="1"/>
    <n v="0"/>
    <n v="34"/>
    <n v="0"/>
    <n v="7"/>
    <n v="0"/>
    <n v="0"/>
    <n v="0"/>
    <n v="41"/>
    <n v="1"/>
    <n v="1"/>
    <n v="0"/>
    <n v="3"/>
    <n v="4"/>
    <n v="7"/>
    <x v="0"/>
  </r>
  <r>
    <n v="425"/>
    <n v="1985"/>
    <x v="2"/>
    <x v="0"/>
    <x v="2"/>
    <n v="55357"/>
    <x v="0"/>
    <n v="2"/>
    <n v="0"/>
    <x v="1"/>
    <x v="103"/>
    <n v="66"/>
    <x v="0"/>
    <n v="0"/>
    <n v="374"/>
    <n v="64"/>
    <n v="116"/>
    <n v="84"/>
    <n v="25"/>
    <n v="64"/>
    <n v="727"/>
    <n v="3"/>
    <n v="6"/>
    <n v="2"/>
    <n v="11"/>
    <n v="19"/>
    <n v="5"/>
    <x v="0"/>
  </r>
  <r>
    <n v="3007"/>
    <n v="1966"/>
    <x v="1"/>
    <x v="0"/>
    <x v="1"/>
    <n v="37758"/>
    <x v="1"/>
    <n v="1"/>
    <n v="1"/>
    <x v="1"/>
    <x v="427"/>
    <n v="49"/>
    <x v="0"/>
    <n v="0"/>
    <n v="27"/>
    <n v="2"/>
    <n v="10"/>
    <n v="0"/>
    <n v="0"/>
    <n v="1"/>
    <n v="40"/>
    <n v="2"/>
    <n v="1"/>
    <n v="0"/>
    <n v="3"/>
    <n v="4"/>
    <n v="8"/>
    <x v="0"/>
  </r>
  <r>
    <n v="1031"/>
    <n v="1989"/>
    <x v="2"/>
    <x v="2"/>
    <x v="2"/>
    <n v="85710"/>
    <x v="2"/>
    <n v="0"/>
    <n v="0"/>
    <x v="0"/>
    <x v="476"/>
    <n v="5"/>
    <x v="1"/>
    <n v="0"/>
    <n v="600"/>
    <n v="20"/>
    <n v="350"/>
    <n v="29"/>
    <n v="30"/>
    <n v="33"/>
    <n v="1062"/>
    <n v="1"/>
    <n v="6"/>
    <n v="9"/>
    <n v="10"/>
    <n v="25"/>
    <n v="2"/>
    <x v="1"/>
  </r>
  <r>
    <n v="4297"/>
    <n v="1969"/>
    <x v="1"/>
    <x v="0"/>
    <x v="1"/>
    <n v="23228"/>
    <x v="3"/>
    <n v="1"/>
    <n v="0"/>
    <x v="2"/>
    <x v="340"/>
    <n v="71"/>
    <x v="0"/>
    <n v="0"/>
    <n v="13"/>
    <n v="2"/>
    <n v="18"/>
    <n v="6"/>
    <n v="1"/>
    <n v="0"/>
    <n v="40"/>
    <n v="2"/>
    <n v="2"/>
    <n v="0"/>
    <n v="3"/>
    <n v="5"/>
    <n v="8"/>
    <x v="0"/>
  </r>
  <r>
    <n v="807"/>
    <n v="1969"/>
    <x v="1"/>
    <x v="2"/>
    <x v="1"/>
    <n v="44602"/>
    <x v="1"/>
    <n v="1"/>
    <n v="1"/>
    <x v="1"/>
    <x v="363"/>
    <n v="35"/>
    <x v="1"/>
    <n v="0"/>
    <n v="167"/>
    <n v="2"/>
    <n v="89"/>
    <n v="0"/>
    <n v="0"/>
    <n v="34"/>
    <n v="292"/>
    <n v="6"/>
    <n v="6"/>
    <n v="1"/>
    <n v="4"/>
    <n v="11"/>
    <n v="8"/>
    <x v="0"/>
  </r>
  <r>
    <n v="9553"/>
    <n v="1987"/>
    <x v="2"/>
    <x v="0"/>
    <x v="2"/>
    <n v="7500"/>
    <x v="3"/>
    <n v="0"/>
    <n v="0"/>
    <x v="0"/>
    <x v="200"/>
    <n v="94"/>
    <x v="0"/>
    <n v="0"/>
    <n v="0"/>
    <n v="2"/>
    <n v="3"/>
    <n v="4"/>
    <n v="1"/>
    <n v="5"/>
    <n v="15"/>
    <n v="1"/>
    <n v="0"/>
    <n v="0"/>
    <n v="3"/>
    <n v="3"/>
    <n v="6"/>
    <x v="0"/>
  </r>
  <r>
    <n v="4271"/>
    <n v="1989"/>
    <x v="2"/>
    <x v="2"/>
    <x v="1"/>
    <n v="38683"/>
    <x v="1"/>
    <n v="1"/>
    <n v="0"/>
    <x v="2"/>
    <x v="427"/>
    <n v="80"/>
    <x v="0"/>
    <n v="0"/>
    <n v="46"/>
    <n v="35"/>
    <n v="69"/>
    <n v="84"/>
    <n v="41"/>
    <n v="66"/>
    <n v="341"/>
    <n v="6"/>
    <n v="4"/>
    <n v="1"/>
    <n v="6"/>
    <n v="11"/>
    <n v="7"/>
    <x v="0"/>
  </r>
  <r>
    <n v="4120"/>
    <n v="1975"/>
    <x v="3"/>
    <x v="2"/>
    <x v="0"/>
    <n v="49514"/>
    <x v="1"/>
    <n v="1"/>
    <n v="0"/>
    <x v="2"/>
    <x v="241"/>
    <n v="61"/>
    <x v="0"/>
    <n v="0"/>
    <n v="88"/>
    <n v="39"/>
    <n v="78"/>
    <n v="58"/>
    <n v="13"/>
    <n v="93"/>
    <n v="369"/>
    <n v="2"/>
    <n v="6"/>
    <n v="1"/>
    <n v="4"/>
    <n v="11"/>
    <n v="7"/>
    <x v="0"/>
  </r>
  <r>
    <n v="2036"/>
    <n v="1973"/>
    <x v="3"/>
    <x v="1"/>
    <x v="1"/>
    <n v="57906"/>
    <x v="0"/>
    <n v="0"/>
    <n v="1"/>
    <x v="2"/>
    <x v="56"/>
    <n v="29"/>
    <x v="1"/>
    <n v="0"/>
    <n v="243"/>
    <n v="11"/>
    <n v="119"/>
    <n v="10"/>
    <n v="3"/>
    <n v="15"/>
    <n v="401"/>
    <n v="3"/>
    <n v="4"/>
    <n v="2"/>
    <n v="8"/>
    <n v="14"/>
    <n v="4"/>
    <x v="0"/>
  </r>
  <r>
    <n v="115"/>
    <n v="1966"/>
    <x v="1"/>
    <x v="2"/>
    <x v="0"/>
    <n v="43456"/>
    <x v="1"/>
    <n v="0"/>
    <n v="1"/>
    <x v="2"/>
    <x v="182"/>
    <n v="0"/>
    <x v="1"/>
    <n v="0"/>
    <n v="275"/>
    <n v="11"/>
    <n v="68"/>
    <n v="25"/>
    <n v="7"/>
    <n v="7"/>
    <n v="393"/>
    <n v="3"/>
    <n v="5"/>
    <n v="1"/>
    <n v="8"/>
    <n v="14"/>
    <n v="5"/>
    <x v="0"/>
  </r>
  <r>
    <n v="4259"/>
    <n v="1986"/>
    <x v="2"/>
    <x v="2"/>
    <x v="0"/>
    <n v="19485"/>
    <x v="3"/>
    <n v="2"/>
    <n v="0"/>
    <x v="1"/>
    <x v="94"/>
    <n v="80"/>
    <x v="0"/>
    <n v="0"/>
    <n v="6"/>
    <n v="0"/>
    <n v="4"/>
    <n v="0"/>
    <n v="0"/>
    <n v="0"/>
    <n v="10"/>
    <n v="1"/>
    <n v="1"/>
    <n v="0"/>
    <n v="2"/>
    <n v="3"/>
    <n v="7"/>
    <x v="0"/>
  </r>
  <r>
    <n v="8687"/>
    <n v="1978"/>
    <x v="3"/>
    <x v="0"/>
    <x v="1"/>
    <n v="53172"/>
    <x v="0"/>
    <n v="0"/>
    <n v="1"/>
    <x v="2"/>
    <x v="397"/>
    <n v="54"/>
    <x v="0"/>
    <n v="0"/>
    <n v="121"/>
    <n v="62"/>
    <n v="90"/>
    <n v="68"/>
    <n v="20"/>
    <n v="125"/>
    <n v="486"/>
    <n v="3"/>
    <n v="2"/>
    <n v="3"/>
    <n v="8"/>
    <n v="13"/>
    <n v="3"/>
    <x v="0"/>
  </r>
  <r>
    <n v="2447"/>
    <n v="1979"/>
    <x v="3"/>
    <x v="0"/>
    <x v="1"/>
    <n v="30545"/>
    <x v="3"/>
    <n v="1"/>
    <n v="0"/>
    <x v="2"/>
    <x v="297"/>
    <n v="71"/>
    <x v="0"/>
    <n v="0"/>
    <n v="4"/>
    <n v="12"/>
    <n v="15"/>
    <n v="19"/>
    <n v="7"/>
    <n v="12"/>
    <n v="69"/>
    <n v="2"/>
    <n v="2"/>
    <n v="0"/>
    <n v="3"/>
    <n v="5"/>
    <n v="7"/>
    <x v="0"/>
  </r>
  <r>
    <n v="10140"/>
    <n v="1983"/>
    <x v="2"/>
    <x v="1"/>
    <x v="1"/>
    <n v="70123"/>
    <x v="2"/>
    <n v="0"/>
    <n v="0"/>
    <x v="0"/>
    <x v="148"/>
    <n v="27"/>
    <x v="1"/>
    <n v="0"/>
    <n v="1308"/>
    <n v="0"/>
    <n v="396"/>
    <n v="23"/>
    <n v="0"/>
    <n v="0"/>
    <n v="1727"/>
    <n v="1"/>
    <n v="5"/>
    <n v="7"/>
    <n v="4"/>
    <n v="16"/>
    <n v="3"/>
    <x v="1"/>
  </r>
  <r>
    <n v="9353"/>
    <n v="1959"/>
    <x v="0"/>
    <x v="0"/>
    <x v="0"/>
    <n v="62450"/>
    <x v="0"/>
    <n v="0"/>
    <n v="1"/>
    <x v="2"/>
    <x v="488"/>
    <n v="61"/>
    <x v="0"/>
    <n v="0"/>
    <n v="515"/>
    <n v="47"/>
    <n v="267"/>
    <n v="62"/>
    <n v="66"/>
    <n v="38"/>
    <n v="995"/>
    <n v="2"/>
    <n v="5"/>
    <n v="5"/>
    <n v="4"/>
    <n v="14"/>
    <n v="3"/>
    <x v="0"/>
  </r>
  <r>
    <n v="3623"/>
    <n v="1976"/>
    <x v="3"/>
    <x v="0"/>
    <x v="1"/>
    <n v="21675"/>
    <x v="3"/>
    <n v="1"/>
    <n v="0"/>
    <x v="2"/>
    <x v="489"/>
    <n v="55"/>
    <x v="0"/>
    <n v="0"/>
    <n v="4"/>
    <n v="0"/>
    <n v="16"/>
    <n v="17"/>
    <n v="4"/>
    <n v="4"/>
    <n v="45"/>
    <n v="3"/>
    <n v="4"/>
    <n v="0"/>
    <n v="3"/>
    <n v="7"/>
    <n v="7"/>
    <x v="0"/>
  </r>
  <r>
    <n v="738"/>
    <n v="1981"/>
    <x v="3"/>
    <x v="2"/>
    <x v="0"/>
    <n v="42395"/>
    <x v="1"/>
    <n v="1"/>
    <n v="1"/>
    <x v="1"/>
    <x v="143"/>
    <n v="35"/>
    <x v="1"/>
    <n v="0"/>
    <n v="48"/>
    <n v="13"/>
    <n v="57"/>
    <n v="24"/>
    <n v="15"/>
    <n v="25"/>
    <n v="182"/>
    <n v="4"/>
    <n v="3"/>
    <n v="1"/>
    <n v="4"/>
    <n v="8"/>
    <n v="7"/>
    <x v="0"/>
  </r>
  <r>
    <n v="7631"/>
    <n v="1978"/>
    <x v="3"/>
    <x v="2"/>
    <x v="1"/>
    <n v="61346"/>
    <x v="0"/>
    <n v="1"/>
    <n v="0"/>
    <x v="2"/>
    <x v="290"/>
    <n v="34"/>
    <x v="1"/>
    <n v="0"/>
    <n v="562"/>
    <n v="58"/>
    <n v="168"/>
    <n v="43"/>
    <n v="16"/>
    <n v="142"/>
    <n v="989"/>
    <n v="1"/>
    <n v="5"/>
    <n v="7"/>
    <n v="10"/>
    <n v="22"/>
    <n v="3"/>
    <x v="1"/>
  </r>
  <r>
    <n v="4789"/>
    <n v="1953"/>
    <x v="0"/>
    <x v="0"/>
    <x v="1"/>
    <n v="80812"/>
    <x v="2"/>
    <n v="0"/>
    <n v="0"/>
    <x v="0"/>
    <x v="390"/>
    <n v="95"/>
    <x v="0"/>
    <n v="0"/>
    <n v="769"/>
    <n v="22"/>
    <n v="500"/>
    <n v="210"/>
    <n v="143"/>
    <n v="33"/>
    <n v="1677"/>
    <n v="1"/>
    <n v="4"/>
    <n v="8"/>
    <n v="5"/>
    <n v="17"/>
    <n v="2"/>
    <x v="0"/>
  </r>
  <r>
    <n v="773"/>
    <n v="1971"/>
    <x v="1"/>
    <x v="2"/>
    <x v="3"/>
    <n v="42835"/>
    <x v="1"/>
    <n v="1"/>
    <n v="1"/>
    <x v="1"/>
    <x v="258"/>
    <n v="64"/>
    <x v="0"/>
    <n v="0"/>
    <n v="379"/>
    <n v="4"/>
    <n v="93"/>
    <n v="12"/>
    <n v="9"/>
    <n v="98"/>
    <n v="595"/>
    <n v="7"/>
    <n v="6"/>
    <n v="6"/>
    <n v="4"/>
    <n v="16"/>
    <n v="6"/>
    <x v="0"/>
  </r>
  <r>
    <n v="10602"/>
    <n v="1983"/>
    <x v="2"/>
    <x v="0"/>
    <x v="2"/>
    <n v="39922"/>
    <x v="1"/>
    <n v="1"/>
    <n v="0"/>
    <x v="2"/>
    <x v="477"/>
    <n v="30"/>
    <x v="1"/>
    <n v="0"/>
    <n v="29"/>
    <n v="12"/>
    <n v="59"/>
    <n v="19"/>
    <n v="1"/>
    <n v="36"/>
    <n v="156"/>
    <n v="2"/>
    <n v="3"/>
    <n v="0"/>
    <n v="4"/>
    <n v="7"/>
    <n v="8"/>
    <x v="0"/>
  </r>
  <r>
    <n v="1446"/>
    <n v="1956"/>
    <x v="0"/>
    <x v="2"/>
    <x v="0"/>
    <n v="86424"/>
    <x v="2"/>
    <n v="0"/>
    <n v="0"/>
    <x v="0"/>
    <x v="306"/>
    <n v="12"/>
    <x v="1"/>
    <n v="0"/>
    <n v="387"/>
    <n v="68"/>
    <n v="569"/>
    <n v="89"/>
    <n v="45"/>
    <n v="68"/>
    <n v="1226"/>
    <n v="1"/>
    <n v="6"/>
    <n v="9"/>
    <n v="12"/>
    <n v="27"/>
    <n v="1"/>
    <x v="1"/>
  </r>
  <r>
    <n v="3270"/>
    <n v="1978"/>
    <x v="3"/>
    <x v="2"/>
    <x v="1"/>
    <n v="17117"/>
    <x v="3"/>
    <n v="1"/>
    <n v="0"/>
    <x v="2"/>
    <x v="160"/>
    <n v="96"/>
    <x v="0"/>
    <n v="0"/>
    <n v="12"/>
    <n v="23"/>
    <n v="38"/>
    <n v="30"/>
    <n v="18"/>
    <n v="7"/>
    <n v="128"/>
    <n v="4"/>
    <n v="3"/>
    <n v="1"/>
    <n v="3"/>
    <n v="7"/>
    <n v="9"/>
    <x v="0"/>
  </r>
  <r>
    <n v="8443"/>
    <n v="1972"/>
    <x v="1"/>
    <x v="0"/>
    <x v="0"/>
    <n v="24762"/>
    <x v="3"/>
    <n v="1"/>
    <n v="0"/>
    <x v="2"/>
    <x v="3"/>
    <n v="16"/>
    <x v="1"/>
    <n v="0"/>
    <n v="6"/>
    <n v="10"/>
    <n v="12"/>
    <n v="3"/>
    <n v="15"/>
    <n v="40"/>
    <n v="86"/>
    <n v="3"/>
    <n v="3"/>
    <n v="1"/>
    <n v="2"/>
    <n v="6"/>
    <n v="8"/>
    <x v="0"/>
  </r>
  <r>
    <n v="9653"/>
    <n v="1975"/>
    <x v="3"/>
    <x v="0"/>
    <x v="2"/>
    <n v="35797"/>
    <x v="1"/>
    <n v="0"/>
    <n v="1"/>
    <x v="2"/>
    <x v="205"/>
    <n v="16"/>
    <x v="1"/>
    <n v="0"/>
    <n v="27"/>
    <n v="1"/>
    <n v="14"/>
    <n v="4"/>
    <n v="1"/>
    <n v="21"/>
    <n v="68"/>
    <n v="2"/>
    <n v="2"/>
    <n v="0"/>
    <n v="3"/>
    <n v="5"/>
    <n v="8"/>
    <x v="0"/>
  </r>
  <r>
    <n v="8916"/>
    <n v="1975"/>
    <x v="3"/>
    <x v="0"/>
    <x v="3"/>
    <n v="36627"/>
    <x v="1"/>
    <n v="2"/>
    <n v="0"/>
    <x v="1"/>
    <x v="88"/>
    <n v="78"/>
    <x v="0"/>
    <n v="0"/>
    <n v="9"/>
    <n v="1"/>
    <n v="5"/>
    <n v="0"/>
    <n v="0"/>
    <n v="1"/>
    <n v="16"/>
    <n v="1"/>
    <n v="0"/>
    <n v="0"/>
    <n v="3"/>
    <n v="3"/>
    <n v="5"/>
    <x v="0"/>
  </r>
  <r>
    <n v="8017"/>
    <n v="1981"/>
    <x v="3"/>
    <x v="2"/>
    <x v="2"/>
    <n v="51111"/>
    <x v="1"/>
    <n v="1"/>
    <n v="1"/>
    <x v="1"/>
    <x v="490"/>
    <n v="83"/>
    <x v="0"/>
    <n v="0"/>
    <n v="22"/>
    <n v="0"/>
    <n v="19"/>
    <n v="6"/>
    <n v="5"/>
    <n v="3"/>
    <n v="55"/>
    <n v="2"/>
    <n v="2"/>
    <n v="0"/>
    <n v="3"/>
    <n v="5"/>
    <n v="6"/>
    <x v="0"/>
  </r>
  <r>
    <n v="4597"/>
    <n v="1970"/>
    <x v="1"/>
    <x v="1"/>
    <x v="1"/>
    <n v="82072"/>
    <x v="2"/>
    <n v="0"/>
    <n v="0"/>
    <x v="0"/>
    <x v="250"/>
    <n v="67"/>
    <x v="0"/>
    <n v="0"/>
    <n v="889"/>
    <n v="55"/>
    <n v="685"/>
    <n v="168"/>
    <n v="92"/>
    <n v="129"/>
    <n v="2018"/>
    <n v="1"/>
    <n v="3"/>
    <n v="2"/>
    <n v="13"/>
    <n v="18"/>
    <n v="1"/>
    <x v="0"/>
  </r>
  <r>
    <n v="7023"/>
    <n v="1953"/>
    <x v="0"/>
    <x v="1"/>
    <x v="0"/>
    <n v="46231"/>
    <x v="1"/>
    <n v="2"/>
    <n v="1"/>
    <x v="3"/>
    <x v="491"/>
    <n v="87"/>
    <x v="0"/>
    <n v="0"/>
    <n v="189"/>
    <n v="2"/>
    <n v="55"/>
    <n v="0"/>
    <n v="5"/>
    <n v="12"/>
    <n v="263"/>
    <n v="4"/>
    <n v="6"/>
    <n v="1"/>
    <n v="4"/>
    <n v="11"/>
    <n v="9"/>
    <x v="0"/>
  </r>
  <r>
    <n v="8086"/>
    <n v="1959"/>
    <x v="0"/>
    <x v="0"/>
    <x v="2"/>
    <n v="42243"/>
    <x v="1"/>
    <n v="1"/>
    <n v="1"/>
    <x v="1"/>
    <x v="492"/>
    <n v="34"/>
    <x v="1"/>
    <n v="0"/>
    <n v="48"/>
    <n v="0"/>
    <n v="2"/>
    <n v="0"/>
    <n v="0"/>
    <n v="5"/>
    <n v="55"/>
    <n v="2"/>
    <n v="2"/>
    <n v="0"/>
    <n v="3"/>
    <n v="5"/>
    <n v="7"/>
    <x v="0"/>
  </r>
  <r>
    <n v="8825"/>
    <n v="1962"/>
    <x v="0"/>
    <x v="0"/>
    <x v="1"/>
    <n v="51195"/>
    <x v="1"/>
    <n v="1"/>
    <n v="1"/>
    <x v="1"/>
    <x v="322"/>
    <n v="46"/>
    <x v="1"/>
    <n v="0"/>
    <n v="230"/>
    <n v="14"/>
    <n v="156"/>
    <n v="82"/>
    <n v="24"/>
    <n v="58"/>
    <n v="564"/>
    <n v="8"/>
    <n v="9"/>
    <n v="2"/>
    <n v="5"/>
    <n v="16"/>
    <n v="8"/>
    <x v="0"/>
  </r>
  <r>
    <n v="2930"/>
    <n v="1978"/>
    <x v="3"/>
    <x v="2"/>
    <x v="0"/>
    <n v="68092"/>
    <x v="0"/>
    <n v="0"/>
    <n v="0"/>
    <x v="0"/>
    <x v="419"/>
    <n v="7"/>
    <x v="1"/>
    <n v="0"/>
    <n v="852"/>
    <n v="60"/>
    <n v="207"/>
    <n v="78"/>
    <n v="36"/>
    <n v="48"/>
    <n v="1281"/>
    <n v="2"/>
    <n v="2"/>
    <n v="6"/>
    <n v="10"/>
    <n v="18"/>
    <n v="5"/>
    <x v="1"/>
  </r>
  <r>
    <n v="1928"/>
    <n v="1973"/>
    <x v="3"/>
    <x v="0"/>
    <x v="2"/>
    <n v="31814"/>
    <x v="3"/>
    <n v="1"/>
    <n v="0"/>
    <x v="2"/>
    <x v="454"/>
    <n v="73"/>
    <x v="0"/>
    <n v="0"/>
    <n v="35"/>
    <n v="3"/>
    <n v="20"/>
    <n v="4"/>
    <n v="1"/>
    <n v="20"/>
    <n v="83"/>
    <n v="2"/>
    <n v="2"/>
    <n v="0"/>
    <n v="3"/>
    <n v="5"/>
    <n v="9"/>
    <x v="0"/>
  </r>
  <r>
    <n v="7108"/>
    <n v="1965"/>
    <x v="1"/>
    <x v="2"/>
    <x v="4"/>
    <n v="51390"/>
    <x v="1"/>
    <n v="1"/>
    <n v="1"/>
    <x v="1"/>
    <x v="181"/>
    <n v="54"/>
    <x v="0"/>
    <n v="0"/>
    <n v="205"/>
    <n v="20"/>
    <n v="47"/>
    <n v="23"/>
    <n v="2"/>
    <n v="56"/>
    <n v="353"/>
    <n v="6"/>
    <n v="5"/>
    <n v="2"/>
    <n v="5"/>
    <n v="12"/>
    <n v="5"/>
    <x v="0"/>
  </r>
  <r>
    <n v="10925"/>
    <n v="1983"/>
    <x v="2"/>
    <x v="0"/>
    <x v="2"/>
    <n v="76630"/>
    <x v="2"/>
    <n v="0"/>
    <n v="0"/>
    <x v="0"/>
    <x v="493"/>
    <n v="93"/>
    <x v="0"/>
    <n v="0"/>
    <n v="255"/>
    <n v="31"/>
    <n v="446"/>
    <n v="40"/>
    <n v="56"/>
    <n v="175"/>
    <n v="1003"/>
    <n v="1"/>
    <n v="3"/>
    <n v="10"/>
    <n v="11"/>
    <n v="24"/>
    <n v="1"/>
    <x v="0"/>
  </r>
  <r>
    <n v="9960"/>
    <n v="1991"/>
    <x v="2"/>
    <x v="3"/>
    <x v="0"/>
    <n v="26868"/>
    <x v="3"/>
    <n v="1"/>
    <n v="0"/>
    <x v="2"/>
    <x v="67"/>
    <n v="52"/>
    <x v="0"/>
    <n v="0"/>
    <n v="0"/>
    <n v="0"/>
    <n v="1"/>
    <n v="8"/>
    <n v="3"/>
    <n v="2"/>
    <n v="14"/>
    <n v="1"/>
    <n v="1"/>
    <n v="0"/>
    <n v="2"/>
    <n v="3"/>
    <n v="7"/>
    <x v="0"/>
  </r>
  <r>
    <n v="9224"/>
    <n v="1972"/>
    <x v="1"/>
    <x v="1"/>
    <x v="0"/>
    <n v="55260"/>
    <x v="0"/>
    <n v="0"/>
    <n v="1"/>
    <x v="2"/>
    <x v="100"/>
    <n v="81"/>
    <x v="0"/>
    <n v="0"/>
    <n v="825"/>
    <n v="8"/>
    <n v="53"/>
    <n v="11"/>
    <n v="0"/>
    <n v="242"/>
    <n v="1139"/>
    <n v="2"/>
    <n v="8"/>
    <n v="10"/>
    <n v="5"/>
    <n v="23"/>
    <n v="6"/>
    <x v="0"/>
  </r>
  <r>
    <n v="5519"/>
    <n v="1956"/>
    <x v="0"/>
    <x v="0"/>
    <x v="1"/>
    <n v="64090"/>
    <x v="0"/>
    <n v="0"/>
    <n v="1"/>
    <x v="2"/>
    <x v="367"/>
    <n v="8"/>
    <x v="1"/>
    <n v="0"/>
    <n v="316"/>
    <n v="58"/>
    <n v="161"/>
    <n v="76"/>
    <n v="51"/>
    <n v="135"/>
    <n v="797"/>
    <n v="1"/>
    <n v="6"/>
    <n v="9"/>
    <n v="4"/>
    <n v="19"/>
    <n v="5"/>
    <x v="1"/>
  </r>
  <r>
    <n v="5046"/>
    <n v="1958"/>
    <x v="0"/>
    <x v="0"/>
    <x v="3"/>
    <n v="78331"/>
    <x v="2"/>
    <n v="0"/>
    <n v="1"/>
    <x v="2"/>
    <x v="494"/>
    <n v="97"/>
    <x v="0"/>
    <n v="0"/>
    <n v="756"/>
    <n v="138"/>
    <n v="354"/>
    <n v="160"/>
    <n v="169"/>
    <n v="61"/>
    <n v="1638"/>
    <n v="2"/>
    <n v="10"/>
    <n v="6"/>
    <n v="7"/>
    <n v="23"/>
    <n v="4"/>
    <x v="0"/>
  </r>
  <r>
    <n v="7037"/>
    <n v="1974"/>
    <x v="3"/>
    <x v="1"/>
    <x v="2"/>
    <n v="37087"/>
    <x v="1"/>
    <n v="1"/>
    <n v="0"/>
    <x v="2"/>
    <x v="76"/>
    <n v="50"/>
    <x v="0"/>
    <n v="0"/>
    <n v="194"/>
    <n v="55"/>
    <n v="134"/>
    <n v="15"/>
    <n v="0"/>
    <n v="3"/>
    <n v="401"/>
    <n v="3"/>
    <n v="4"/>
    <n v="2"/>
    <n v="8"/>
    <n v="14"/>
    <n v="6"/>
    <x v="0"/>
  </r>
  <r>
    <n v="905"/>
    <n v="1986"/>
    <x v="2"/>
    <x v="0"/>
    <x v="3"/>
    <n v="21846"/>
    <x v="3"/>
    <n v="1"/>
    <n v="0"/>
    <x v="2"/>
    <x v="294"/>
    <n v="38"/>
    <x v="1"/>
    <n v="0"/>
    <n v="7"/>
    <n v="17"/>
    <n v="18"/>
    <n v="6"/>
    <n v="10"/>
    <n v="26"/>
    <n v="84"/>
    <n v="4"/>
    <n v="4"/>
    <n v="0"/>
    <n v="3"/>
    <n v="7"/>
    <n v="8"/>
    <x v="0"/>
  </r>
  <r>
    <n v="8624"/>
    <n v="1958"/>
    <x v="0"/>
    <x v="0"/>
    <x v="2"/>
    <n v="81320"/>
    <x v="2"/>
    <n v="0"/>
    <n v="0"/>
    <x v="0"/>
    <x v="219"/>
    <n v="61"/>
    <x v="0"/>
    <n v="0"/>
    <n v="183"/>
    <n v="33"/>
    <n v="493"/>
    <n v="59"/>
    <n v="103"/>
    <n v="57"/>
    <n v="928"/>
    <n v="1"/>
    <n v="4"/>
    <n v="3"/>
    <n v="10"/>
    <n v="17"/>
    <n v="2"/>
    <x v="0"/>
  </r>
  <r>
    <n v="8945"/>
    <n v="1970"/>
    <x v="1"/>
    <x v="0"/>
    <x v="3"/>
    <n v="54137"/>
    <x v="0"/>
    <n v="0"/>
    <n v="1"/>
    <x v="2"/>
    <x v="354"/>
    <n v="46"/>
    <x v="1"/>
    <n v="0"/>
    <n v="171"/>
    <n v="0"/>
    <n v="11"/>
    <n v="0"/>
    <n v="1"/>
    <n v="20"/>
    <n v="203"/>
    <n v="2"/>
    <n v="4"/>
    <n v="1"/>
    <n v="4"/>
    <n v="9"/>
    <n v="6"/>
    <x v="0"/>
  </r>
  <r>
    <n v="6445"/>
    <n v="1967"/>
    <x v="1"/>
    <x v="0"/>
    <x v="1"/>
    <n v="66825"/>
    <x v="0"/>
    <n v="0"/>
    <n v="0"/>
    <x v="0"/>
    <x v="398"/>
    <n v="73"/>
    <x v="0"/>
    <n v="0"/>
    <n v="243"/>
    <n v="101"/>
    <n v="405"/>
    <n v="29"/>
    <n v="40"/>
    <n v="40"/>
    <n v="858"/>
    <n v="1"/>
    <n v="4"/>
    <n v="5"/>
    <n v="6"/>
    <n v="15"/>
    <n v="2"/>
    <x v="0"/>
  </r>
  <r>
    <n v="2727"/>
    <n v="1973"/>
    <x v="3"/>
    <x v="0"/>
    <x v="1"/>
    <n v="57100"/>
    <x v="0"/>
    <n v="0"/>
    <n v="0"/>
    <x v="0"/>
    <x v="190"/>
    <n v="19"/>
    <x v="1"/>
    <n v="0"/>
    <n v="181"/>
    <n v="21"/>
    <n v="69"/>
    <n v="39"/>
    <n v="3"/>
    <n v="96"/>
    <n v="409"/>
    <n v="1"/>
    <n v="3"/>
    <n v="3"/>
    <n v="6"/>
    <n v="12"/>
    <n v="3"/>
    <x v="0"/>
  </r>
  <r>
    <n v="6404"/>
    <n v="1969"/>
    <x v="1"/>
    <x v="0"/>
    <x v="1"/>
    <n v="58917"/>
    <x v="0"/>
    <n v="1"/>
    <n v="2"/>
    <x v="3"/>
    <x v="495"/>
    <n v="10"/>
    <x v="1"/>
    <n v="0"/>
    <n v="151"/>
    <n v="7"/>
    <n v="89"/>
    <n v="0"/>
    <n v="7"/>
    <n v="28"/>
    <n v="282"/>
    <n v="5"/>
    <n v="4"/>
    <n v="1"/>
    <n v="6"/>
    <n v="11"/>
    <n v="5"/>
    <x v="0"/>
  </r>
  <r>
    <n v="11074"/>
    <n v="1977"/>
    <x v="3"/>
    <x v="0"/>
    <x v="0"/>
    <n v="85072"/>
    <x v="2"/>
    <n v="0"/>
    <n v="0"/>
    <x v="0"/>
    <x v="431"/>
    <n v="94"/>
    <x v="0"/>
    <n v="0"/>
    <n v="494"/>
    <n v="92"/>
    <n v="391"/>
    <n v="194"/>
    <n v="11"/>
    <n v="241"/>
    <n v="1423"/>
    <n v="1"/>
    <n v="3"/>
    <n v="4"/>
    <n v="10"/>
    <n v="17"/>
    <n v="0"/>
    <x v="0"/>
  </r>
  <r>
    <n v="10150"/>
    <n v="1961"/>
    <x v="0"/>
    <x v="0"/>
    <x v="0"/>
    <n v="86429"/>
    <x v="2"/>
    <n v="0"/>
    <n v="0"/>
    <x v="0"/>
    <x v="436"/>
    <n v="10"/>
    <x v="1"/>
    <n v="0"/>
    <n v="464"/>
    <n v="28"/>
    <n v="873"/>
    <n v="29"/>
    <n v="18"/>
    <n v="37"/>
    <n v="1449"/>
    <n v="0"/>
    <n v="7"/>
    <n v="4"/>
    <n v="7"/>
    <n v="18"/>
    <n v="2"/>
    <x v="1"/>
  </r>
  <r>
    <n v="1968"/>
    <n v="1971"/>
    <x v="1"/>
    <x v="0"/>
    <x v="4"/>
    <n v="45684"/>
    <x v="1"/>
    <n v="1"/>
    <n v="0"/>
    <x v="2"/>
    <x v="348"/>
    <n v="37"/>
    <x v="1"/>
    <n v="0"/>
    <n v="5"/>
    <n v="1"/>
    <n v="5"/>
    <n v="10"/>
    <n v="0"/>
    <n v="7"/>
    <n v="28"/>
    <n v="1"/>
    <n v="1"/>
    <n v="0"/>
    <n v="2"/>
    <n v="3"/>
    <n v="7"/>
    <x v="0"/>
  </r>
  <r>
    <n v="6534"/>
    <n v="1974"/>
    <x v="3"/>
    <x v="0"/>
    <x v="1"/>
    <n v="47889"/>
    <x v="1"/>
    <n v="1"/>
    <n v="0"/>
    <x v="2"/>
    <x v="412"/>
    <n v="94"/>
    <x v="0"/>
    <n v="0"/>
    <n v="29"/>
    <n v="0"/>
    <n v="29"/>
    <n v="0"/>
    <n v="5"/>
    <n v="4"/>
    <n v="67"/>
    <n v="1"/>
    <n v="2"/>
    <n v="0"/>
    <n v="3"/>
    <n v="5"/>
    <n v="5"/>
    <x v="0"/>
  </r>
  <r>
    <n v="9485"/>
    <n v="1986"/>
    <x v="2"/>
    <x v="1"/>
    <x v="2"/>
    <n v="45921"/>
    <x v="1"/>
    <n v="0"/>
    <n v="0"/>
    <x v="0"/>
    <x v="399"/>
    <n v="23"/>
    <x v="1"/>
    <n v="0"/>
    <n v="102"/>
    <n v="9"/>
    <n v="49"/>
    <n v="24"/>
    <n v="3"/>
    <n v="12"/>
    <n v="199"/>
    <n v="1"/>
    <n v="2"/>
    <n v="1"/>
    <n v="6"/>
    <n v="9"/>
    <n v="4"/>
    <x v="0"/>
  </r>
  <r>
    <n v="7053"/>
    <n v="1966"/>
    <x v="1"/>
    <x v="1"/>
    <x v="0"/>
    <n v="78420"/>
    <x v="2"/>
    <n v="0"/>
    <n v="0"/>
    <x v="0"/>
    <x v="496"/>
    <n v="75"/>
    <x v="0"/>
    <n v="0"/>
    <n v="604"/>
    <n v="28"/>
    <n v="674"/>
    <n v="91"/>
    <n v="28"/>
    <n v="28"/>
    <n v="1453"/>
    <n v="1"/>
    <n v="3"/>
    <n v="10"/>
    <n v="8"/>
    <n v="21"/>
    <n v="1"/>
    <x v="0"/>
  </r>
  <r>
    <n v="4654"/>
    <n v="1992"/>
    <x v="2"/>
    <x v="0"/>
    <x v="1"/>
    <n v="75114"/>
    <x v="2"/>
    <n v="0"/>
    <n v="0"/>
    <x v="0"/>
    <x v="251"/>
    <n v="40"/>
    <x v="1"/>
    <n v="0"/>
    <n v="571"/>
    <n v="12"/>
    <n v="523"/>
    <n v="63"/>
    <n v="60"/>
    <n v="24"/>
    <n v="1253"/>
    <n v="1"/>
    <n v="3"/>
    <n v="10"/>
    <n v="5"/>
    <n v="18"/>
    <n v="2"/>
    <x v="1"/>
  </r>
  <r>
    <n v="9760"/>
    <n v="1963"/>
    <x v="1"/>
    <x v="1"/>
    <x v="4"/>
    <n v="52278"/>
    <x v="0"/>
    <n v="0"/>
    <n v="1"/>
    <x v="2"/>
    <x v="497"/>
    <n v="24"/>
    <x v="1"/>
    <n v="0"/>
    <n v="953"/>
    <n v="0"/>
    <n v="71"/>
    <n v="0"/>
    <n v="0"/>
    <n v="174"/>
    <n v="1198"/>
    <n v="6"/>
    <n v="10"/>
    <n v="5"/>
    <n v="10"/>
    <n v="25"/>
    <n v="8"/>
    <x v="0"/>
  </r>
  <r>
    <n v="1048"/>
    <n v="1972"/>
    <x v="1"/>
    <x v="2"/>
    <x v="2"/>
    <n v="35641"/>
    <x v="1"/>
    <n v="1"/>
    <n v="0"/>
    <x v="2"/>
    <x v="398"/>
    <n v="11"/>
    <x v="1"/>
    <n v="0"/>
    <n v="63"/>
    <n v="3"/>
    <n v="67"/>
    <n v="8"/>
    <n v="9"/>
    <n v="28"/>
    <n v="178"/>
    <n v="2"/>
    <n v="3"/>
    <n v="1"/>
    <n v="4"/>
    <n v="8"/>
    <n v="7"/>
    <x v="0"/>
  </r>
  <r>
    <n v="10619"/>
    <n v="1994"/>
    <x v="2"/>
    <x v="0"/>
    <x v="0"/>
    <n v="95529"/>
    <x v="2"/>
    <n v="0"/>
    <n v="0"/>
    <x v="0"/>
    <x v="342"/>
    <n v="29"/>
    <x v="1"/>
    <n v="0"/>
    <n v="770"/>
    <n v="29"/>
    <n v="890"/>
    <n v="250"/>
    <n v="27"/>
    <n v="24"/>
    <n v="1990"/>
    <n v="1"/>
    <n v="7"/>
    <n v="3"/>
    <n v="7"/>
    <n v="17"/>
    <n v="3"/>
    <x v="1"/>
  </r>
  <r>
    <n v="9308"/>
    <n v="1954"/>
    <x v="0"/>
    <x v="0"/>
    <x v="2"/>
    <n v="62820"/>
    <x v="0"/>
    <n v="0"/>
    <n v="0"/>
    <x v="0"/>
    <x v="28"/>
    <n v="51"/>
    <x v="0"/>
    <n v="0"/>
    <n v="398"/>
    <n v="61"/>
    <n v="265"/>
    <n v="138"/>
    <n v="61"/>
    <n v="53"/>
    <n v="976"/>
    <n v="1"/>
    <n v="3"/>
    <n v="4"/>
    <n v="6"/>
    <n v="13"/>
    <n v="1"/>
    <x v="0"/>
  </r>
  <r>
    <n v="10505"/>
    <n v="1960"/>
    <x v="0"/>
    <x v="2"/>
    <x v="1"/>
    <n v="73113"/>
    <x v="2"/>
    <n v="0"/>
    <n v="0"/>
    <x v="0"/>
    <x v="192"/>
    <n v="86"/>
    <x v="0"/>
    <n v="0"/>
    <n v="741"/>
    <n v="19"/>
    <n v="154"/>
    <n v="50"/>
    <n v="9"/>
    <n v="28"/>
    <n v="1001"/>
    <n v="1"/>
    <n v="3"/>
    <n v="4"/>
    <n v="7"/>
    <n v="14"/>
    <n v="2"/>
    <x v="0"/>
  </r>
  <r>
    <n v="2625"/>
    <n v="1954"/>
    <x v="0"/>
    <x v="2"/>
    <x v="0"/>
    <n v="42607"/>
    <x v="1"/>
    <n v="0"/>
    <n v="1"/>
    <x v="2"/>
    <x v="498"/>
    <n v="30"/>
    <x v="1"/>
    <n v="0"/>
    <n v="156"/>
    <n v="29"/>
    <n v="56"/>
    <n v="30"/>
    <n v="32"/>
    <n v="47"/>
    <n v="350"/>
    <n v="2"/>
    <n v="3"/>
    <n v="2"/>
    <n v="7"/>
    <n v="12"/>
    <n v="3"/>
    <x v="0"/>
  </r>
  <r>
    <n v="4637"/>
    <n v="1954"/>
    <x v="0"/>
    <x v="1"/>
    <x v="0"/>
    <n v="74637"/>
    <x v="2"/>
    <n v="0"/>
    <n v="0"/>
    <x v="0"/>
    <x v="499"/>
    <n v="73"/>
    <x v="0"/>
    <n v="0"/>
    <n v="960"/>
    <n v="64"/>
    <n v="464"/>
    <n v="146"/>
    <n v="0"/>
    <n v="16"/>
    <n v="1650"/>
    <n v="1"/>
    <n v="6"/>
    <n v="9"/>
    <n v="9"/>
    <n v="24"/>
    <n v="3"/>
    <x v="0"/>
  </r>
  <r>
    <n v="9972"/>
    <n v="1955"/>
    <x v="0"/>
    <x v="1"/>
    <x v="1"/>
    <n v="46015"/>
    <x v="1"/>
    <n v="1"/>
    <n v="1"/>
    <x v="1"/>
    <x v="235"/>
    <n v="25"/>
    <x v="1"/>
    <n v="0"/>
    <n v="38"/>
    <n v="0"/>
    <n v="2"/>
    <n v="0"/>
    <n v="0"/>
    <n v="6"/>
    <n v="46"/>
    <n v="1"/>
    <n v="1"/>
    <n v="0"/>
    <n v="3"/>
    <n v="4"/>
    <n v="7"/>
    <x v="0"/>
  </r>
  <r>
    <n v="4483"/>
    <n v="1993"/>
    <x v="2"/>
    <x v="0"/>
    <x v="0"/>
    <n v="72354"/>
    <x v="2"/>
    <n v="0"/>
    <n v="0"/>
    <x v="0"/>
    <x v="500"/>
    <n v="67"/>
    <x v="0"/>
    <n v="0"/>
    <n v="315"/>
    <n v="26"/>
    <n v="473"/>
    <n v="220"/>
    <n v="12"/>
    <n v="182"/>
    <n v="1228"/>
    <n v="1"/>
    <n v="2"/>
    <n v="10"/>
    <n v="6"/>
    <n v="18"/>
    <n v="1"/>
    <x v="0"/>
  </r>
  <r>
    <n v="4487"/>
    <n v="1969"/>
    <x v="1"/>
    <x v="2"/>
    <x v="0"/>
    <n v="39858"/>
    <x v="1"/>
    <n v="1"/>
    <n v="0"/>
    <x v="2"/>
    <x v="501"/>
    <n v="67"/>
    <x v="0"/>
    <n v="0"/>
    <n v="15"/>
    <n v="20"/>
    <n v="25"/>
    <n v="2"/>
    <n v="7"/>
    <n v="26"/>
    <n v="95"/>
    <n v="1"/>
    <n v="2"/>
    <n v="0"/>
    <n v="4"/>
    <n v="6"/>
    <n v="6"/>
    <x v="0"/>
  </r>
  <r>
    <n v="4988"/>
    <n v="1948"/>
    <x v="4"/>
    <x v="1"/>
    <x v="2"/>
    <n v="34469"/>
    <x v="3"/>
    <n v="1"/>
    <n v="1"/>
    <x v="1"/>
    <x v="288"/>
    <n v="58"/>
    <x v="0"/>
    <n v="0"/>
    <n v="19"/>
    <n v="6"/>
    <n v="20"/>
    <n v="0"/>
    <n v="5"/>
    <n v="12"/>
    <n v="62"/>
    <n v="3"/>
    <n v="1"/>
    <n v="1"/>
    <n v="4"/>
    <n v="6"/>
    <n v="4"/>
    <x v="0"/>
  </r>
  <r>
    <n v="8931"/>
    <n v="1986"/>
    <x v="2"/>
    <x v="0"/>
    <x v="1"/>
    <n v="83033"/>
    <x v="2"/>
    <n v="1"/>
    <n v="0"/>
    <x v="2"/>
    <x v="333"/>
    <n v="82"/>
    <x v="0"/>
    <n v="0"/>
    <n v="812"/>
    <n v="99"/>
    <n v="431"/>
    <n v="237"/>
    <n v="149"/>
    <n v="33"/>
    <n v="1761"/>
    <n v="1"/>
    <n v="11"/>
    <n v="4"/>
    <n v="10"/>
    <n v="25"/>
    <n v="5"/>
    <x v="0"/>
  </r>
  <r>
    <n v="5871"/>
    <n v="1979"/>
    <x v="3"/>
    <x v="2"/>
    <x v="1"/>
    <n v="24401"/>
    <x v="3"/>
    <n v="0"/>
    <n v="0"/>
    <x v="0"/>
    <x v="14"/>
    <n v="98"/>
    <x v="0"/>
    <n v="0"/>
    <n v="73"/>
    <n v="28"/>
    <n v="217"/>
    <n v="10"/>
    <n v="24"/>
    <n v="115"/>
    <n v="467"/>
    <n v="3"/>
    <n v="6"/>
    <n v="1"/>
    <n v="6"/>
    <n v="13"/>
    <n v="8"/>
    <x v="0"/>
  </r>
  <r>
    <n v="2008"/>
    <n v="1978"/>
    <x v="3"/>
    <x v="0"/>
    <x v="2"/>
    <n v="77583"/>
    <x v="2"/>
    <n v="0"/>
    <n v="0"/>
    <x v="0"/>
    <x v="3"/>
    <n v="93"/>
    <x v="0"/>
    <n v="0"/>
    <n v="372"/>
    <n v="23"/>
    <n v="384"/>
    <n v="250"/>
    <n v="12"/>
    <n v="108"/>
    <n v="1149"/>
    <n v="1"/>
    <n v="4"/>
    <n v="5"/>
    <n v="9"/>
    <n v="18"/>
    <n v="2"/>
    <x v="0"/>
  </r>
  <r>
    <n v="3139"/>
    <n v="1982"/>
    <x v="3"/>
    <x v="2"/>
    <x v="0"/>
    <n v="74116"/>
    <x v="2"/>
    <n v="0"/>
    <n v="0"/>
    <x v="0"/>
    <x v="336"/>
    <n v="53"/>
    <x v="0"/>
    <n v="0"/>
    <n v="871"/>
    <n v="111"/>
    <n v="704"/>
    <n v="145"/>
    <n v="55"/>
    <n v="166"/>
    <n v="2052"/>
    <n v="1"/>
    <n v="4"/>
    <n v="4"/>
    <n v="10"/>
    <n v="18"/>
    <n v="2"/>
    <x v="0"/>
  </r>
  <r>
    <n v="10673"/>
    <n v="1976"/>
    <x v="3"/>
    <x v="1"/>
    <x v="2"/>
    <n v="68397"/>
    <x v="0"/>
    <n v="0"/>
    <n v="1"/>
    <x v="2"/>
    <x v="498"/>
    <n v="6"/>
    <x v="1"/>
    <n v="0"/>
    <n v="760"/>
    <n v="80"/>
    <n v="466"/>
    <n v="17"/>
    <n v="13"/>
    <n v="80"/>
    <n v="1416"/>
    <n v="1"/>
    <n v="6"/>
    <n v="9"/>
    <n v="5"/>
    <n v="20"/>
    <n v="3"/>
    <x v="1"/>
  </r>
  <r>
    <n v="5303"/>
    <n v="1974"/>
    <x v="3"/>
    <x v="1"/>
    <x v="1"/>
    <n v="79632"/>
    <x v="2"/>
    <n v="0"/>
    <n v="0"/>
    <x v="0"/>
    <x v="371"/>
    <n v="42"/>
    <x v="1"/>
    <n v="0"/>
    <n v="471"/>
    <n v="0"/>
    <n v="510"/>
    <n v="99"/>
    <n v="21"/>
    <n v="12"/>
    <n v="1113"/>
    <n v="1"/>
    <n v="6"/>
    <n v="4"/>
    <n v="9"/>
    <n v="19"/>
    <n v="2"/>
    <x v="1"/>
  </r>
  <r>
    <n v="538"/>
    <n v="1989"/>
    <x v="2"/>
    <x v="0"/>
    <x v="0"/>
    <n v="46107"/>
    <x v="1"/>
    <n v="1"/>
    <n v="0"/>
    <x v="2"/>
    <x v="3"/>
    <n v="78"/>
    <x v="0"/>
    <n v="0"/>
    <n v="31"/>
    <n v="9"/>
    <n v="27"/>
    <n v="16"/>
    <n v="9"/>
    <n v="33"/>
    <n v="125"/>
    <n v="1"/>
    <n v="1"/>
    <n v="1"/>
    <n v="4"/>
    <n v="6"/>
    <n v="3"/>
    <x v="0"/>
  </r>
  <r>
    <n v="7922"/>
    <n v="1951"/>
    <x v="4"/>
    <x v="1"/>
    <x v="0"/>
    <n v="64950"/>
    <x v="0"/>
    <n v="0"/>
    <n v="1"/>
    <x v="2"/>
    <x v="357"/>
    <n v="29"/>
    <x v="1"/>
    <n v="0"/>
    <n v="819"/>
    <n v="0"/>
    <n v="72"/>
    <n v="12"/>
    <n v="0"/>
    <n v="63"/>
    <n v="966"/>
    <n v="2"/>
    <n v="11"/>
    <n v="2"/>
    <n v="10"/>
    <n v="23"/>
    <n v="7"/>
    <x v="1"/>
  </r>
  <r>
    <n v="5692"/>
    <n v="1989"/>
    <x v="2"/>
    <x v="3"/>
    <x v="2"/>
    <n v="25443"/>
    <x v="3"/>
    <n v="1"/>
    <n v="0"/>
    <x v="2"/>
    <x v="270"/>
    <n v="82"/>
    <x v="0"/>
    <n v="0"/>
    <n v="1"/>
    <n v="4"/>
    <n v="3"/>
    <n v="8"/>
    <n v="9"/>
    <n v="7"/>
    <n v="32"/>
    <n v="1"/>
    <n v="1"/>
    <n v="0"/>
    <n v="3"/>
    <n v="4"/>
    <n v="8"/>
    <x v="0"/>
  </r>
  <r>
    <n v="6383"/>
    <n v="1971"/>
    <x v="1"/>
    <x v="1"/>
    <x v="1"/>
    <n v="32892"/>
    <x v="3"/>
    <n v="1"/>
    <n v="0"/>
    <x v="2"/>
    <x v="323"/>
    <n v="78"/>
    <x v="0"/>
    <n v="0"/>
    <n v="26"/>
    <n v="0"/>
    <n v="15"/>
    <n v="2"/>
    <n v="1"/>
    <n v="2"/>
    <n v="46"/>
    <n v="2"/>
    <n v="3"/>
    <n v="0"/>
    <n v="3"/>
    <n v="6"/>
    <n v="8"/>
    <x v="0"/>
  </r>
  <r>
    <n v="1628"/>
    <n v="1971"/>
    <x v="1"/>
    <x v="0"/>
    <x v="1"/>
    <n v="71796"/>
    <x v="2"/>
    <n v="0"/>
    <n v="0"/>
    <x v="0"/>
    <x v="424"/>
    <n v="54"/>
    <x v="0"/>
    <n v="0"/>
    <n v="354"/>
    <n v="21"/>
    <n v="311"/>
    <n v="167"/>
    <n v="75"/>
    <n v="32"/>
    <n v="960"/>
    <n v="1"/>
    <n v="9"/>
    <n v="3"/>
    <n v="4"/>
    <n v="16"/>
    <n v="4"/>
    <x v="0"/>
  </r>
  <r>
    <n v="1204"/>
    <n v="1970"/>
    <x v="1"/>
    <x v="1"/>
    <x v="2"/>
    <n v="67536"/>
    <x v="0"/>
    <n v="0"/>
    <n v="1"/>
    <x v="2"/>
    <x v="208"/>
    <n v="45"/>
    <x v="1"/>
    <n v="0"/>
    <n v="1253"/>
    <n v="0"/>
    <n v="447"/>
    <n v="23"/>
    <n v="71"/>
    <n v="35"/>
    <n v="1829"/>
    <n v="3"/>
    <n v="11"/>
    <n v="5"/>
    <n v="11"/>
    <n v="27"/>
    <n v="8"/>
    <x v="1"/>
  </r>
  <r>
    <n v="3673"/>
    <n v="1971"/>
    <x v="1"/>
    <x v="0"/>
    <x v="0"/>
    <n v="55239"/>
    <x v="0"/>
    <n v="0"/>
    <n v="1"/>
    <x v="2"/>
    <x v="398"/>
    <n v="59"/>
    <x v="0"/>
    <n v="0"/>
    <n v="371"/>
    <n v="17"/>
    <n v="238"/>
    <n v="23"/>
    <n v="24"/>
    <n v="106"/>
    <n v="779"/>
    <n v="3"/>
    <n v="7"/>
    <n v="5"/>
    <n v="11"/>
    <n v="23"/>
    <n v="5"/>
    <x v="0"/>
  </r>
  <r>
    <n v="760"/>
    <n v="1975"/>
    <x v="3"/>
    <x v="1"/>
    <x v="3"/>
    <n v="60554"/>
    <x v="0"/>
    <n v="1"/>
    <n v="0"/>
    <x v="2"/>
    <x v="502"/>
    <n v="8"/>
    <x v="1"/>
    <n v="0"/>
    <n v="588"/>
    <n v="7"/>
    <n v="76"/>
    <n v="110"/>
    <n v="15"/>
    <n v="15"/>
    <n v="811"/>
    <n v="2"/>
    <n v="8"/>
    <n v="4"/>
    <n v="9"/>
    <n v="21"/>
    <n v="6"/>
    <x v="1"/>
  </r>
  <r>
    <n v="8957"/>
    <n v="1952"/>
    <x v="4"/>
    <x v="2"/>
    <x v="0"/>
    <n v="64831"/>
    <x v="0"/>
    <n v="1"/>
    <n v="1"/>
    <x v="1"/>
    <x v="503"/>
    <n v="51"/>
    <x v="0"/>
    <n v="0"/>
    <n v="480"/>
    <n v="86"/>
    <n v="249"/>
    <n v="75"/>
    <n v="86"/>
    <n v="144"/>
    <n v="1120"/>
    <n v="8"/>
    <n v="6"/>
    <n v="3"/>
    <n v="5"/>
    <n v="14"/>
    <n v="6"/>
    <x v="0"/>
  </r>
  <r>
    <n v="4128"/>
    <n v="1962"/>
    <x v="0"/>
    <x v="1"/>
    <x v="1"/>
    <n v="56067"/>
    <x v="0"/>
    <n v="0"/>
    <n v="1"/>
    <x v="2"/>
    <x v="504"/>
    <n v="51"/>
    <x v="0"/>
    <n v="0"/>
    <n v="517"/>
    <n v="12"/>
    <n v="54"/>
    <n v="16"/>
    <n v="6"/>
    <n v="120"/>
    <n v="725"/>
    <n v="2"/>
    <n v="7"/>
    <n v="4"/>
    <n v="7"/>
    <n v="18"/>
    <n v="5"/>
    <x v="0"/>
  </r>
  <r>
    <n v="6810"/>
    <n v="1983"/>
    <x v="2"/>
    <x v="0"/>
    <x v="3"/>
    <n v="82025"/>
    <x v="2"/>
    <n v="0"/>
    <n v="0"/>
    <x v="0"/>
    <x v="505"/>
    <n v="76"/>
    <x v="0"/>
    <n v="0"/>
    <n v="267"/>
    <n v="98"/>
    <n v="606"/>
    <n v="48"/>
    <n v="70"/>
    <n v="98"/>
    <n v="1187"/>
    <n v="1"/>
    <n v="3"/>
    <n v="2"/>
    <n v="6"/>
    <n v="11"/>
    <n v="1"/>
    <x v="0"/>
  </r>
  <r>
    <n v="5386"/>
    <n v="1953"/>
    <x v="0"/>
    <x v="0"/>
    <x v="1"/>
    <n v="94384"/>
    <x v="2"/>
    <n v="0"/>
    <n v="0"/>
    <x v="0"/>
    <x v="506"/>
    <n v="62"/>
    <x v="0"/>
    <n v="0"/>
    <n v="1111"/>
    <n v="24"/>
    <n v="790"/>
    <n v="160"/>
    <n v="45"/>
    <n v="172"/>
    <n v="2302"/>
    <n v="0"/>
    <n v="5"/>
    <n v="8"/>
    <n v="5"/>
    <n v="18"/>
    <n v="2"/>
    <x v="0"/>
  </r>
  <r>
    <n v="8700"/>
    <n v="1986"/>
    <x v="2"/>
    <x v="3"/>
    <x v="0"/>
    <n v="14906"/>
    <x v="3"/>
    <n v="0"/>
    <n v="0"/>
    <x v="0"/>
    <x v="270"/>
    <n v="86"/>
    <x v="0"/>
    <n v="0"/>
    <n v="7"/>
    <n v="7"/>
    <n v="14"/>
    <n v="7"/>
    <n v="16"/>
    <n v="15"/>
    <n v="66"/>
    <n v="3"/>
    <n v="2"/>
    <n v="1"/>
    <n v="3"/>
    <n v="6"/>
    <n v="7"/>
    <x v="0"/>
  </r>
  <r>
    <n v="3202"/>
    <n v="1987"/>
    <x v="2"/>
    <x v="1"/>
    <x v="2"/>
    <n v="51563"/>
    <x v="0"/>
    <n v="0"/>
    <n v="0"/>
    <x v="0"/>
    <x v="507"/>
    <n v="60"/>
    <x v="0"/>
    <n v="0"/>
    <n v="1166"/>
    <n v="0"/>
    <n v="48"/>
    <n v="0"/>
    <n v="0"/>
    <n v="36"/>
    <n v="1250"/>
    <n v="1"/>
    <n v="4"/>
    <n v="4"/>
    <n v="10"/>
    <n v="18"/>
    <n v="8"/>
    <x v="0"/>
  </r>
  <r>
    <n v="1328"/>
    <n v="1982"/>
    <x v="3"/>
    <x v="2"/>
    <x v="2"/>
    <n v="57937"/>
    <x v="0"/>
    <n v="0"/>
    <n v="1"/>
    <x v="2"/>
    <x v="185"/>
    <n v="56"/>
    <x v="0"/>
    <n v="0"/>
    <n v="261"/>
    <n v="42"/>
    <n v="144"/>
    <n v="55"/>
    <n v="48"/>
    <n v="133"/>
    <n v="683"/>
    <n v="3"/>
    <n v="4"/>
    <n v="4"/>
    <n v="9"/>
    <n v="17"/>
    <n v="3"/>
    <x v="0"/>
  </r>
  <r>
    <n v="8405"/>
    <n v="1979"/>
    <x v="3"/>
    <x v="0"/>
    <x v="3"/>
    <n v="68274"/>
    <x v="0"/>
    <n v="1"/>
    <n v="1"/>
    <x v="1"/>
    <x v="111"/>
    <n v="83"/>
    <x v="0"/>
    <n v="0"/>
    <n v="135"/>
    <n v="25"/>
    <n v="51"/>
    <n v="23"/>
    <n v="25"/>
    <n v="46"/>
    <n v="305"/>
    <n v="2"/>
    <n v="4"/>
    <n v="2"/>
    <n v="5"/>
    <n v="11"/>
    <n v="3"/>
    <x v="0"/>
  </r>
  <r>
    <n v="6515"/>
    <n v="1977"/>
    <x v="3"/>
    <x v="0"/>
    <x v="1"/>
    <n v="39771"/>
    <x v="1"/>
    <n v="1"/>
    <n v="0"/>
    <x v="2"/>
    <x v="57"/>
    <n v="92"/>
    <x v="0"/>
    <n v="0"/>
    <n v="6"/>
    <n v="2"/>
    <n v="18"/>
    <n v="2"/>
    <n v="8"/>
    <n v="14"/>
    <n v="50"/>
    <n v="1"/>
    <n v="2"/>
    <n v="0"/>
    <n v="3"/>
    <n v="5"/>
    <n v="4"/>
    <x v="0"/>
  </r>
  <r>
    <n v="2882"/>
    <n v="1975"/>
    <x v="3"/>
    <x v="2"/>
    <x v="3"/>
    <n v="67893"/>
    <x v="0"/>
    <n v="0"/>
    <n v="1"/>
    <x v="2"/>
    <x v="507"/>
    <n v="31"/>
    <x v="1"/>
    <n v="0"/>
    <n v="711"/>
    <n v="28"/>
    <n v="142"/>
    <n v="49"/>
    <n v="18"/>
    <n v="47"/>
    <n v="995"/>
    <n v="2"/>
    <n v="3"/>
    <n v="2"/>
    <n v="9"/>
    <n v="14"/>
    <n v="8"/>
    <x v="1"/>
  </r>
  <r>
    <n v="7574"/>
    <n v="1979"/>
    <x v="3"/>
    <x v="1"/>
    <x v="1"/>
    <n v="27922"/>
    <x v="3"/>
    <n v="1"/>
    <n v="0"/>
    <x v="2"/>
    <x v="110"/>
    <n v="80"/>
    <x v="0"/>
    <n v="0"/>
    <n v="11"/>
    <n v="0"/>
    <n v="13"/>
    <n v="2"/>
    <n v="4"/>
    <n v="11"/>
    <n v="41"/>
    <n v="1"/>
    <n v="2"/>
    <n v="0"/>
    <n v="3"/>
    <n v="5"/>
    <n v="4"/>
    <x v="0"/>
  </r>
  <r>
    <n v="6387"/>
    <n v="1976"/>
    <x v="3"/>
    <x v="1"/>
    <x v="1"/>
    <n v="52190"/>
    <x v="0"/>
    <n v="1"/>
    <n v="1"/>
    <x v="1"/>
    <x v="92"/>
    <n v="39"/>
    <x v="1"/>
    <n v="0"/>
    <n v="42"/>
    <n v="0"/>
    <n v="17"/>
    <n v="0"/>
    <n v="0"/>
    <n v="18"/>
    <n v="77"/>
    <n v="3"/>
    <n v="2"/>
    <n v="1"/>
    <n v="3"/>
    <n v="6"/>
    <n v="5"/>
    <x v="0"/>
  </r>
  <r>
    <n v="5320"/>
    <n v="1973"/>
    <x v="3"/>
    <x v="2"/>
    <x v="3"/>
    <n v="44051"/>
    <x v="1"/>
    <n v="1"/>
    <n v="1"/>
    <x v="1"/>
    <x v="223"/>
    <n v="20"/>
    <x v="1"/>
    <n v="0"/>
    <n v="79"/>
    <n v="7"/>
    <n v="58"/>
    <n v="6"/>
    <n v="3"/>
    <n v="18"/>
    <n v="171"/>
    <n v="4"/>
    <n v="3"/>
    <n v="1"/>
    <n v="4"/>
    <n v="8"/>
    <n v="6"/>
    <x v="0"/>
  </r>
  <r>
    <n v="5048"/>
    <n v="1971"/>
    <x v="1"/>
    <x v="1"/>
    <x v="0"/>
    <n v="42767"/>
    <x v="1"/>
    <n v="2"/>
    <n v="0"/>
    <x v="1"/>
    <x v="28"/>
    <n v="53"/>
    <x v="0"/>
    <n v="0"/>
    <n v="20"/>
    <n v="6"/>
    <n v="43"/>
    <n v="19"/>
    <n v="5"/>
    <n v="38"/>
    <n v="131"/>
    <n v="1"/>
    <n v="3"/>
    <n v="1"/>
    <n v="2"/>
    <n v="6"/>
    <n v="8"/>
    <x v="0"/>
  </r>
  <r>
    <n v="8146"/>
    <n v="1976"/>
    <x v="3"/>
    <x v="2"/>
    <x v="1"/>
    <n v="46106"/>
    <x v="1"/>
    <n v="1"/>
    <n v="1"/>
    <x v="1"/>
    <x v="59"/>
    <n v="84"/>
    <x v="0"/>
    <n v="0"/>
    <n v="30"/>
    <n v="0"/>
    <n v="8"/>
    <n v="2"/>
    <n v="0"/>
    <n v="14"/>
    <n v="54"/>
    <n v="1"/>
    <n v="1"/>
    <n v="1"/>
    <n v="2"/>
    <n v="4"/>
    <n v="6"/>
    <x v="0"/>
  </r>
  <r>
    <n v="10031"/>
    <n v="1976"/>
    <x v="3"/>
    <x v="1"/>
    <x v="2"/>
    <n v="16927"/>
    <x v="3"/>
    <n v="1"/>
    <n v="1"/>
    <x v="1"/>
    <x v="508"/>
    <n v="50"/>
    <x v="0"/>
    <n v="0"/>
    <n v="20"/>
    <n v="2"/>
    <n v="23"/>
    <n v="3"/>
    <n v="1"/>
    <n v="4"/>
    <n v="53"/>
    <n v="5"/>
    <n v="3"/>
    <n v="0"/>
    <n v="4"/>
    <n v="7"/>
    <n v="8"/>
    <x v="0"/>
  </r>
  <r>
    <n v="5748"/>
    <n v="1965"/>
    <x v="1"/>
    <x v="0"/>
    <x v="2"/>
    <n v="59754"/>
    <x v="0"/>
    <n v="0"/>
    <n v="1"/>
    <x v="2"/>
    <x v="279"/>
    <n v="96"/>
    <x v="0"/>
    <n v="0"/>
    <n v="115"/>
    <n v="27"/>
    <n v="44"/>
    <n v="4"/>
    <n v="146"/>
    <n v="139"/>
    <n v="475"/>
    <n v="3"/>
    <n v="5"/>
    <n v="2"/>
    <n v="6"/>
    <n v="13"/>
    <n v="5"/>
    <x v="0"/>
  </r>
  <r>
    <n v="2134"/>
    <n v="1952"/>
    <x v="4"/>
    <x v="0"/>
    <x v="0"/>
    <n v="53700"/>
    <x v="0"/>
    <n v="0"/>
    <n v="1"/>
    <x v="2"/>
    <x v="197"/>
    <n v="94"/>
    <x v="0"/>
    <n v="0"/>
    <n v="263"/>
    <n v="5"/>
    <n v="233"/>
    <n v="69"/>
    <n v="41"/>
    <n v="83"/>
    <n v="694"/>
    <n v="4"/>
    <n v="5"/>
    <n v="5"/>
    <n v="8"/>
    <n v="18"/>
    <n v="5"/>
    <x v="0"/>
  </r>
  <r>
    <n v="1523"/>
    <n v="1973"/>
    <x v="3"/>
    <x v="0"/>
    <x v="2"/>
    <n v="59041"/>
    <x v="0"/>
    <n v="1"/>
    <n v="1"/>
    <x v="1"/>
    <x v="392"/>
    <n v="25"/>
    <x v="1"/>
    <n v="0"/>
    <n v="69"/>
    <n v="2"/>
    <n v="15"/>
    <n v="2"/>
    <n v="2"/>
    <n v="6"/>
    <n v="96"/>
    <n v="2"/>
    <n v="2"/>
    <n v="0"/>
    <n v="4"/>
    <n v="6"/>
    <n v="5"/>
    <x v="0"/>
  </r>
  <r>
    <n v="9665"/>
    <n v="1957"/>
    <x v="0"/>
    <x v="1"/>
    <x v="3"/>
    <n v="54237"/>
    <x v="0"/>
    <n v="0"/>
    <n v="1"/>
    <x v="2"/>
    <x v="238"/>
    <n v="48"/>
    <x v="1"/>
    <n v="0"/>
    <n v="267"/>
    <n v="3"/>
    <n v="30"/>
    <n v="4"/>
    <n v="0"/>
    <n v="57"/>
    <n v="361"/>
    <n v="4"/>
    <n v="5"/>
    <n v="2"/>
    <n v="5"/>
    <n v="12"/>
    <n v="6"/>
    <x v="0"/>
  </r>
  <r>
    <n v="4640"/>
    <n v="1967"/>
    <x v="1"/>
    <x v="0"/>
    <x v="3"/>
    <n v="70647"/>
    <x v="2"/>
    <n v="0"/>
    <n v="1"/>
    <x v="2"/>
    <x v="402"/>
    <n v="65"/>
    <x v="0"/>
    <n v="0"/>
    <n v="561"/>
    <n v="85"/>
    <n v="171"/>
    <n v="25"/>
    <n v="123"/>
    <n v="114"/>
    <n v="1079"/>
    <n v="2"/>
    <n v="4"/>
    <n v="7"/>
    <n v="13"/>
    <n v="24"/>
    <n v="2"/>
    <x v="0"/>
  </r>
  <r>
    <n v="3635"/>
    <n v="1962"/>
    <x v="0"/>
    <x v="1"/>
    <x v="0"/>
    <n v="52597"/>
    <x v="0"/>
    <n v="0"/>
    <n v="1"/>
    <x v="2"/>
    <x v="392"/>
    <n v="69"/>
    <x v="0"/>
    <n v="0"/>
    <n v="492"/>
    <n v="0"/>
    <n v="37"/>
    <n v="7"/>
    <n v="0"/>
    <n v="42"/>
    <n v="578"/>
    <n v="3"/>
    <n v="6"/>
    <n v="3"/>
    <n v="8"/>
    <n v="17"/>
    <n v="5"/>
    <x v="0"/>
  </r>
  <r>
    <n v="3547"/>
    <n v="1969"/>
    <x v="1"/>
    <x v="2"/>
    <x v="1"/>
    <n v="41021"/>
    <x v="1"/>
    <n v="1"/>
    <n v="0"/>
    <x v="2"/>
    <x v="284"/>
    <n v="12"/>
    <x v="1"/>
    <n v="0"/>
    <n v="14"/>
    <n v="7"/>
    <n v="9"/>
    <n v="6"/>
    <n v="16"/>
    <n v="12"/>
    <n v="64"/>
    <n v="2"/>
    <n v="2"/>
    <n v="0"/>
    <n v="3"/>
    <n v="5"/>
    <n v="6"/>
    <x v="0"/>
  </r>
  <r>
    <n v="2456"/>
    <n v="1975"/>
    <x v="3"/>
    <x v="1"/>
    <x v="2"/>
    <n v="40233"/>
    <x v="1"/>
    <n v="0"/>
    <n v="1"/>
    <x v="2"/>
    <x v="164"/>
    <n v="84"/>
    <x v="0"/>
    <n v="0"/>
    <n v="80"/>
    <n v="4"/>
    <n v="46"/>
    <n v="0"/>
    <n v="17"/>
    <n v="2"/>
    <n v="149"/>
    <n v="5"/>
    <n v="2"/>
    <n v="1"/>
    <n v="5"/>
    <n v="8"/>
    <n v="6"/>
    <x v="0"/>
  </r>
  <r>
    <n v="5633"/>
    <n v="1980"/>
    <x v="3"/>
    <x v="0"/>
    <x v="2"/>
    <n v="50183"/>
    <x v="1"/>
    <n v="1"/>
    <n v="1"/>
    <x v="1"/>
    <x v="99"/>
    <n v="47"/>
    <x v="1"/>
    <n v="0"/>
    <n v="97"/>
    <n v="12"/>
    <n v="84"/>
    <n v="13"/>
    <n v="10"/>
    <n v="15"/>
    <n v="231"/>
    <n v="7"/>
    <n v="3"/>
    <n v="1"/>
    <n v="6"/>
    <n v="10"/>
    <n v="5"/>
    <x v="0"/>
  </r>
  <r>
    <n v="7801"/>
    <n v="1959"/>
    <x v="0"/>
    <x v="0"/>
    <x v="1"/>
    <n v="54753"/>
    <x v="0"/>
    <n v="0"/>
    <n v="1"/>
    <x v="2"/>
    <x v="130"/>
    <n v="87"/>
    <x v="0"/>
    <n v="0"/>
    <n v="197"/>
    <n v="107"/>
    <n v="227"/>
    <n v="7"/>
    <n v="59"/>
    <n v="131"/>
    <n v="728"/>
    <n v="3"/>
    <n v="5"/>
    <n v="2"/>
    <n v="11"/>
    <n v="18"/>
    <n v="4"/>
    <x v="0"/>
  </r>
  <r>
    <n v="10489"/>
    <n v="1973"/>
    <x v="3"/>
    <x v="0"/>
    <x v="2"/>
    <n v="92955"/>
    <x v="2"/>
    <n v="0"/>
    <n v="0"/>
    <x v="0"/>
    <x v="393"/>
    <n v="35"/>
    <x v="1"/>
    <n v="0"/>
    <n v="693"/>
    <n v="21"/>
    <n v="925"/>
    <n v="31"/>
    <n v="24"/>
    <n v="84"/>
    <n v="1778"/>
    <n v="1"/>
    <n v="6"/>
    <n v="7"/>
    <n v="9"/>
    <n v="22"/>
    <n v="2"/>
    <x v="1"/>
  </r>
  <r>
    <n v="7011"/>
    <n v="1973"/>
    <x v="3"/>
    <x v="0"/>
    <x v="2"/>
    <n v="33471"/>
    <x v="3"/>
    <n v="1"/>
    <n v="0"/>
    <x v="2"/>
    <x v="70"/>
    <n v="47"/>
    <x v="1"/>
    <n v="0"/>
    <n v="43"/>
    <n v="2"/>
    <n v="27"/>
    <n v="0"/>
    <n v="9"/>
    <n v="12"/>
    <n v="93"/>
    <n v="3"/>
    <n v="3"/>
    <n v="0"/>
    <n v="4"/>
    <n v="7"/>
    <n v="7"/>
    <x v="0"/>
  </r>
  <r>
    <n v="2620"/>
    <n v="1974"/>
    <x v="3"/>
    <x v="1"/>
    <x v="2"/>
    <n v="34596"/>
    <x v="3"/>
    <n v="1"/>
    <n v="0"/>
    <x v="2"/>
    <x v="305"/>
    <n v="48"/>
    <x v="1"/>
    <n v="0"/>
    <n v="14"/>
    <n v="0"/>
    <n v="2"/>
    <n v="0"/>
    <n v="0"/>
    <n v="7"/>
    <n v="23"/>
    <n v="1"/>
    <n v="1"/>
    <n v="0"/>
    <n v="2"/>
    <n v="3"/>
    <n v="8"/>
    <x v="0"/>
  </r>
  <r>
    <n v="3933"/>
    <n v="1980"/>
    <x v="3"/>
    <x v="0"/>
    <x v="1"/>
    <n v="44010"/>
    <x v="1"/>
    <n v="1"/>
    <n v="0"/>
    <x v="2"/>
    <x v="204"/>
    <n v="46"/>
    <x v="1"/>
    <n v="0"/>
    <n v="186"/>
    <n v="36"/>
    <n v="234"/>
    <n v="86"/>
    <n v="72"/>
    <n v="48"/>
    <n v="662"/>
    <n v="6"/>
    <n v="10"/>
    <n v="2"/>
    <n v="6"/>
    <n v="18"/>
    <n v="9"/>
    <x v="0"/>
  </r>
  <r>
    <n v="10981"/>
    <n v="1988"/>
    <x v="2"/>
    <x v="0"/>
    <x v="2"/>
    <n v="84219"/>
    <x v="2"/>
    <n v="0"/>
    <n v="0"/>
    <x v="0"/>
    <x v="309"/>
    <n v="27"/>
    <x v="1"/>
    <n v="0"/>
    <n v="434"/>
    <n v="137"/>
    <n v="400"/>
    <n v="45"/>
    <n v="137"/>
    <n v="45"/>
    <n v="1198"/>
    <n v="1"/>
    <n v="3"/>
    <n v="4"/>
    <n v="10"/>
    <n v="17"/>
    <n v="1"/>
    <x v="1"/>
  </r>
  <r>
    <n v="1734"/>
    <n v="1968"/>
    <x v="1"/>
    <x v="1"/>
    <x v="1"/>
    <n v="40706"/>
    <x v="1"/>
    <n v="2"/>
    <n v="1"/>
    <x v="3"/>
    <x v="160"/>
    <n v="37"/>
    <x v="1"/>
    <n v="0"/>
    <n v="59"/>
    <n v="0"/>
    <n v="11"/>
    <n v="4"/>
    <n v="2"/>
    <n v="5"/>
    <n v="81"/>
    <n v="4"/>
    <n v="3"/>
    <n v="0"/>
    <n v="4"/>
    <n v="7"/>
    <n v="7"/>
    <x v="0"/>
  </r>
  <r>
    <n v="10995"/>
    <n v="1988"/>
    <x v="2"/>
    <x v="2"/>
    <x v="2"/>
    <n v="15716"/>
    <x v="3"/>
    <n v="1"/>
    <n v="0"/>
    <x v="2"/>
    <x v="260"/>
    <n v="8"/>
    <x v="1"/>
    <n v="1"/>
    <n v="16"/>
    <n v="5"/>
    <n v="30"/>
    <n v="8"/>
    <n v="7"/>
    <n v="26"/>
    <n v="92"/>
    <n v="3"/>
    <n v="3"/>
    <n v="0"/>
    <n v="4"/>
    <n v="7"/>
    <n v="8"/>
    <x v="0"/>
  </r>
  <r>
    <n v="6357"/>
    <n v="1959"/>
    <x v="0"/>
    <x v="2"/>
    <x v="3"/>
    <n v="59052"/>
    <x v="0"/>
    <n v="0"/>
    <n v="1"/>
    <x v="2"/>
    <x v="498"/>
    <n v="29"/>
    <x v="1"/>
    <n v="0"/>
    <n v="230"/>
    <n v="35"/>
    <n v="75"/>
    <n v="63"/>
    <n v="57"/>
    <n v="31"/>
    <n v="491"/>
    <n v="3"/>
    <n v="7"/>
    <n v="1"/>
    <n v="7"/>
    <n v="15"/>
    <n v="5"/>
    <x v="0"/>
  </r>
  <r>
    <n v="9209"/>
    <n v="1971"/>
    <x v="1"/>
    <x v="2"/>
    <x v="1"/>
    <n v="80573"/>
    <x v="2"/>
    <n v="0"/>
    <n v="0"/>
    <x v="0"/>
    <x v="509"/>
    <n v="85"/>
    <x v="0"/>
    <n v="0"/>
    <n v="829"/>
    <n v="138"/>
    <n v="430"/>
    <n v="60"/>
    <n v="92"/>
    <n v="15"/>
    <n v="1564"/>
    <n v="1"/>
    <n v="4"/>
    <n v="6"/>
    <n v="13"/>
    <n v="23"/>
    <n v="2"/>
    <x v="0"/>
  </r>
  <r>
    <n v="10286"/>
    <n v="1962"/>
    <x v="0"/>
    <x v="0"/>
    <x v="2"/>
    <n v="83715"/>
    <x v="2"/>
    <n v="0"/>
    <n v="0"/>
    <x v="0"/>
    <x v="510"/>
    <n v="2"/>
    <x v="1"/>
    <n v="0"/>
    <n v="318"/>
    <n v="8"/>
    <n v="407"/>
    <n v="150"/>
    <n v="35"/>
    <n v="8"/>
    <n v="926"/>
    <n v="1"/>
    <n v="2"/>
    <n v="8"/>
    <n v="13"/>
    <n v="23"/>
    <n v="0"/>
    <x v="1"/>
  </r>
  <r>
    <n v="2611"/>
    <n v="1959"/>
    <x v="0"/>
    <x v="2"/>
    <x v="1"/>
    <n v="82576"/>
    <x v="2"/>
    <n v="0"/>
    <n v="0"/>
    <x v="0"/>
    <x v="439"/>
    <n v="66"/>
    <x v="0"/>
    <n v="0"/>
    <n v="1206"/>
    <n v="55"/>
    <n v="445"/>
    <n v="168"/>
    <n v="18"/>
    <n v="18"/>
    <n v="1910"/>
    <n v="1"/>
    <n v="2"/>
    <n v="4"/>
    <n v="12"/>
    <n v="18"/>
    <n v="1"/>
    <x v="0"/>
  </r>
  <r>
    <n v="3308"/>
    <n v="1952"/>
    <x v="4"/>
    <x v="0"/>
    <x v="2"/>
    <n v="35704"/>
    <x v="1"/>
    <n v="1"/>
    <n v="1"/>
    <x v="1"/>
    <x v="268"/>
    <n v="54"/>
    <x v="0"/>
    <n v="0"/>
    <n v="30"/>
    <n v="9"/>
    <n v="12"/>
    <n v="2"/>
    <n v="11"/>
    <n v="30"/>
    <n v="94"/>
    <n v="3"/>
    <n v="2"/>
    <n v="0"/>
    <n v="4"/>
    <n v="6"/>
    <n v="4"/>
    <x v="0"/>
  </r>
  <r>
    <n v="5407"/>
    <n v="1954"/>
    <x v="0"/>
    <x v="0"/>
    <x v="1"/>
    <n v="53103"/>
    <x v="0"/>
    <n v="0"/>
    <n v="1"/>
    <x v="2"/>
    <x v="130"/>
    <n v="70"/>
    <x v="0"/>
    <n v="0"/>
    <n v="729"/>
    <n v="17"/>
    <n v="133"/>
    <n v="11"/>
    <n v="0"/>
    <n v="195"/>
    <n v="1085"/>
    <n v="5"/>
    <n v="10"/>
    <n v="6"/>
    <n v="7"/>
    <n v="23"/>
    <n v="7"/>
    <x v="0"/>
  </r>
  <r>
    <n v="2166"/>
    <n v="1960"/>
    <x v="0"/>
    <x v="2"/>
    <x v="4"/>
    <n v="46779"/>
    <x v="1"/>
    <n v="1"/>
    <n v="1"/>
    <x v="1"/>
    <x v="222"/>
    <n v="55"/>
    <x v="0"/>
    <n v="0"/>
    <n v="12"/>
    <n v="1"/>
    <n v="3"/>
    <n v="0"/>
    <n v="0"/>
    <n v="7"/>
    <n v="23"/>
    <n v="1"/>
    <n v="0"/>
    <n v="1"/>
    <n v="2"/>
    <n v="3"/>
    <n v="4"/>
    <x v="0"/>
  </r>
  <r>
    <n v="3955"/>
    <n v="1965"/>
    <x v="1"/>
    <x v="0"/>
    <x v="3"/>
    <n v="4861"/>
    <x v="3"/>
    <n v="0"/>
    <n v="0"/>
    <x v="0"/>
    <x v="511"/>
    <n v="20"/>
    <x v="1"/>
    <n v="0"/>
    <n v="2"/>
    <n v="1"/>
    <n v="1"/>
    <n v="1"/>
    <n v="0"/>
    <n v="1"/>
    <n v="6"/>
    <n v="0"/>
    <n v="0"/>
    <n v="0"/>
    <n v="0"/>
    <n v="0"/>
    <n v="14"/>
    <x v="0"/>
  </r>
  <r>
    <n v="6634"/>
    <n v="1979"/>
    <x v="3"/>
    <x v="2"/>
    <x v="3"/>
    <n v="33462"/>
    <x v="3"/>
    <n v="1"/>
    <n v="0"/>
    <x v="2"/>
    <x v="367"/>
    <n v="78"/>
    <x v="0"/>
    <n v="0"/>
    <n v="22"/>
    <n v="3"/>
    <n v="18"/>
    <n v="0"/>
    <n v="0"/>
    <n v="11"/>
    <n v="54"/>
    <n v="1"/>
    <n v="2"/>
    <n v="0"/>
    <n v="3"/>
    <n v="5"/>
    <n v="7"/>
    <x v="0"/>
  </r>
  <r>
    <n v="5718"/>
    <n v="1950"/>
    <x v="4"/>
    <x v="0"/>
    <x v="2"/>
    <n v="80763"/>
    <x v="2"/>
    <n v="0"/>
    <n v="0"/>
    <x v="0"/>
    <x v="264"/>
    <n v="17"/>
    <x v="1"/>
    <n v="0"/>
    <n v="674"/>
    <n v="168"/>
    <n v="108"/>
    <n v="192"/>
    <n v="42"/>
    <n v="231"/>
    <n v="1415"/>
    <n v="1"/>
    <n v="5"/>
    <n v="11"/>
    <n v="6"/>
    <n v="22"/>
    <n v="3"/>
    <x v="1"/>
  </r>
  <r>
    <n v="6872"/>
    <n v="1974"/>
    <x v="3"/>
    <x v="1"/>
    <x v="2"/>
    <n v="65352"/>
    <x v="0"/>
    <n v="0"/>
    <n v="1"/>
    <x v="2"/>
    <x v="2"/>
    <n v="43"/>
    <x v="1"/>
    <n v="0"/>
    <n v="284"/>
    <n v="3"/>
    <n v="84"/>
    <n v="4"/>
    <n v="7"/>
    <n v="23"/>
    <n v="405"/>
    <n v="2"/>
    <n v="4"/>
    <n v="2"/>
    <n v="8"/>
    <n v="14"/>
    <n v="4"/>
    <x v="0"/>
  </r>
  <r>
    <n v="8164"/>
    <n v="1978"/>
    <x v="3"/>
    <x v="1"/>
    <x v="2"/>
    <n v="82170"/>
    <x v="2"/>
    <n v="0"/>
    <n v="0"/>
    <x v="0"/>
    <x v="308"/>
    <n v="13"/>
    <x v="1"/>
    <n v="0"/>
    <n v="1023"/>
    <n v="93"/>
    <n v="651"/>
    <n v="49"/>
    <n v="55"/>
    <n v="37"/>
    <n v="1908"/>
    <n v="1"/>
    <n v="5"/>
    <n v="6"/>
    <n v="7"/>
    <n v="18"/>
    <n v="2"/>
    <x v="1"/>
  </r>
  <r>
    <n v="4580"/>
    <n v="1969"/>
    <x v="1"/>
    <x v="0"/>
    <x v="2"/>
    <n v="75759"/>
    <x v="2"/>
    <n v="0"/>
    <n v="0"/>
    <x v="0"/>
    <x v="512"/>
    <n v="46"/>
    <x v="1"/>
    <n v="0"/>
    <n v="1394"/>
    <n v="22"/>
    <n v="708"/>
    <n v="89"/>
    <n v="91"/>
    <n v="182"/>
    <n v="2486"/>
    <n v="1"/>
    <n v="9"/>
    <n v="7"/>
    <n v="9"/>
    <n v="25"/>
    <n v="5"/>
    <x v="1"/>
  </r>
  <r>
    <n v="9305"/>
    <n v="1976"/>
    <x v="3"/>
    <x v="2"/>
    <x v="0"/>
    <n v="79689"/>
    <x v="2"/>
    <n v="0"/>
    <n v="0"/>
    <x v="0"/>
    <x v="447"/>
    <n v="65"/>
    <x v="0"/>
    <n v="0"/>
    <n v="311"/>
    <n v="26"/>
    <n v="640"/>
    <n v="180"/>
    <n v="37"/>
    <n v="121"/>
    <n v="1315"/>
    <n v="1"/>
    <n v="4"/>
    <n v="9"/>
    <n v="13"/>
    <n v="26"/>
    <n v="2"/>
    <x v="0"/>
  </r>
  <r>
    <n v="453"/>
    <n v="1956"/>
    <x v="0"/>
    <x v="1"/>
    <x v="4"/>
    <n v="35340"/>
    <x v="3"/>
    <n v="1"/>
    <n v="1"/>
    <x v="1"/>
    <x v="162"/>
    <n v="1"/>
    <x v="1"/>
    <n v="0"/>
    <n v="27"/>
    <n v="0"/>
    <n v="12"/>
    <n v="0"/>
    <n v="1"/>
    <n v="5"/>
    <n v="45"/>
    <n v="2"/>
    <n v="2"/>
    <n v="0"/>
    <n v="3"/>
    <n v="5"/>
    <n v="5"/>
    <x v="0"/>
  </r>
  <r>
    <n v="8545"/>
    <n v="1954"/>
    <x v="0"/>
    <x v="0"/>
    <x v="3"/>
    <n v="85683"/>
    <x v="2"/>
    <n v="0"/>
    <n v="0"/>
    <x v="0"/>
    <x v="478"/>
    <n v="6"/>
    <x v="1"/>
    <n v="0"/>
    <n v="1296"/>
    <n v="17"/>
    <n v="311"/>
    <n v="45"/>
    <n v="69"/>
    <n v="51"/>
    <n v="1789"/>
    <n v="1"/>
    <n v="2"/>
    <n v="4"/>
    <n v="10"/>
    <n v="16"/>
    <n v="1"/>
    <x v="1"/>
  </r>
  <r>
    <n v="9850"/>
    <n v="1972"/>
    <x v="1"/>
    <x v="2"/>
    <x v="2"/>
    <n v="24884"/>
    <x v="3"/>
    <n v="1"/>
    <n v="0"/>
    <x v="2"/>
    <x v="480"/>
    <n v="32"/>
    <x v="1"/>
    <n v="0"/>
    <n v="3"/>
    <n v="6"/>
    <n v="7"/>
    <n v="0"/>
    <n v="0"/>
    <n v="3"/>
    <n v="19"/>
    <n v="1"/>
    <n v="0"/>
    <n v="0"/>
    <n v="3"/>
    <n v="3"/>
    <n v="7"/>
    <x v="0"/>
  </r>
  <r>
    <n v="7378"/>
    <n v="1981"/>
    <x v="3"/>
    <x v="2"/>
    <x v="1"/>
    <n v="42021"/>
    <x v="1"/>
    <n v="1"/>
    <n v="0"/>
    <x v="2"/>
    <x v="14"/>
    <n v="34"/>
    <x v="1"/>
    <n v="0"/>
    <n v="393"/>
    <n v="5"/>
    <n v="136"/>
    <n v="7"/>
    <n v="5"/>
    <n v="27"/>
    <n v="573"/>
    <n v="5"/>
    <n v="10"/>
    <n v="1"/>
    <n v="6"/>
    <n v="17"/>
    <n v="9"/>
    <x v="0"/>
  </r>
  <r>
    <n v="7646"/>
    <n v="1989"/>
    <x v="2"/>
    <x v="0"/>
    <x v="0"/>
    <n v="64449"/>
    <x v="0"/>
    <n v="1"/>
    <n v="0"/>
    <x v="2"/>
    <x v="513"/>
    <n v="70"/>
    <x v="0"/>
    <n v="0"/>
    <n v="218"/>
    <n v="63"/>
    <n v="282"/>
    <n v="137"/>
    <n v="35"/>
    <n v="70"/>
    <n v="805"/>
    <n v="4"/>
    <n v="5"/>
    <n v="3"/>
    <n v="12"/>
    <n v="20"/>
    <n v="4"/>
    <x v="0"/>
  </r>
  <r>
    <n v="1640"/>
    <n v="1954"/>
    <x v="0"/>
    <x v="0"/>
    <x v="3"/>
    <n v="64587"/>
    <x v="0"/>
    <n v="1"/>
    <n v="1"/>
    <x v="1"/>
    <x v="511"/>
    <n v="49"/>
    <x v="0"/>
    <n v="0"/>
    <n v="66"/>
    <n v="0"/>
    <n v="16"/>
    <n v="0"/>
    <n v="6"/>
    <n v="20"/>
    <n v="108"/>
    <n v="2"/>
    <n v="1"/>
    <n v="1"/>
    <n v="4"/>
    <n v="6"/>
    <n v="3"/>
    <x v="0"/>
  </r>
  <r>
    <n v="8492"/>
    <n v="1978"/>
    <x v="3"/>
    <x v="0"/>
    <x v="1"/>
    <n v="75437"/>
    <x v="2"/>
    <n v="0"/>
    <n v="0"/>
    <x v="0"/>
    <x v="514"/>
    <n v="25"/>
    <x v="1"/>
    <n v="0"/>
    <n v="795"/>
    <n v="0"/>
    <n v="545"/>
    <n v="95"/>
    <n v="58"/>
    <n v="0"/>
    <n v="1493"/>
    <n v="1"/>
    <n v="8"/>
    <n v="4"/>
    <n v="10"/>
    <n v="22"/>
    <n v="6"/>
    <x v="1"/>
  </r>
  <r>
    <n v="1212"/>
    <n v="1973"/>
    <x v="3"/>
    <x v="0"/>
    <x v="2"/>
    <n v="52845"/>
    <x v="0"/>
    <n v="1"/>
    <n v="0"/>
    <x v="2"/>
    <x v="515"/>
    <n v="7"/>
    <x v="1"/>
    <n v="0"/>
    <n v="384"/>
    <n v="25"/>
    <n v="292"/>
    <n v="130"/>
    <n v="41"/>
    <n v="64"/>
    <n v="936"/>
    <n v="3"/>
    <n v="8"/>
    <n v="8"/>
    <n v="6"/>
    <n v="22"/>
    <n v="6"/>
    <x v="1"/>
  </r>
  <r>
    <n v="9097"/>
    <n v="1956"/>
    <x v="0"/>
    <x v="0"/>
    <x v="3"/>
    <n v="46086"/>
    <x v="1"/>
    <n v="0"/>
    <n v="1"/>
    <x v="2"/>
    <x v="358"/>
    <n v="34"/>
    <x v="1"/>
    <n v="0"/>
    <n v="244"/>
    <n v="8"/>
    <n v="32"/>
    <n v="7"/>
    <n v="2"/>
    <n v="50"/>
    <n v="343"/>
    <n v="4"/>
    <n v="3"/>
    <n v="1"/>
    <n v="8"/>
    <n v="12"/>
    <n v="4"/>
    <x v="0"/>
  </r>
  <r>
    <n v="10473"/>
    <n v="1956"/>
    <x v="0"/>
    <x v="1"/>
    <x v="4"/>
    <n v="78028"/>
    <x v="2"/>
    <n v="0"/>
    <n v="1"/>
    <x v="2"/>
    <x v="169"/>
    <n v="38"/>
    <x v="1"/>
    <n v="0"/>
    <n v="158"/>
    <n v="19"/>
    <n v="288"/>
    <n v="25"/>
    <n v="0"/>
    <n v="38"/>
    <n v="528"/>
    <n v="1"/>
    <n v="6"/>
    <n v="4"/>
    <n v="9"/>
    <n v="19"/>
    <n v="7"/>
    <x v="0"/>
  </r>
  <r>
    <n v="7962"/>
    <n v="1987"/>
    <x v="2"/>
    <x v="1"/>
    <x v="0"/>
    <n v="95169"/>
    <x v="2"/>
    <n v="0"/>
    <n v="0"/>
    <x v="0"/>
    <x v="316"/>
    <n v="1"/>
    <x v="1"/>
    <n v="0"/>
    <n v="1285"/>
    <n v="21"/>
    <n v="449"/>
    <n v="106"/>
    <n v="20"/>
    <n v="20"/>
    <n v="1901"/>
    <n v="1"/>
    <n v="4"/>
    <n v="3"/>
    <n v="4"/>
    <n v="11"/>
    <n v="1"/>
    <x v="0"/>
  </r>
  <r>
    <n v="9984"/>
    <n v="1981"/>
    <x v="3"/>
    <x v="2"/>
    <x v="2"/>
    <n v="56337"/>
    <x v="0"/>
    <n v="1"/>
    <n v="1"/>
    <x v="1"/>
    <x v="330"/>
    <n v="25"/>
    <x v="1"/>
    <n v="0"/>
    <n v="349"/>
    <n v="16"/>
    <n v="144"/>
    <n v="28"/>
    <n v="5"/>
    <n v="182"/>
    <n v="724"/>
    <n v="5"/>
    <n v="8"/>
    <n v="5"/>
    <n v="4"/>
    <n v="17"/>
    <n v="8"/>
    <x v="1"/>
  </r>
  <r>
    <n v="5527"/>
    <n v="1987"/>
    <x v="2"/>
    <x v="0"/>
    <x v="1"/>
    <n v="22434"/>
    <x v="3"/>
    <n v="1"/>
    <n v="0"/>
    <x v="2"/>
    <x v="253"/>
    <n v="25"/>
    <x v="1"/>
    <n v="0"/>
    <n v="4"/>
    <n v="12"/>
    <n v="11"/>
    <n v="3"/>
    <n v="13"/>
    <n v="15"/>
    <n v="58"/>
    <n v="2"/>
    <n v="2"/>
    <n v="0"/>
    <n v="3"/>
    <n v="5"/>
    <n v="8"/>
    <x v="0"/>
  </r>
  <r>
    <n v="6374"/>
    <n v="1954"/>
    <x v="0"/>
    <x v="1"/>
    <x v="2"/>
    <n v="36930"/>
    <x v="1"/>
    <n v="0"/>
    <n v="1"/>
    <x v="2"/>
    <x v="91"/>
    <n v="50"/>
    <x v="0"/>
    <n v="0"/>
    <n v="223"/>
    <n v="2"/>
    <n v="31"/>
    <n v="0"/>
    <n v="2"/>
    <n v="39"/>
    <n v="297"/>
    <n v="5"/>
    <n v="5"/>
    <n v="2"/>
    <n v="4"/>
    <n v="11"/>
    <n v="8"/>
    <x v="0"/>
  </r>
  <r>
    <n v="7453"/>
    <n v="1954"/>
    <x v="0"/>
    <x v="0"/>
    <x v="0"/>
    <n v="36130"/>
    <x v="1"/>
    <n v="0"/>
    <n v="1"/>
    <x v="2"/>
    <x v="95"/>
    <n v="46"/>
    <x v="1"/>
    <n v="0"/>
    <n v="157"/>
    <n v="43"/>
    <n v="127"/>
    <n v="68"/>
    <n v="56"/>
    <n v="37"/>
    <n v="488"/>
    <n v="6"/>
    <n v="3"/>
    <n v="8"/>
    <n v="4"/>
    <n v="15"/>
    <n v="4"/>
    <x v="0"/>
  </r>
  <r>
    <n v="8952"/>
    <n v="1953"/>
    <x v="0"/>
    <x v="2"/>
    <x v="2"/>
    <n v="65569"/>
    <x v="0"/>
    <n v="0"/>
    <n v="1"/>
    <x v="2"/>
    <x v="134"/>
    <n v="96"/>
    <x v="0"/>
    <n v="0"/>
    <n v="397"/>
    <n v="46"/>
    <n v="288"/>
    <n v="20"/>
    <n v="38"/>
    <n v="70"/>
    <n v="859"/>
    <n v="2"/>
    <n v="6"/>
    <n v="5"/>
    <n v="10"/>
    <n v="21"/>
    <n v="3"/>
    <x v="0"/>
  </r>
  <r>
    <n v="8975"/>
    <n v="1968"/>
    <x v="1"/>
    <x v="0"/>
    <x v="2"/>
    <n v="19514"/>
    <x v="3"/>
    <n v="1"/>
    <n v="1"/>
    <x v="1"/>
    <x v="340"/>
    <n v="47"/>
    <x v="1"/>
    <n v="0"/>
    <n v="14"/>
    <n v="3"/>
    <n v="21"/>
    <n v="2"/>
    <n v="1"/>
    <n v="28"/>
    <n v="69"/>
    <n v="4"/>
    <n v="3"/>
    <n v="1"/>
    <n v="2"/>
    <n v="6"/>
    <n v="8"/>
    <x v="0"/>
  </r>
  <r>
    <n v="6119"/>
    <n v="1963"/>
    <x v="1"/>
    <x v="1"/>
    <x v="0"/>
    <n v="36736"/>
    <x v="1"/>
    <n v="1"/>
    <n v="1"/>
    <x v="1"/>
    <x v="456"/>
    <n v="52"/>
    <x v="0"/>
    <n v="0"/>
    <n v="10"/>
    <n v="0"/>
    <n v="3"/>
    <n v="0"/>
    <n v="0"/>
    <n v="4"/>
    <n v="17"/>
    <n v="1"/>
    <n v="1"/>
    <n v="0"/>
    <n v="2"/>
    <n v="3"/>
    <n v="6"/>
    <x v="0"/>
  </r>
  <r>
    <n v="5236"/>
    <n v="1979"/>
    <x v="3"/>
    <x v="0"/>
    <x v="1"/>
    <n v="77568"/>
    <x v="2"/>
    <n v="0"/>
    <n v="1"/>
    <x v="2"/>
    <x v="516"/>
    <n v="30"/>
    <x v="1"/>
    <n v="0"/>
    <n v="1230"/>
    <n v="0"/>
    <n v="396"/>
    <n v="232"/>
    <n v="178"/>
    <n v="158"/>
    <n v="2194"/>
    <n v="1"/>
    <n v="10"/>
    <n v="2"/>
    <n v="8"/>
    <n v="20"/>
    <n v="5"/>
    <x v="1"/>
  </r>
  <r>
    <n v="5723"/>
    <n v="1976"/>
    <x v="3"/>
    <x v="1"/>
    <x v="1"/>
    <n v="49187"/>
    <x v="1"/>
    <n v="0"/>
    <n v="1"/>
    <x v="2"/>
    <x v="20"/>
    <n v="63"/>
    <x v="0"/>
    <n v="0"/>
    <n v="81"/>
    <n v="1"/>
    <n v="31"/>
    <n v="2"/>
    <n v="1"/>
    <n v="0"/>
    <n v="116"/>
    <n v="1"/>
    <n v="1"/>
    <n v="1"/>
    <n v="5"/>
    <n v="7"/>
    <n v="2"/>
    <x v="0"/>
  </r>
  <r>
    <n v="1710"/>
    <n v="1978"/>
    <x v="3"/>
    <x v="0"/>
    <x v="0"/>
    <n v="30168"/>
    <x v="3"/>
    <n v="1"/>
    <n v="0"/>
    <x v="2"/>
    <x v="230"/>
    <n v="51"/>
    <x v="0"/>
    <n v="0"/>
    <n v="154"/>
    <n v="20"/>
    <n v="66"/>
    <n v="0"/>
    <n v="12"/>
    <n v="27"/>
    <n v="279"/>
    <n v="7"/>
    <n v="6"/>
    <n v="1"/>
    <n v="4"/>
    <n v="11"/>
    <n v="9"/>
    <x v="0"/>
  </r>
  <r>
    <n v="1970"/>
    <n v="1968"/>
    <x v="1"/>
    <x v="2"/>
    <x v="1"/>
    <n v="34053"/>
    <x v="3"/>
    <n v="0"/>
    <n v="1"/>
    <x v="2"/>
    <x v="169"/>
    <n v="14"/>
    <x v="1"/>
    <n v="0"/>
    <n v="63"/>
    <n v="0"/>
    <n v="21"/>
    <n v="7"/>
    <n v="0"/>
    <n v="12"/>
    <n v="103"/>
    <n v="1"/>
    <n v="3"/>
    <n v="0"/>
    <n v="3"/>
    <n v="6"/>
    <n v="8"/>
    <x v="0"/>
  </r>
  <r>
    <n v="5313"/>
    <n v="1971"/>
    <x v="1"/>
    <x v="2"/>
    <x v="2"/>
    <n v="38196"/>
    <x v="1"/>
    <n v="1"/>
    <n v="1"/>
    <x v="1"/>
    <x v="384"/>
    <n v="20"/>
    <x v="1"/>
    <n v="0"/>
    <n v="30"/>
    <n v="0"/>
    <n v="11"/>
    <n v="0"/>
    <n v="0"/>
    <n v="3"/>
    <n v="44"/>
    <n v="3"/>
    <n v="2"/>
    <n v="0"/>
    <n v="4"/>
    <n v="6"/>
    <n v="5"/>
    <x v="0"/>
  </r>
  <r>
    <n v="10634"/>
    <n v="1951"/>
    <x v="4"/>
    <x v="2"/>
    <x v="2"/>
    <n v="59412"/>
    <x v="0"/>
    <n v="0"/>
    <n v="0"/>
    <x v="0"/>
    <x v="517"/>
    <n v="56"/>
    <x v="0"/>
    <n v="0"/>
    <n v="90"/>
    <n v="67"/>
    <n v="165"/>
    <n v="30"/>
    <n v="43"/>
    <n v="11"/>
    <n v="406"/>
    <n v="1"/>
    <n v="4"/>
    <n v="2"/>
    <n v="8"/>
    <n v="14"/>
    <n v="3"/>
    <x v="0"/>
  </r>
  <r>
    <n v="7010"/>
    <n v="1965"/>
    <x v="1"/>
    <x v="2"/>
    <x v="2"/>
    <n v="70924"/>
    <x v="2"/>
    <n v="0"/>
    <n v="0"/>
    <x v="0"/>
    <x v="518"/>
    <n v="41"/>
    <x v="1"/>
    <n v="0"/>
    <n v="635"/>
    <n v="114"/>
    <n v="254"/>
    <n v="132"/>
    <n v="152"/>
    <n v="76"/>
    <n v="1363"/>
    <n v="1"/>
    <n v="6"/>
    <n v="6"/>
    <n v="7"/>
    <n v="19"/>
    <n v="3"/>
    <x v="1"/>
  </r>
  <r>
    <n v="8562"/>
    <n v="1969"/>
    <x v="1"/>
    <x v="0"/>
    <x v="1"/>
    <n v="54165"/>
    <x v="0"/>
    <n v="0"/>
    <n v="0"/>
    <x v="0"/>
    <x v="505"/>
    <n v="72"/>
    <x v="0"/>
    <n v="0"/>
    <n v="127"/>
    <n v="4"/>
    <n v="73"/>
    <n v="15"/>
    <n v="6"/>
    <n v="11"/>
    <n v="236"/>
    <n v="1"/>
    <n v="2"/>
    <n v="1"/>
    <n v="7"/>
    <n v="10"/>
    <n v="2"/>
    <x v="0"/>
  </r>
  <r>
    <n v="3158"/>
    <n v="1973"/>
    <x v="3"/>
    <x v="0"/>
    <x v="2"/>
    <n v="32300"/>
    <x v="3"/>
    <n v="1"/>
    <n v="0"/>
    <x v="2"/>
    <x v="519"/>
    <n v="1"/>
    <x v="1"/>
    <n v="0"/>
    <n v="13"/>
    <n v="3"/>
    <n v="6"/>
    <n v="6"/>
    <n v="5"/>
    <n v="6"/>
    <n v="39"/>
    <n v="1"/>
    <n v="1"/>
    <n v="0"/>
    <n v="3"/>
    <n v="4"/>
    <n v="8"/>
    <x v="0"/>
  </r>
  <r>
    <n v="4436"/>
    <n v="1976"/>
    <x v="3"/>
    <x v="0"/>
    <x v="0"/>
    <n v="20180"/>
    <x v="3"/>
    <n v="0"/>
    <n v="0"/>
    <x v="0"/>
    <x v="24"/>
    <n v="27"/>
    <x v="1"/>
    <n v="0"/>
    <n v="18"/>
    <n v="42"/>
    <n v="24"/>
    <n v="15"/>
    <n v="20"/>
    <n v="18"/>
    <n v="137"/>
    <n v="1"/>
    <n v="2"/>
    <n v="1"/>
    <n v="4"/>
    <n v="7"/>
    <n v="7"/>
    <x v="0"/>
  </r>
  <r>
    <n v="5287"/>
    <n v="1973"/>
    <x v="3"/>
    <x v="0"/>
    <x v="2"/>
    <n v="34961"/>
    <x v="3"/>
    <n v="1"/>
    <n v="0"/>
    <x v="2"/>
    <x v="490"/>
    <n v="77"/>
    <x v="0"/>
    <n v="0"/>
    <n v="45"/>
    <n v="2"/>
    <n v="26"/>
    <n v="4"/>
    <n v="1"/>
    <n v="1"/>
    <n v="79"/>
    <n v="3"/>
    <n v="3"/>
    <n v="1"/>
    <n v="3"/>
    <n v="7"/>
    <n v="7"/>
    <x v="0"/>
  </r>
  <r>
    <n v="2445"/>
    <n v="1974"/>
    <x v="3"/>
    <x v="1"/>
    <x v="1"/>
    <n v="28440"/>
    <x v="3"/>
    <n v="1"/>
    <n v="0"/>
    <x v="2"/>
    <x v="114"/>
    <n v="87"/>
    <x v="0"/>
    <n v="0"/>
    <n v="38"/>
    <n v="1"/>
    <n v="24"/>
    <n v="0"/>
    <n v="0"/>
    <n v="0"/>
    <n v="63"/>
    <n v="1"/>
    <n v="2"/>
    <n v="0"/>
    <n v="3"/>
    <n v="5"/>
    <n v="8"/>
    <x v="0"/>
  </r>
  <r>
    <n v="6059"/>
    <n v="1953"/>
    <x v="0"/>
    <x v="1"/>
    <x v="1"/>
    <n v="64504"/>
    <x v="0"/>
    <n v="1"/>
    <n v="2"/>
    <x v="3"/>
    <x v="506"/>
    <n v="81"/>
    <x v="0"/>
    <n v="0"/>
    <n v="986"/>
    <n v="36"/>
    <n v="168"/>
    <n v="16"/>
    <n v="0"/>
    <n v="108"/>
    <n v="1314"/>
    <n v="7"/>
    <n v="11"/>
    <n v="3"/>
    <n v="4"/>
    <n v="18"/>
    <n v="7"/>
    <x v="0"/>
  </r>
  <r>
    <n v="4550"/>
    <n v="1966"/>
    <x v="1"/>
    <x v="2"/>
    <x v="1"/>
    <n v="33564"/>
    <x v="3"/>
    <n v="0"/>
    <n v="1"/>
    <x v="2"/>
    <x v="147"/>
    <n v="51"/>
    <x v="0"/>
    <n v="0"/>
    <n v="61"/>
    <n v="0"/>
    <n v="3"/>
    <n v="0"/>
    <n v="0"/>
    <n v="7"/>
    <n v="71"/>
    <n v="1"/>
    <n v="1"/>
    <n v="1"/>
    <n v="3"/>
    <n v="5"/>
    <n v="5"/>
    <x v="0"/>
  </r>
  <r>
    <n v="4240"/>
    <n v="1978"/>
    <x v="3"/>
    <x v="0"/>
    <x v="2"/>
    <n v="17345"/>
    <x v="3"/>
    <n v="1"/>
    <n v="0"/>
    <x v="2"/>
    <x v="16"/>
    <n v="79"/>
    <x v="0"/>
    <n v="0"/>
    <n v="4"/>
    <n v="9"/>
    <n v="16"/>
    <n v="17"/>
    <n v="0"/>
    <n v="12"/>
    <n v="58"/>
    <n v="2"/>
    <n v="2"/>
    <n v="1"/>
    <n v="2"/>
    <n v="5"/>
    <n v="8"/>
    <x v="0"/>
  </r>
  <r>
    <n v="8911"/>
    <n v="1967"/>
    <x v="1"/>
    <x v="1"/>
    <x v="2"/>
    <n v="56320"/>
    <x v="0"/>
    <n v="0"/>
    <n v="1"/>
    <x v="2"/>
    <x v="62"/>
    <n v="11"/>
    <x v="1"/>
    <n v="0"/>
    <n v="201"/>
    <n v="53"/>
    <n v="172"/>
    <n v="116"/>
    <n v="77"/>
    <n v="83"/>
    <n v="702"/>
    <n v="3"/>
    <n v="5"/>
    <n v="4"/>
    <n v="9"/>
    <n v="18"/>
    <n v="4"/>
    <x v="1"/>
  </r>
  <r>
    <n v="3706"/>
    <n v="1978"/>
    <x v="3"/>
    <x v="0"/>
    <x v="0"/>
    <n v="28647"/>
    <x v="3"/>
    <n v="1"/>
    <n v="0"/>
    <x v="2"/>
    <x v="2"/>
    <n v="54"/>
    <x v="0"/>
    <n v="0"/>
    <n v="19"/>
    <n v="8"/>
    <n v="29"/>
    <n v="0"/>
    <n v="12"/>
    <n v="26"/>
    <n v="94"/>
    <n v="1"/>
    <n v="2"/>
    <n v="2"/>
    <n v="2"/>
    <n v="6"/>
    <n v="7"/>
    <x v="0"/>
  </r>
  <r>
    <n v="3628"/>
    <n v="1987"/>
    <x v="2"/>
    <x v="3"/>
    <x v="0"/>
    <n v="15038"/>
    <x v="3"/>
    <n v="1"/>
    <n v="0"/>
    <x v="2"/>
    <x v="223"/>
    <n v="93"/>
    <x v="0"/>
    <n v="0"/>
    <n v="4"/>
    <n v="8"/>
    <n v="11"/>
    <n v="19"/>
    <n v="12"/>
    <n v="26"/>
    <n v="80"/>
    <n v="2"/>
    <n v="2"/>
    <n v="1"/>
    <n v="2"/>
    <n v="5"/>
    <n v="9"/>
    <x v="0"/>
  </r>
  <r>
    <n v="10175"/>
    <n v="1958"/>
    <x v="0"/>
    <x v="1"/>
    <x v="3"/>
    <n v="32173"/>
    <x v="3"/>
    <n v="0"/>
    <n v="1"/>
    <x v="2"/>
    <x v="379"/>
    <n v="0"/>
    <x v="1"/>
    <n v="0"/>
    <n v="18"/>
    <n v="0"/>
    <n v="2"/>
    <n v="0"/>
    <n v="0"/>
    <n v="2"/>
    <n v="22"/>
    <n v="1"/>
    <n v="1"/>
    <n v="0"/>
    <n v="3"/>
    <n v="4"/>
    <n v="4"/>
    <x v="0"/>
  </r>
  <r>
    <n v="8985"/>
    <n v="1964"/>
    <x v="1"/>
    <x v="2"/>
    <x v="1"/>
    <n v="68316"/>
    <x v="0"/>
    <n v="0"/>
    <n v="1"/>
    <x v="2"/>
    <x v="520"/>
    <n v="54"/>
    <x v="0"/>
    <n v="0"/>
    <n v="806"/>
    <n v="80"/>
    <n v="161"/>
    <n v="120"/>
    <n v="11"/>
    <n v="33"/>
    <n v="1211"/>
    <n v="5"/>
    <n v="10"/>
    <n v="7"/>
    <n v="10"/>
    <n v="27"/>
    <n v="6"/>
    <x v="0"/>
  </r>
  <r>
    <n v="5204"/>
    <n v="1971"/>
    <x v="1"/>
    <x v="0"/>
    <x v="1"/>
    <n v="74538"/>
    <x v="2"/>
    <n v="0"/>
    <n v="0"/>
    <x v="0"/>
    <x v="496"/>
    <n v="21"/>
    <x v="1"/>
    <n v="0"/>
    <n v="380"/>
    <n v="98"/>
    <n v="733"/>
    <n v="110"/>
    <n v="112"/>
    <n v="28"/>
    <n v="1461"/>
    <n v="1"/>
    <n v="8"/>
    <n v="8"/>
    <n v="5"/>
    <n v="21"/>
    <n v="3"/>
    <x v="1"/>
  </r>
  <r>
    <n v="9220"/>
    <n v="1971"/>
    <x v="1"/>
    <x v="0"/>
    <x v="0"/>
    <n v="91700"/>
    <x v="2"/>
    <n v="0"/>
    <n v="0"/>
    <x v="0"/>
    <x v="160"/>
    <n v="58"/>
    <x v="0"/>
    <n v="0"/>
    <n v="576"/>
    <n v="172"/>
    <n v="961"/>
    <n v="125"/>
    <n v="115"/>
    <n v="19"/>
    <n v="1968"/>
    <n v="1"/>
    <n v="8"/>
    <n v="6"/>
    <n v="5"/>
    <n v="19"/>
    <n v="3"/>
    <x v="0"/>
  </r>
  <r>
    <n v="9888"/>
    <n v="1969"/>
    <x v="1"/>
    <x v="0"/>
    <x v="1"/>
    <n v="68695"/>
    <x v="2"/>
    <n v="0"/>
    <n v="0"/>
    <x v="0"/>
    <x v="99"/>
    <n v="3"/>
    <x v="1"/>
    <n v="0"/>
    <n v="458"/>
    <n v="81"/>
    <n v="356"/>
    <n v="106"/>
    <n v="50"/>
    <n v="40"/>
    <n v="1091"/>
    <n v="1"/>
    <n v="4"/>
    <n v="4"/>
    <n v="7"/>
    <n v="15"/>
    <n v="2"/>
    <x v="1"/>
  </r>
  <r>
    <n v="5263"/>
    <n v="1977"/>
    <x v="3"/>
    <x v="2"/>
    <x v="2"/>
    <n v="31056"/>
    <x v="3"/>
    <n v="1"/>
    <n v="0"/>
    <x v="2"/>
    <x v="521"/>
    <n v="99"/>
    <x v="0"/>
    <n v="0"/>
    <n v="5"/>
    <n v="10"/>
    <n v="13"/>
    <n v="3"/>
    <n v="8"/>
    <n v="16"/>
    <n v="55"/>
    <n v="1"/>
    <n v="1"/>
    <n v="0"/>
    <n v="3"/>
    <n v="4"/>
    <n v="8"/>
    <x v="0"/>
  </r>
  <r>
    <n v="9503"/>
    <n v="1980"/>
    <x v="3"/>
    <x v="0"/>
    <x v="0"/>
    <n v="28071"/>
    <x v="3"/>
    <n v="0"/>
    <n v="0"/>
    <x v="0"/>
    <x v="72"/>
    <n v="65"/>
    <x v="0"/>
    <n v="0"/>
    <n v="39"/>
    <n v="33"/>
    <n v="130"/>
    <n v="41"/>
    <n v="26"/>
    <n v="44"/>
    <n v="313"/>
    <n v="2"/>
    <n v="5"/>
    <n v="1"/>
    <n v="5"/>
    <n v="11"/>
    <n v="8"/>
    <x v="0"/>
  </r>
  <r>
    <n v="10613"/>
    <n v="1958"/>
    <x v="0"/>
    <x v="1"/>
    <x v="1"/>
    <n v="37334"/>
    <x v="1"/>
    <n v="1"/>
    <n v="1"/>
    <x v="1"/>
    <x v="522"/>
    <n v="44"/>
    <x v="1"/>
    <n v="0"/>
    <n v="26"/>
    <n v="1"/>
    <n v="16"/>
    <n v="2"/>
    <n v="2"/>
    <n v="15"/>
    <n v="62"/>
    <n v="4"/>
    <n v="3"/>
    <n v="0"/>
    <n v="4"/>
    <n v="7"/>
    <n v="4"/>
    <x v="0"/>
  </r>
  <r>
    <n v="67"/>
    <n v="1972"/>
    <x v="1"/>
    <x v="2"/>
    <x v="0"/>
    <n v="46423"/>
    <x v="1"/>
    <n v="1"/>
    <n v="1"/>
    <x v="1"/>
    <x v="360"/>
    <n v="6"/>
    <x v="1"/>
    <n v="0"/>
    <n v="68"/>
    <n v="0"/>
    <n v="16"/>
    <n v="0"/>
    <n v="0"/>
    <n v="8"/>
    <n v="92"/>
    <n v="3"/>
    <n v="2"/>
    <n v="0"/>
    <n v="4"/>
    <n v="6"/>
    <n v="7"/>
    <x v="0"/>
  </r>
  <r>
    <n v="6019"/>
    <n v="1971"/>
    <x v="1"/>
    <x v="1"/>
    <x v="2"/>
    <n v="37126"/>
    <x v="1"/>
    <n v="1"/>
    <n v="0"/>
    <x v="2"/>
    <x v="89"/>
    <n v="9"/>
    <x v="1"/>
    <n v="0"/>
    <n v="45"/>
    <n v="3"/>
    <n v="9"/>
    <n v="4"/>
    <n v="4"/>
    <n v="7"/>
    <n v="72"/>
    <n v="1"/>
    <n v="1"/>
    <n v="2"/>
    <n v="2"/>
    <n v="5"/>
    <n v="6"/>
    <x v="0"/>
  </r>
  <r>
    <n v="5863"/>
    <n v="1953"/>
    <x v="0"/>
    <x v="0"/>
    <x v="2"/>
    <n v="47703"/>
    <x v="1"/>
    <n v="0"/>
    <n v="1"/>
    <x v="2"/>
    <x v="429"/>
    <n v="95"/>
    <x v="0"/>
    <n v="0"/>
    <n v="359"/>
    <n v="0"/>
    <n v="134"/>
    <n v="13"/>
    <n v="26"/>
    <n v="123"/>
    <n v="655"/>
    <n v="4"/>
    <n v="6"/>
    <n v="3"/>
    <n v="8"/>
    <n v="17"/>
    <n v="5"/>
    <x v="0"/>
  </r>
  <r>
    <n v="3717"/>
    <n v="1959"/>
    <x v="0"/>
    <x v="0"/>
    <x v="2"/>
    <n v="61180"/>
    <x v="0"/>
    <n v="0"/>
    <n v="1"/>
    <x v="2"/>
    <x v="523"/>
    <n v="70"/>
    <x v="0"/>
    <n v="0"/>
    <n v="403"/>
    <n v="24"/>
    <n v="29"/>
    <n v="6"/>
    <n v="24"/>
    <n v="218"/>
    <n v="704"/>
    <n v="2"/>
    <n v="5"/>
    <n v="5"/>
    <n v="6"/>
    <n v="16"/>
    <n v="3"/>
    <x v="0"/>
  </r>
  <r>
    <n v="6730"/>
    <n v="1954"/>
    <x v="0"/>
    <x v="0"/>
    <x v="2"/>
    <n v="38998"/>
    <x v="1"/>
    <n v="1"/>
    <n v="1"/>
    <x v="1"/>
    <x v="16"/>
    <n v="92"/>
    <x v="0"/>
    <n v="1"/>
    <n v="34"/>
    <n v="1"/>
    <n v="14"/>
    <n v="0"/>
    <n v="0"/>
    <n v="5"/>
    <n v="54"/>
    <n v="3"/>
    <n v="2"/>
    <n v="0"/>
    <n v="3"/>
    <n v="5"/>
    <n v="8"/>
    <x v="0"/>
  </r>
  <r>
    <n v="10749"/>
    <n v="1991"/>
    <x v="2"/>
    <x v="0"/>
    <x v="0"/>
    <n v="8028"/>
    <x v="3"/>
    <n v="0"/>
    <n v="0"/>
    <x v="0"/>
    <x v="236"/>
    <n v="62"/>
    <x v="0"/>
    <n v="0"/>
    <n v="73"/>
    <n v="18"/>
    <n v="66"/>
    <n v="7"/>
    <n v="12"/>
    <n v="2"/>
    <n v="178"/>
    <n v="15"/>
    <n v="0"/>
    <n v="1"/>
    <n v="0"/>
    <n v="1"/>
    <n v="19"/>
    <x v="0"/>
  </r>
  <r>
    <n v="4998"/>
    <n v="1962"/>
    <x v="0"/>
    <x v="0"/>
    <x v="1"/>
    <n v="76081"/>
    <x v="2"/>
    <n v="0"/>
    <n v="0"/>
    <x v="0"/>
    <x v="146"/>
    <n v="85"/>
    <x v="0"/>
    <n v="0"/>
    <n v="292"/>
    <n v="30"/>
    <n v="415"/>
    <n v="63"/>
    <n v="33"/>
    <n v="200"/>
    <n v="1033"/>
    <n v="1"/>
    <n v="4"/>
    <n v="5"/>
    <n v="4"/>
    <n v="13"/>
    <n v="2"/>
    <x v="0"/>
  </r>
  <r>
    <n v="6287"/>
    <n v="1986"/>
    <x v="2"/>
    <x v="0"/>
    <x v="1"/>
    <n v="34728"/>
    <x v="3"/>
    <n v="1"/>
    <n v="0"/>
    <x v="2"/>
    <x v="524"/>
    <n v="2"/>
    <x v="1"/>
    <n v="0"/>
    <n v="14"/>
    <n v="0"/>
    <n v="16"/>
    <n v="0"/>
    <n v="0"/>
    <n v="6"/>
    <n v="36"/>
    <n v="1"/>
    <n v="1"/>
    <n v="1"/>
    <n v="2"/>
    <n v="4"/>
    <n v="6"/>
    <x v="0"/>
  </r>
  <r>
    <n v="5985"/>
    <n v="1965"/>
    <x v="1"/>
    <x v="2"/>
    <x v="0"/>
    <n v="33168"/>
    <x v="3"/>
    <n v="0"/>
    <n v="1"/>
    <x v="2"/>
    <x v="204"/>
    <n v="0"/>
    <x v="1"/>
    <n v="0"/>
    <n v="80"/>
    <n v="1"/>
    <n v="37"/>
    <n v="0"/>
    <n v="1"/>
    <n v="3"/>
    <n v="122"/>
    <n v="3"/>
    <n v="2"/>
    <n v="1"/>
    <n v="4"/>
    <n v="7"/>
    <n v="7"/>
    <x v="0"/>
  </r>
  <r>
    <n v="4754"/>
    <n v="1966"/>
    <x v="1"/>
    <x v="2"/>
    <x v="2"/>
    <n v="33585"/>
    <x v="3"/>
    <n v="0"/>
    <n v="1"/>
    <x v="2"/>
    <x v="417"/>
    <n v="91"/>
    <x v="0"/>
    <n v="0"/>
    <n v="30"/>
    <n v="11"/>
    <n v="33"/>
    <n v="13"/>
    <n v="6"/>
    <n v="29"/>
    <n v="122"/>
    <n v="1"/>
    <n v="2"/>
    <n v="0"/>
    <n v="4"/>
    <n v="6"/>
    <n v="4"/>
    <x v="0"/>
  </r>
  <r>
    <n v="4002"/>
    <n v="1960"/>
    <x v="0"/>
    <x v="1"/>
    <x v="2"/>
    <n v="77037"/>
    <x v="2"/>
    <n v="0"/>
    <n v="1"/>
    <x v="2"/>
    <x v="525"/>
    <n v="3"/>
    <x v="1"/>
    <n v="0"/>
    <n v="463"/>
    <n v="96"/>
    <n v="333"/>
    <n v="168"/>
    <n v="53"/>
    <n v="10"/>
    <n v="1123"/>
    <n v="1"/>
    <n v="7"/>
    <n v="7"/>
    <n v="12"/>
    <n v="26"/>
    <n v="3"/>
    <x v="1"/>
  </r>
  <r>
    <n v="8870"/>
    <n v="1984"/>
    <x v="2"/>
    <x v="0"/>
    <x v="1"/>
    <n v="35196"/>
    <x v="3"/>
    <n v="1"/>
    <n v="0"/>
    <x v="2"/>
    <x v="6"/>
    <n v="68"/>
    <x v="0"/>
    <n v="0"/>
    <n v="75"/>
    <n v="12"/>
    <n v="141"/>
    <n v="43"/>
    <n v="39"/>
    <n v="187"/>
    <n v="497"/>
    <n v="6"/>
    <n v="6"/>
    <n v="1"/>
    <n v="5"/>
    <n v="12"/>
    <n v="8"/>
    <x v="0"/>
  </r>
  <r>
    <n v="966"/>
    <n v="1966"/>
    <x v="1"/>
    <x v="0"/>
    <x v="2"/>
    <n v="44529"/>
    <x v="1"/>
    <n v="0"/>
    <n v="1"/>
    <x v="2"/>
    <x v="249"/>
    <n v="98"/>
    <x v="0"/>
    <n v="0"/>
    <n v="538"/>
    <n v="13"/>
    <n v="91"/>
    <n v="17"/>
    <n v="6"/>
    <n v="26"/>
    <n v="691"/>
    <n v="6"/>
    <n v="6"/>
    <n v="2"/>
    <n v="11"/>
    <n v="19"/>
    <n v="5"/>
    <x v="0"/>
  </r>
  <r>
    <n v="9725"/>
    <n v="1966"/>
    <x v="1"/>
    <x v="1"/>
    <x v="1"/>
    <n v="28764"/>
    <x v="3"/>
    <n v="1"/>
    <n v="1"/>
    <x v="1"/>
    <x v="198"/>
    <n v="16"/>
    <x v="1"/>
    <n v="0"/>
    <n v="8"/>
    <n v="0"/>
    <n v="3"/>
    <n v="0"/>
    <n v="0"/>
    <n v="1"/>
    <n v="12"/>
    <n v="1"/>
    <n v="1"/>
    <n v="0"/>
    <n v="2"/>
    <n v="3"/>
    <n v="8"/>
    <x v="0"/>
  </r>
  <r>
    <n v="4475"/>
    <n v="1949"/>
    <x v="4"/>
    <x v="1"/>
    <x v="2"/>
    <n v="69098"/>
    <x v="2"/>
    <n v="0"/>
    <n v="0"/>
    <x v="0"/>
    <x v="320"/>
    <n v="82"/>
    <x v="0"/>
    <n v="0"/>
    <n v="1315"/>
    <n v="22"/>
    <n v="780"/>
    <n v="145"/>
    <n v="0"/>
    <n v="178"/>
    <n v="2440"/>
    <n v="1"/>
    <n v="7"/>
    <n v="8"/>
    <n v="9"/>
    <n v="24"/>
    <n v="5"/>
    <x v="0"/>
  </r>
  <r>
    <n v="5740"/>
    <n v="1970"/>
    <x v="1"/>
    <x v="2"/>
    <x v="3"/>
    <n v="25959"/>
    <x v="3"/>
    <n v="1"/>
    <n v="1"/>
    <x v="1"/>
    <x v="477"/>
    <n v="1"/>
    <x v="1"/>
    <n v="0"/>
    <n v="4"/>
    <n v="2"/>
    <n v="12"/>
    <n v="7"/>
    <n v="5"/>
    <n v="26"/>
    <n v="56"/>
    <n v="2"/>
    <n v="1"/>
    <n v="2"/>
    <n v="2"/>
    <n v="5"/>
    <n v="6"/>
    <x v="0"/>
  </r>
  <r>
    <n v="5731"/>
    <n v="1983"/>
    <x v="2"/>
    <x v="2"/>
    <x v="2"/>
    <n v="27100"/>
    <x v="3"/>
    <n v="1"/>
    <n v="0"/>
    <x v="2"/>
    <x v="66"/>
    <n v="64"/>
    <x v="0"/>
    <n v="0"/>
    <n v="12"/>
    <n v="0"/>
    <n v="13"/>
    <n v="2"/>
    <n v="0"/>
    <n v="10"/>
    <n v="37"/>
    <n v="1"/>
    <n v="1"/>
    <n v="0"/>
    <n v="3"/>
    <n v="4"/>
    <n v="7"/>
    <x v="0"/>
  </r>
  <r>
    <n v="7290"/>
    <n v="1985"/>
    <x v="2"/>
    <x v="0"/>
    <x v="0"/>
    <n v="70596"/>
    <x v="2"/>
    <n v="0"/>
    <n v="0"/>
    <x v="0"/>
    <x v="172"/>
    <n v="68"/>
    <x v="0"/>
    <n v="0"/>
    <n v="347"/>
    <n v="44"/>
    <n v="534"/>
    <n v="17"/>
    <n v="0"/>
    <n v="26"/>
    <n v="968"/>
    <n v="1"/>
    <n v="3"/>
    <n v="5"/>
    <n v="12"/>
    <n v="20"/>
    <n v="2"/>
    <x v="0"/>
  </r>
  <r>
    <n v="3846"/>
    <n v="1974"/>
    <x v="3"/>
    <x v="0"/>
    <x v="2"/>
    <n v="42557"/>
    <x v="1"/>
    <n v="0"/>
    <n v="1"/>
    <x v="2"/>
    <x v="72"/>
    <n v="98"/>
    <x v="0"/>
    <n v="0"/>
    <n v="192"/>
    <n v="5"/>
    <n v="53"/>
    <n v="0"/>
    <n v="5"/>
    <n v="15"/>
    <n v="270"/>
    <n v="4"/>
    <n v="6"/>
    <n v="1"/>
    <n v="4"/>
    <n v="11"/>
    <n v="8"/>
    <x v="0"/>
  </r>
  <r>
    <n v="8104"/>
    <n v="1951"/>
    <x v="4"/>
    <x v="1"/>
    <x v="2"/>
    <n v="53312"/>
    <x v="0"/>
    <n v="0"/>
    <n v="0"/>
    <x v="0"/>
    <x v="502"/>
    <n v="32"/>
    <x v="1"/>
    <n v="0"/>
    <n v="241"/>
    <n v="0"/>
    <n v="12"/>
    <n v="0"/>
    <n v="0"/>
    <n v="25"/>
    <n v="278"/>
    <n v="1"/>
    <n v="5"/>
    <n v="1"/>
    <n v="5"/>
    <n v="11"/>
    <n v="7"/>
    <x v="0"/>
  </r>
  <r>
    <n v="4507"/>
    <n v="1952"/>
    <x v="4"/>
    <x v="0"/>
    <x v="0"/>
    <n v="72228"/>
    <x v="2"/>
    <n v="0"/>
    <n v="0"/>
    <x v="0"/>
    <x v="526"/>
    <n v="87"/>
    <x v="0"/>
    <n v="0"/>
    <n v="631"/>
    <n v="28"/>
    <n v="491"/>
    <n v="30"/>
    <n v="14"/>
    <n v="56"/>
    <n v="1250"/>
    <n v="1"/>
    <n v="6"/>
    <n v="7"/>
    <n v="8"/>
    <n v="21"/>
    <n v="3"/>
    <x v="0"/>
  </r>
  <r>
    <n v="11013"/>
    <n v="1987"/>
    <x v="2"/>
    <x v="0"/>
    <x v="1"/>
    <n v="67605"/>
    <x v="0"/>
    <n v="0"/>
    <n v="0"/>
    <x v="0"/>
    <x v="170"/>
    <n v="84"/>
    <x v="0"/>
    <n v="0"/>
    <n v="336"/>
    <n v="28"/>
    <n v="282"/>
    <n v="184"/>
    <n v="54"/>
    <n v="54"/>
    <n v="938"/>
    <n v="1"/>
    <n v="2"/>
    <n v="8"/>
    <n v="6"/>
    <n v="16"/>
    <n v="1"/>
    <x v="0"/>
  </r>
  <r>
    <n v="4491"/>
    <n v="1949"/>
    <x v="4"/>
    <x v="2"/>
    <x v="2"/>
    <n v="62845"/>
    <x v="0"/>
    <n v="1"/>
    <n v="1"/>
    <x v="1"/>
    <x v="507"/>
    <n v="3"/>
    <x v="1"/>
    <n v="0"/>
    <n v="1099"/>
    <n v="0"/>
    <n v="45"/>
    <n v="0"/>
    <n v="0"/>
    <n v="34"/>
    <n v="1178"/>
    <n v="11"/>
    <n v="3"/>
    <n v="4"/>
    <n v="10"/>
    <n v="17"/>
    <n v="8"/>
    <x v="1"/>
  </r>
  <r>
    <n v="3759"/>
    <n v="1958"/>
    <x v="0"/>
    <x v="0"/>
    <x v="1"/>
    <n v="65196"/>
    <x v="0"/>
    <n v="0"/>
    <n v="2"/>
    <x v="1"/>
    <x v="423"/>
    <n v="34"/>
    <x v="1"/>
    <n v="0"/>
    <n v="743"/>
    <n v="19"/>
    <n v="181"/>
    <n v="12"/>
    <n v="0"/>
    <n v="200"/>
    <n v="1155"/>
    <n v="2"/>
    <n v="7"/>
    <n v="6"/>
    <n v="11"/>
    <n v="24"/>
    <n v="5"/>
    <x v="1"/>
  </r>
  <r>
    <n v="1162"/>
    <n v="1987"/>
    <x v="2"/>
    <x v="1"/>
    <x v="0"/>
    <n v="42000"/>
    <x v="1"/>
    <n v="0"/>
    <n v="0"/>
    <x v="0"/>
    <x v="257"/>
    <n v="23"/>
    <x v="1"/>
    <n v="0"/>
    <n v="124"/>
    <n v="83"/>
    <n v="267"/>
    <n v="85"/>
    <n v="59"/>
    <n v="35"/>
    <n v="653"/>
    <n v="2"/>
    <n v="5"/>
    <n v="2"/>
    <n v="11"/>
    <n v="18"/>
    <n v="5"/>
    <x v="0"/>
  </r>
  <r>
    <n v="2055"/>
    <n v="1973"/>
    <x v="3"/>
    <x v="1"/>
    <x v="3"/>
    <n v="35860"/>
    <x v="1"/>
    <n v="1"/>
    <n v="1"/>
    <x v="1"/>
    <x v="115"/>
    <n v="37"/>
    <x v="1"/>
    <n v="0"/>
    <n v="15"/>
    <n v="0"/>
    <n v="8"/>
    <n v="4"/>
    <n v="2"/>
    <n v="20"/>
    <n v="49"/>
    <n v="2"/>
    <n v="1"/>
    <n v="1"/>
    <n v="2"/>
    <n v="4"/>
    <n v="5"/>
    <x v="0"/>
  </r>
  <r>
    <n v="10766"/>
    <n v="1964"/>
    <x v="1"/>
    <x v="1"/>
    <x v="2"/>
    <n v="65526"/>
    <x v="0"/>
    <n v="0"/>
    <n v="1"/>
    <x v="2"/>
    <x v="178"/>
    <n v="22"/>
    <x v="1"/>
    <n v="0"/>
    <n v="397"/>
    <n v="19"/>
    <n v="69"/>
    <n v="12"/>
    <n v="0"/>
    <n v="9"/>
    <n v="506"/>
    <n v="1"/>
    <n v="4"/>
    <n v="4"/>
    <n v="8"/>
    <n v="16"/>
    <n v="2"/>
    <x v="0"/>
  </r>
  <r>
    <n v="4415"/>
    <n v="1961"/>
    <x v="0"/>
    <x v="0"/>
    <x v="2"/>
    <n v="16860"/>
    <x v="3"/>
    <n v="1"/>
    <n v="1"/>
    <x v="1"/>
    <x v="144"/>
    <n v="19"/>
    <x v="1"/>
    <n v="0"/>
    <n v="10"/>
    <n v="4"/>
    <n v="4"/>
    <n v="3"/>
    <n v="3"/>
    <n v="14"/>
    <n v="38"/>
    <n v="3"/>
    <n v="1"/>
    <n v="1"/>
    <n v="3"/>
    <n v="5"/>
    <n v="7"/>
    <x v="0"/>
  </r>
  <r>
    <n v="3005"/>
    <n v="1992"/>
    <x v="2"/>
    <x v="0"/>
    <x v="0"/>
    <n v="83528"/>
    <x v="2"/>
    <n v="0"/>
    <n v="0"/>
    <x v="0"/>
    <x v="527"/>
    <n v="7"/>
    <x v="1"/>
    <n v="0"/>
    <n v="530"/>
    <n v="117"/>
    <n v="678"/>
    <n v="134"/>
    <n v="44"/>
    <n v="147"/>
    <n v="1650"/>
    <n v="1"/>
    <n v="4"/>
    <n v="10"/>
    <n v="8"/>
    <n v="22"/>
    <n v="1"/>
    <x v="1"/>
  </r>
  <r>
    <n v="2223"/>
    <n v="1965"/>
    <x v="1"/>
    <x v="2"/>
    <x v="3"/>
    <n v="64176"/>
    <x v="0"/>
    <n v="0"/>
    <n v="1"/>
    <x v="2"/>
    <x v="411"/>
    <n v="52"/>
    <x v="0"/>
    <n v="0"/>
    <n v="1215"/>
    <n v="33"/>
    <n v="249"/>
    <n v="64"/>
    <n v="116"/>
    <n v="149"/>
    <n v="1826"/>
    <n v="8"/>
    <n v="8"/>
    <n v="9"/>
    <n v="8"/>
    <n v="25"/>
    <n v="6"/>
    <x v="0"/>
  </r>
  <r>
    <n v="4817"/>
    <n v="1956"/>
    <x v="0"/>
    <x v="0"/>
    <x v="3"/>
    <n v="22304"/>
    <x v="3"/>
    <n v="0"/>
    <n v="0"/>
    <x v="0"/>
    <x v="332"/>
    <n v="91"/>
    <x v="0"/>
    <n v="0"/>
    <n v="3"/>
    <n v="2"/>
    <n v="7"/>
    <n v="0"/>
    <n v="4"/>
    <n v="2"/>
    <n v="18"/>
    <n v="1"/>
    <n v="1"/>
    <n v="0"/>
    <n v="2"/>
    <n v="3"/>
    <n v="8"/>
    <x v="0"/>
  </r>
  <r>
    <n v="2875"/>
    <n v="1978"/>
    <x v="3"/>
    <x v="0"/>
    <x v="2"/>
    <n v="67023"/>
    <x v="0"/>
    <n v="0"/>
    <n v="0"/>
    <x v="0"/>
    <x v="487"/>
    <n v="93"/>
    <x v="0"/>
    <n v="1"/>
    <n v="444"/>
    <n v="44"/>
    <n v="382"/>
    <n v="11"/>
    <n v="8"/>
    <n v="17"/>
    <n v="906"/>
    <n v="1"/>
    <n v="3"/>
    <n v="7"/>
    <n v="13"/>
    <n v="23"/>
    <n v="2"/>
    <x v="0"/>
  </r>
  <r>
    <n v="11112"/>
    <n v="1966"/>
    <x v="1"/>
    <x v="0"/>
    <x v="1"/>
    <n v="70713"/>
    <x v="2"/>
    <n v="0"/>
    <n v="1"/>
    <x v="2"/>
    <x v="342"/>
    <n v="23"/>
    <x v="1"/>
    <n v="0"/>
    <n v="736"/>
    <n v="114"/>
    <n v="279"/>
    <n v="82"/>
    <n v="76"/>
    <n v="190"/>
    <n v="1477"/>
    <n v="6"/>
    <n v="5"/>
    <n v="6"/>
    <n v="8"/>
    <n v="19"/>
    <n v="3"/>
    <x v="1"/>
  </r>
  <r>
    <n v="3807"/>
    <n v="1955"/>
    <x v="0"/>
    <x v="0"/>
    <x v="1"/>
    <n v="59925"/>
    <x v="0"/>
    <n v="0"/>
    <n v="1"/>
    <x v="2"/>
    <x v="528"/>
    <n v="83"/>
    <x v="0"/>
    <n v="0"/>
    <n v="473"/>
    <n v="21"/>
    <n v="176"/>
    <n v="19"/>
    <n v="21"/>
    <n v="56"/>
    <n v="766"/>
    <n v="3"/>
    <n v="9"/>
    <n v="2"/>
    <n v="9"/>
    <n v="20"/>
    <n v="6"/>
    <x v="0"/>
  </r>
  <r>
    <n v="9197"/>
    <n v="1953"/>
    <x v="0"/>
    <x v="0"/>
    <x v="2"/>
    <n v="39722"/>
    <x v="1"/>
    <n v="0"/>
    <n v="1"/>
    <x v="2"/>
    <x v="106"/>
    <n v="92"/>
    <x v="0"/>
    <n v="0"/>
    <n v="32"/>
    <n v="0"/>
    <n v="5"/>
    <n v="2"/>
    <n v="0"/>
    <n v="8"/>
    <n v="47"/>
    <n v="2"/>
    <n v="2"/>
    <n v="0"/>
    <n v="3"/>
    <n v="5"/>
    <n v="5"/>
    <x v="0"/>
  </r>
  <r>
    <n v="10832"/>
    <n v="1958"/>
    <x v="0"/>
    <x v="0"/>
    <x v="1"/>
    <n v="46610"/>
    <x v="1"/>
    <n v="0"/>
    <n v="0"/>
    <x v="0"/>
    <x v="394"/>
    <n v="4"/>
    <x v="1"/>
    <n v="0"/>
    <n v="288"/>
    <n v="10"/>
    <n v="30"/>
    <n v="4"/>
    <n v="10"/>
    <n v="125"/>
    <n v="467"/>
    <n v="1"/>
    <n v="6"/>
    <n v="1"/>
    <n v="6"/>
    <n v="13"/>
    <n v="6"/>
    <x v="0"/>
  </r>
  <r>
    <n v="6421"/>
    <n v="1961"/>
    <x v="0"/>
    <x v="0"/>
    <x v="1"/>
    <n v="88347"/>
    <x v="2"/>
    <n v="0"/>
    <n v="0"/>
    <x v="0"/>
    <x v="74"/>
    <n v="32"/>
    <x v="1"/>
    <n v="0"/>
    <n v="1050"/>
    <n v="178"/>
    <n v="555"/>
    <n v="77"/>
    <n v="138"/>
    <n v="118"/>
    <n v="2116"/>
    <n v="1"/>
    <n v="4"/>
    <n v="7"/>
    <n v="9"/>
    <n v="20"/>
    <n v="1"/>
    <x v="1"/>
  </r>
  <r>
    <n v="4207"/>
    <n v="1981"/>
    <x v="3"/>
    <x v="1"/>
    <x v="2"/>
    <n v="87171"/>
    <x v="2"/>
    <n v="0"/>
    <n v="0"/>
    <x v="0"/>
    <x v="136"/>
    <n v="27"/>
    <x v="1"/>
    <n v="0"/>
    <n v="1001"/>
    <n v="44"/>
    <n v="107"/>
    <n v="58"/>
    <n v="44"/>
    <n v="44"/>
    <n v="1298"/>
    <n v="1"/>
    <n v="6"/>
    <n v="7"/>
    <n v="11"/>
    <n v="24"/>
    <n v="2"/>
    <x v="1"/>
  </r>
  <r>
    <n v="577"/>
    <n v="1976"/>
    <x v="3"/>
    <x v="2"/>
    <x v="1"/>
    <n v="26907"/>
    <x v="3"/>
    <n v="1"/>
    <n v="1"/>
    <x v="1"/>
    <x v="132"/>
    <n v="10"/>
    <x v="1"/>
    <n v="0"/>
    <n v="9"/>
    <n v="1"/>
    <n v="7"/>
    <n v="0"/>
    <n v="3"/>
    <n v="2"/>
    <n v="22"/>
    <n v="2"/>
    <n v="1"/>
    <n v="0"/>
    <n v="3"/>
    <n v="4"/>
    <n v="7"/>
    <x v="0"/>
  </r>
  <r>
    <n v="10855"/>
    <n v="1968"/>
    <x v="1"/>
    <x v="2"/>
    <x v="0"/>
    <n v="50014"/>
    <x v="1"/>
    <n v="1"/>
    <n v="0"/>
    <x v="2"/>
    <x v="149"/>
    <n v="9"/>
    <x v="1"/>
    <n v="0"/>
    <n v="234"/>
    <n v="14"/>
    <n v="77"/>
    <n v="19"/>
    <n v="10"/>
    <n v="42"/>
    <n v="396"/>
    <n v="2"/>
    <n v="4"/>
    <n v="1"/>
    <n v="8"/>
    <n v="13"/>
    <n v="5"/>
    <x v="0"/>
  </r>
  <r>
    <n v="3081"/>
    <n v="1978"/>
    <x v="3"/>
    <x v="1"/>
    <x v="2"/>
    <n v="41014"/>
    <x v="1"/>
    <n v="1"/>
    <n v="0"/>
    <x v="2"/>
    <x v="107"/>
    <n v="65"/>
    <x v="0"/>
    <n v="0"/>
    <n v="7"/>
    <n v="2"/>
    <n v="6"/>
    <n v="2"/>
    <n v="0"/>
    <n v="3"/>
    <n v="20"/>
    <n v="1"/>
    <n v="1"/>
    <n v="0"/>
    <n v="2"/>
    <n v="3"/>
    <n v="7"/>
    <x v="0"/>
  </r>
  <r>
    <n v="3535"/>
    <n v="1965"/>
    <x v="1"/>
    <x v="0"/>
    <x v="0"/>
    <n v="66294"/>
    <x v="0"/>
    <n v="0"/>
    <n v="0"/>
    <x v="0"/>
    <x v="233"/>
    <n v="68"/>
    <x v="0"/>
    <n v="0"/>
    <n v="251"/>
    <n v="108"/>
    <n v="334"/>
    <n v="65"/>
    <n v="92"/>
    <n v="117"/>
    <n v="967"/>
    <n v="1"/>
    <n v="4"/>
    <n v="3"/>
    <n v="5"/>
    <n v="12"/>
    <n v="2"/>
    <x v="0"/>
  </r>
  <r>
    <n v="247"/>
    <n v="1971"/>
    <x v="1"/>
    <x v="0"/>
    <x v="2"/>
    <n v="36715"/>
    <x v="1"/>
    <n v="1"/>
    <n v="0"/>
    <x v="2"/>
    <x v="278"/>
    <n v="16"/>
    <x v="1"/>
    <n v="0"/>
    <n v="172"/>
    <n v="10"/>
    <n v="125"/>
    <n v="21"/>
    <n v="13"/>
    <n v="16"/>
    <n v="357"/>
    <n v="6"/>
    <n v="7"/>
    <n v="2"/>
    <n v="4"/>
    <n v="13"/>
    <n v="9"/>
    <x v="0"/>
  </r>
  <r>
    <n v="8707"/>
    <n v="1956"/>
    <x v="0"/>
    <x v="0"/>
    <x v="2"/>
    <n v="79456"/>
    <x v="2"/>
    <n v="0"/>
    <n v="0"/>
    <x v="0"/>
    <x v="123"/>
    <n v="12"/>
    <x v="1"/>
    <n v="0"/>
    <n v="565"/>
    <n v="42"/>
    <n v="548"/>
    <n v="64"/>
    <n v="83"/>
    <n v="99"/>
    <n v="1401"/>
    <n v="1"/>
    <n v="5"/>
    <n v="6"/>
    <n v="4"/>
    <n v="15"/>
    <n v="3"/>
    <x v="1"/>
  </r>
  <r>
    <n v="9523"/>
    <n v="1982"/>
    <x v="3"/>
    <x v="0"/>
    <x v="1"/>
    <n v="40479"/>
    <x v="1"/>
    <n v="1"/>
    <n v="0"/>
    <x v="2"/>
    <x v="529"/>
    <n v="95"/>
    <x v="0"/>
    <n v="0"/>
    <n v="5"/>
    <n v="0"/>
    <n v="8"/>
    <n v="2"/>
    <n v="0"/>
    <n v="0"/>
    <n v="15"/>
    <n v="1"/>
    <n v="0"/>
    <n v="0"/>
    <n v="3"/>
    <n v="3"/>
    <n v="4"/>
    <x v="0"/>
  </r>
  <r>
    <n v="6072"/>
    <n v="1970"/>
    <x v="1"/>
    <x v="2"/>
    <x v="0"/>
    <n v="75345"/>
    <x v="2"/>
    <n v="0"/>
    <n v="0"/>
    <x v="0"/>
    <x v="95"/>
    <n v="16"/>
    <x v="1"/>
    <n v="0"/>
    <n v="918"/>
    <n v="57"/>
    <n v="842"/>
    <n v="99"/>
    <n v="38"/>
    <n v="133"/>
    <n v="2087"/>
    <n v="1"/>
    <n v="5"/>
    <n v="8"/>
    <n v="6"/>
    <n v="19"/>
    <n v="3"/>
    <x v="1"/>
  </r>
  <r>
    <n v="6295"/>
    <n v="1977"/>
    <x v="3"/>
    <x v="0"/>
    <x v="2"/>
    <n v="54233"/>
    <x v="0"/>
    <n v="0"/>
    <n v="1"/>
    <x v="2"/>
    <x v="475"/>
    <n v="46"/>
    <x v="1"/>
    <n v="0"/>
    <n v="652"/>
    <n v="8"/>
    <n v="158"/>
    <n v="21"/>
    <n v="0"/>
    <n v="142"/>
    <n v="981"/>
    <n v="4"/>
    <n v="11"/>
    <n v="6"/>
    <n v="5"/>
    <n v="22"/>
    <n v="8"/>
    <x v="1"/>
  </r>
  <r>
    <n v="10914"/>
    <n v="1970"/>
    <x v="1"/>
    <x v="0"/>
    <x v="0"/>
    <n v="24163"/>
    <x v="3"/>
    <n v="1"/>
    <n v="1"/>
    <x v="1"/>
    <x v="234"/>
    <n v="3"/>
    <x v="1"/>
    <n v="0"/>
    <n v="4"/>
    <n v="1"/>
    <n v="7"/>
    <n v="2"/>
    <n v="1"/>
    <n v="2"/>
    <n v="17"/>
    <n v="2"/>
    <n v="1"/>
    <n v="0"/>
    <n v="3"/>
    <n v="4"/>
    <n v="4"/>
    <x v="0"/>
  </r>
  <r>
    <n v="1509"/>
    <n v="1958"/>
    <x v="0"/>
    <x v="1"/>
    <x v="1"/>
    <n v="84460"/>
    <x v="2"/>
    <n v="0"/>
    <n v="0"/>
    <x v="0"/>
    <x v="530"/>
    <n v="80"/>
    <x v="0"/>
    <n v="0"/>
    <n v="152"/>
    <n v="27"/>
    <n v="103"/>
    <n v="106"/>
    <n v="54"/>
    <n v="81"/>
    <n v="523"/>
    <n v="0"/>
    <n v="9"/>
    <n v="9"/>
    <n v="4"/>
    <n v="22"/>
    <n v="5"/>
    <x v="0"/>
  </r>
  <r>
    <n v="5577"/>
    <n v="1983"/>
    <x v="2"/>
    <x v="0"/>
    <x v="1"/>
    <n v="43776"/>
    <x v="1"/>
    <n v="1"/>
    <n v="0"/>
    <x v="2"/>
    <x v="531"/>
    <n v="77"/>
    <x v="0"/>
    <n v="0"/>
    <n v="8"/>
    <n v="0"/>
    <n v="9"/>
    <n v="2"/>
    <n v="1"/>
    <n v="3"/>
    <n v="23"/>
    <n v="1"/>
    <n v="1"/>
    <n v="0"/>
    <n v="2"/>
    <n v="3"/>
    <n v="6"/>
    <x v="0"/>
  </r>
  <r>
    <n v="7348"/>
    <n v="1958"/>
    <x v="0"/>
    <x v="1"/>
    <x v="0"/>
    <n v="71691"/>
    <x v="2"/>
    <n v="0"/>
    <n v="0"/>
    <x v="0"/>
    <x v="233"/>
    <n v="0"/>
    <x v="1"/>
    <n v="0"/>
    <n v="336"/>
    <n v="130"/>
    <n v="411"/>
    <n v="240"/>
    <n v="32"/>
    <n v="43"/>
    <n v="1192"/>
    <n v="1"/>
    <n v="4"/>
    <n v="7"/>
    <n v="5"/>
    <n v="16"/>
    <n v="2"/>
    <x v="1"/>
  </r>
  <r>
    <n v="1127"/>
    <n v="1973"/>
    <x v="3"/>
    <x v="1"/>
    <x v="2"/>
    <n v="85844"/>
    <x v="2"/>
    <n v="0"/>
    <n v="0"/>
    <x v="0"/>
    <x v="465"/>
    <n v="62"/>
    <x v="0"/>
    <n v="0"/>
    <n v="938"/>
    <n v="19"/>
    <n v="843"/>
    <n v="25"/>
    <n v="95"/>
    <n v="38"/>
    <n v="1958"/>
    <n v="1"/>
    <n v="6"/>
    <n v="6"/>
    <n v="7"/>
    <n v="19"/>
    <n v="2"/>
    <x v="0"/>
  </r>
  <r>
    <n v="1833"/>
    <n v="1974"/>
    <x v="3"/>
    <x v="1"/>
    <x v="0"/>
    <n v="39190"/>
    <x v="1"/>
    <n v="1"/>
    <n v="0"/>
    <x v="2"/>
    <x v="532"/>
    <n v="91"/>
    <x v="0"/>
    <n v="0"/>
    <n v="68"/>
    <n v="8"/>
    <n v="18"/>
    <n v="19"/>
    <n v="8"/>
    <n v="12"/>
    <n v="133"/>
    <n v="2"/>
    <n v="2"/>
    <n v="1"/>
    <n v="4"/>
    <n v="7"/>
    <n v="5"/>
    <x v="0"/>
  </r>
  <r>
    <n v="9080"/>
    <n v="1972"/>
    <x v="1"/>
    <x v="1"/>
    <x v="0"/>
    <n v="38578"/>
    <x v="1"/>
    <n v="1"/>
    <n v="1"/>
    <x v="1"/>
    <x v="282"/>
    <n v="2"/>
    <x v="1"/>
    <n v="0"/>
    <n v="38"/>
    <n v="4"/>
    <n v="22"/>
    <n v="3"/>
    <n v="3"/>
    <n v="3"/>
    <n v="73"/>
    <n v="3"/>
    <n v="3"/>
    <n v="0"/>
    <n v="3"/>
    <n v="6"/>
    <n v="8"/>
    <x v="0"/>
  </r>
  <r>
    <n v="6466"/>
    <n v="1965"/>
    <x v="1"/>
    <x v="1"/>
    <x v="2"/>
    <n v="57236"/>
    <x v="0"/>
    <n v="1"/>
    <n v="1"/>
    <x v="1"/>
    <x v="432"/>
    <n v="22"/>
    <x v="1"/>
    <n v="0"/>
    <n v="105"/>
    <n v="0"/>
    <n v="9"/>
    <n v="2"/>
    <n v="1"/>
    <n v="4"/>
    <n v="121"/>
    <n v="3"/>
    <n v="2"/>
    <n v="1"/>
    <n v="4"/>
    <n v="7"/>
    <n v="3"/>
    <x v="0"/>
  </r>
  <r>
    <n v="9964"/>
    <n v="1979"/>
    <x v="3"/>
    <x v="0"/>
    <x v="0"/>
    <n v="61825"/>
    <x v="0"/>
    <n v="0"/>
    <n v="1"/>
    <x v="2"/>
    <x v="367"/>
    <n v="56"/>
    <x v="0"/>
    <n v="0"/>
    <n v="162"/>
    <n v="50"/>
    <n v="100"/>
    <n v="55"/>
    <n v="30"/>
    <n v="27"/>
    <n v="424"/>
    <n v="1"/>
    <n v="4"/>
    <n v="2"/>
    <n v="8"/>
    <n v="14"/>
    <n v="4"/>
    <x v="0"/>
  </r>
  <r>
    <n v="4790"/>
    <n v="1958"/>
    <x v="0"/>
    <x v="0"/>
    <x v="3"/>
    <n v="79803"/>
    <x v="2"/>
    <n v="0"/>
    <n v="1"/>
    <x v="2"/>
    <x v="533"/>
    <n v="54"/>
    <x v="0"/>
    <n v="0"/>
    <n v="574"/>
    <n v="8"/>
    <n v="216"/>
    <n v="21"/>
    <n v="16"/>
    <n v="33"/>
    <n v="868"/>
    <n v="1"/>
    <n v="4"/>
    <n v="3"/>
    <n v="5"/>
    <n v="12"/>
    <n v="1"/>
    <x v="0"/>
  </r>
  <r>
    <n v="10245"/>
    <n v="1986"/>
    <x v="2"/>
    <x v="2"/>
    <x v="0"/>
    <n v="80910"/>
    <x v="2"/>
    <n v="0"/>
    <n v="0"/>
    <x v="0"/>
    <x v="227"/>
    <n v="71"/>
    <x v="0"/>
    <n v="0"/>
    <n v="160"/>
    <n v="80"/>
    <n v="369"/>
    <n v="67"/>
    <n v="39"/>
    <n v="41"/>
    <n v="756"/>
    <n v="1"/>
    <n v="3"/>
    <n v="3"/>
    <n v="8"/>
    <n v="14"/>
    <n v="1"/>
    <x v="0"/>
  </r>
  <r>
    <n v="1109"/>
    <n v="1982"/>
    <x v="3"/>
    <x v="2"/>
    <x v="1"/>
    <n v="27590"/>
    <x v="3"/>
    <n v="1"/>
    <n v="0"/>
    <x v="2"/>
    <x v="327"/>
    <n v="38"/>
    <x v="1"/>
    <n v="0"/>
    <n v="6"/>
    <n v="0"/>
    <n v="5"/>
    <n v="0"/>
    <n v="0"/>
    <n v="1"/>
    <n v="12"/>
    <n v="1"/>
    <n v="1"/>
    <n v="0"/>
    <n v="2"/>
    <n v="3"/>
    <n v="7"/>
    <x v="0"/>
  </r>
  <r>
    <n v="6001"/>
    <n v="1979"/>
    <x v="3"/>
    <x v="0"/>
    <x v="2"/>
    <n v="56775"/>
    <x v="0"/>
    <n v="0"/>
    <n v="1"/>
    <x v="2"/>
    <x v="22"/>
    <n v="62"/>
    <x v="0"/>
    <n v="0"/>
    <n v="614"/>
    <n v="35"/>
    <n v="160"/>
    <n v="58"/>
    <n v="35"/>
    <n v="35"/>
    <n v="937"/>
    <n v="2"/>
    <n v="5"/>
    <n v="8"/>
    <n v="10"/>
    <n v="23"/>
    <n v="5"/>
    <x v="0"/>
  </r>
  <r>
    <n v="5538"/>
    <n v="1975"/>
    <x v="3"/>
    <x v="0"/>
    <x v="3"/>
    <n v="83829"/>
    <x v="2"/>
    <n v="0"/>
    <n v="0"/>
    <x v="0"/>
    <x v="272"/>
    <n v="78"/>
    <x v="0"/>
    <n v="0"/>
    <n v="897"/>
    <n v="161"/>
    <n v="430"/>
    <n v="186"/>
    <n v="161"/>
    <n v="27"/>
    <n v="1862"/>
    <n v="0"/>
    <n v="4"/>
    <n v="7"/>
    <n v="6"/>
    <n v="17"/>
    <n v="1"/>
    <x v="0"/>
  </r>
  <r>
    <n v="10552"/>
    <n v="1979"/>
    <x v="3"/>
    <x v="2"/>
    <x v="2"/>
    <n v="54210"/>
    <x v="0"/>
    <n v="0"/>
    <n v="1"/>
    <x v="2"/>
    <x v="199"/>
    <n v="18"/>
    <x v="1"/>
    <n v="0"/>
    <n v="70"/>
    <n v="54"/>
    <n v="109"/>
    <n v="80"/>
    <n v="9"/>
    <n v="45"/>
    <n v="367"/>
    <n v="2"/>
    <n v="4"/>
    <n v="1"/>
    <n v="7"/>
    <n v="12"/>
    <n v="5"/>
    <x v="0"/>
  </r>
  <r>
    <n v="1545"/>
    <n v="1986"/>
    <x v="2"/>
    <x v="0"/>
    <x v="2"/>
    <n v="38508"/>
    <x v="1"/>
    <n v="1"/>
    <n v="0"/>
    <x v="2"/>
    <x v="152"/>
    <n v="95"/>
    <x v="0"/>
    <n v="0"/>
    <n v="120"/>
    <n v="19"/>
    <n v="206"/>
    <n v="25"/>
    <n v="19"/>
    <n v="54"/>
    <n v="443"/>
    <n v="6"/>
    <n v="7"/>
    <n v="2"/>
    <n v="5"/>
    <n v="14"/>
    <n v="8"/>
    <x v="0"/>
  </r>
  <r>
    <n v="7409"/>
    <n v="1970"/>
    <x v="1"/>
    <x v="0"/>
    <x v="1"/>
    <n v="53187"/>
    <x v="0"/>
    <n v="1"/>
    <n v="0"/>
    <x v="2"/>
    <x v="534"/>
    <n v="66"/>
    <x v="0"/>
    <n v="0"/>
    <n v="211"/>
    <n v="2"/>
    <n v="30"/>
    <n v="7"/>
    <n v="7"/>
    <n v="10"/>
    <n v="267"/>
    <n v="2"/>
    <n v="4"/>
    <n v="1"/>
    <n v="6"/>
    <n v="11"/>
    <n v="5"/>
    <x v="0"/>
  </r>
  <r>
    <n v="4444"/>
    <n v="1972"/>
    <x v="1"/>
    <x v="0"/>
    <x v="2"/>
    <n v="30023"/>
    <x v="3"/>
    <n v="1"/>
    <n v="0"/>
    <x v="2"/>
    <x v="535"/>
    <n v="28"/>
    <x v="1"/>
    <n v="0"/>
    <n v="11"/>
    <n v="0"/>
    <n v="16"/>
    <n v="7"/>
    <n v="6"/>
    <n v="21"/>
    <n v="61"/>
    <n v="1"/>
    <n v="2"/>
    <n v="0"/>
    <n v="3"/>
    <n v="5"/>
    <n v="8"/>
    <x v="0"/>
  </r>
  <r>
    <n v="146"/>
    <n v="1960"/>
    <x v="0"/>
    <x v="1"/>
    <x v="0"/>
    <n v="76045"/>
    <x v="2"/>
    <n v="0"/>
    <n v="0"/>
    <x v="0"/>
    <x v="10"/>
    <n v="78"/>
    <x v="0"/>
    <n v="0"/>
    <n v="760"/>
    <n v="53"/>
    <n v="400"/>
    <n v="17"/>
    <n v="93"/>
    <n v="0"/>
    <n v="1323"/>
    <n v="1"/>
    <n v="4"/>
    <n v="5"/>
    <n v="11"/>
    <n v="20"/>
    <n v="2"/>
    <x v="0"/>
  </r>
  <r>
    <n v="6271"/>
    <n v="1952"/>
    <x v="4"/>
    <x v="1"/>
    <x v="2"/>
    <n v="50870"/>
    <x v="1"/>
    <n v="0"/>
    <n v="1"/>
    <x v="2"/>
    <x v="490"/>
    <n v="13"/>
    <x v="1"/>
    <n v="0"/>
    <n v="53"/>
    <n v="0"/>
    <n v="8"/>
    <n v="0"/>
    <n v="0"/>
    <n v="2"/>
    <n v="63"/>
    <n v="1"/>
    <n v="2"/>
    <n v="0"/>
    <n v="3"/>
    <n v="5"/>
    <n v="5"/>
    <x v="0"/>
  </r>
  <r>
    <n v="4741"/>
    <n v="1974"/>
    <x v="3"/>
    <x v="2"/>
    <x v="2"/>
    <n v="65463"/>
    <x v="0"/>
    <n v="1"/>
    <n v="0"/>
    <x v="2"/>
    <x v="142"/>
    <n v="17"/>
    <x v="1"/>
    <n v="0"/>
    <n v="391"/>
    <n v="32"/>
    <n v="70"/>
    <n v="21"/>
    <n v="32"/>
    <n v="16"/>
    <n v="562"/>
    <n v="2"/>
    <n v="6"/>
    <n v="2"/>
    <n v="9"/>
    <n v="17"/>
    <n v="5"/>
    <x v="0"/>
  </r>
  <r>
    <n v="246"/>
    <n v="1965"/>
    <x v="1"/>
    <x v="0"/>
    <x v="2"/>
    <n v="66480"/>
    <x v="0"/>
    <n v="1"/>
    <n v="1"/>
    <x v="1"/>
    <x v="474"/>
    <n v="71"/>
    <x v="0"/>
    <n v="0"/>
    <n v="199"/>
    <n v="9"/>
    <n v="57"/>
    <n v="20"/>
    <n v="21"/>
    <n v="6"/>
    <n v="312"/>
    <n v="7"/>
    <n v="4"/>
    <n v="1"/>
    <n v="7"/>
    <n v="12"/>
    <n v="4"/>
    <x v="0"/>
  </r>
  <r>
    <n v="375"/>
    <n v="1954"/>
    <x v="0"/>
    <x v="0"/>
    <x v="3"/>
    <n v="76773"/>
    <x v="2"/>
    <n v="0"/>
    <n v="0"/>
    <x v="0"/>
    <x v="536"/>
    <n v="79"/>
    <x v="0"/>
    <n v="0"/>
    <n v="516"/>
    <n v="56"/>
    <n v="449"/>
    <n v="86"/>
    <n v="33"/>
    <n v="16"/>
    <n v="1156"/>
    <n v="1"/>
    <n v="2"/>
    <n v="2"/>
    <n v="11"/>
    <n v="15"/>
    <n v="1"/>
    <x v="0"/>
  </r>
  <r>
    <n v="1524"/>
    <n v="1983"/>
    <x v="2"/>
    <x v="2"/>
    <x v="0"/>
    <n v="81698"/>
    <x v="2"/>
    <n v="0"/>
    <n v="0"/>
    <x v="0"/>
    <x v="374"/>
    <n v="1"/>
    <x v="1"/>
    <n v="0"/>
    <n v="709"/>
    <n v="45"/>
    <n v="115"/>
    <n v="30"/>
    <n v="160"/>
    <n v="45"/>
    <n v="1104"/>
    <n v="1"/>
    <n v="8"/>
    <n v="2"/>
    <n v="5"/>
    <n v="15"/>
    <n v="5"/>
    <x v="1"/>
  </r>
  <r>
    <n v="10022"/>
    <n v="1973"/>
    <x v="3"/>
    <x v="1"/>
    <x v="0"/>
    <n v="54466"/>
    <x v="0"/>
    <n v="1"/>
    <n v="1"/>
    <x v="1"/>
    <x v="246"/>
    <n v="78"/>
    <x v="0"/>
    <n v="0"/>
    <n v="12"/>
    <n v="0"/>
    <n v="4"/>
    <n v="0"/>
    <n v="0"/>
    <n v="0"/>
    <n v="16"/>
    <n v="1"/>
    <n v="1"/>
    <n v="0"/>
    <n v="2"/>
    <n v="3"/>
    <n v="5"/>
    <x v="0"/>
  </r>
  <r>
    <n v="11010"/>
    <n v="1984"/>
    <x v="2"/>
    <x v="1"/>
    <x v="0"/>
    <n v="16269"/>
    <x v="3"/>
    <n v="1"/>
    <n v="0"/>
    <x v="2"/>
    <x v="462"/>
    <n v="75"/>
    <x v="0"/>
    <n v="0"/>
    <n v="19"/>
    <n v="3"/>
    <n v="18"/>
    <n v="3"/>
    <n v="1"/>
    <n v="0"/>
    <n v="44"/>
    <n v="3"/>
    <n v="3"/>
    <n v="0"/>
    <n v="3"/>
    <n v="6"/>
    <n v="8"/>
    <x v="0"/>
  </r>
  <r>
    <n v="4356"/>
    <n v="1971"/>
    <x v="1"/>
    <x v="0"/>
    <x v="1"/>
    <n v="71819"/>
    <x v="2"/>
    <n v="0"/>
    <n v="1"/>
    <x v="2"/>
    <x v="119"/>
    <n v="70"/>
    <x v="0"/>
    <n v="0"/>
    <n v="1224"/>
    <n v="28"/>
    <n v="140"/>
    <n v="0"/>
    <n v="14"/>
    <n v="168"/>
    <n v="1574"/>
    <n v="3"/>
    <n v="3"/>
    <n v="3"/>
    <n v="5"/>
    <n v="11"/>
    <n v="6"/>
    <x v="0"/>
  </r>
  <r>
    <n v="3885"/>
    <n v="1983"/>
    <x v="2"/>
    <x v="1"/>
    <x v="2"/>
    <n v="33569"/>
    <x v="3"/>
    <n v="1"/>
    <n v="0"/>
    <x v="2"/>
    <x v="286"/>
    <n v="10"/>
    <x v="1"/>
    <n v="0"/>
    <n v="16"/>
    <n v="2"/>
    <n v="18"/>
    <n v="3"/>
    <n v="0"/>
    <n v="24"/>
    <n v="63"/>
    <n v="1"/>
    <n v="1"/>
    <n v="1"/>
    <n v="2"/>
    <n v="4"/>
    <n v="8"/>
    <x v="0"/>
  </r>
  <r>
    <n v="1175"/>
    <n v="1983"/>
    <x v="2"/>
    <x v="2"/>
    <x v="2"/>
    <n v="36262"/>
    <x v="1"/>
    <n v="0"/>
    <n v="0"/>
    <x v="0"/>
    <x v="537"/>
    <n v="24"/>
    <x v="1"/>
    <n v="0"/>
    <n v="88"/>
    <n v="39"/>
    <n v="54"/>
    <n v="64"/>
    <n v="28"/>
    <n v="153"/>
    <n v="426"/>
    <n v="1"/>
    <n v="3"/>
    <n v="5"/>
    <n v="3"/>
    <n v="11"/>
    <n v="6"/>
    <x v="0"/>
  </r>
  <r>
    <n v="880"/>
    <n v="1966"/>
    <x v="1"/>
    <x v="3"/>
    <x v="1"/>
    <n v="22634"/>
    <x v="3"/>
    <n v="0"/>
    <n v="0"/>
    <x v="0"/>
    <x v="538"/>
    <n v="47"/>
    <x v="1"/>
    <n v="0"/>
    <n v="2"/>
    <n v="23"/>
    <n v="11"/>
    <n v="8"/>
    <n v="6"/>
    <n v="46"/>
    <n v="96"/>
    <n v="1"/>
    <n v="2"/>
    <n v="1"/>
    <n v="2"/>
    <n v="5"/>
    <n v="8"/>
    <x v="0"/>
  </r>
  <r>
    <n v="2320"/>
    <n v="1978"/>
    <x v="3"/>
    <x v="2"/>
    <x v="2"/>
    <n v="47025"/>
    <x v="1"/>
    <n v="0"/>
    <n v="1"/>
    <x v="2"/>
    <x v="130"/>
    <n v="98"/>
    <x v="0"/>
    <n v="0"/>
    <n v="508"/>
    <n v="11"/>
    <n v="59"/>
    <n v="23"/>
    <n v="5"/>
    <n v="29"/>
    <n v="635"/>
    <n v="5"/>
    <n v="11"/>
    <n v="1"/>
    <n v="6"/>
    <n v="18"/>
    <n v="9"/>
    <x v="0"/>
  </r>
  <r>
    <n v="850"/>
    <n v="1968"/>
    <x v="1"/>
    <x v="0"/>
    <x v="0"/>
    <n v="70566"/>
    <x v="2"/>
    <n v="0"/>
    <n v="1"/>
    <x v="2"/>
    <x v="290"/>
    <n v="4"/>
    <x v="1"/>
    <n v="0"/>
    <n v="381"/>
    <n v="28"/>
    <n v="215"/>
    <n v="84"/>
    <n v="28"/>
    <n v="21"/>
    <n v="757"/>
    <n v="2"/>
    <n v="6"/>
    <n v="5"/>
    <n v="9"/>
    <n v="20"/>
    <n v="3"/>
    <x v="1"/>
  </r>
  <r>
    <n v="4713"/>
    <n v="1979"/>
    <x v="3"/>
    <x v="1"/>
    <x v="2"/>
    <n v="31605"/>
    <x v="3"/>
    <n v="1"/>
    <n v="0"/>
    <x v="2"/>
    <x v="84"/>
    <n v="15"/>
    <x v="1"/>
    <n v="0"/>
    <n v="74"/>
    <n v="0"/>
    <n v="42"/>
    <n v="2"/>
    <n v="1"/>
    <n v="6"/>
    <n v="125"/>
    <n v="2"/>
    <n v="2"/>
    <n v="1"/>
    <n v="4"/>
    <n v="7"/>
    <n v="7"/>
    <x v="0"/>
  </r>
  <r>
    <n v="675"/>
    <n v="1973"/>
    <x v="3"/>
    <x v="2"/>
    <x v="3"/>
    <n v="52034"/>
    <x v="0"/>
    <n v="1"/>
    <n v="1"/>
    <x v="1"/>
    <x v="91"/>
    <n v="67"/>
    <x v="0"/>
    <n v="0"/>
    <n v="146"/>
    <n v="0"/>
    <n v="93"/>
    <n v="7"/>
    <n v="13"/>
    <n v="73"/>
    <n v="332"/>
    <n v="5"/>
    <n v="4"/>
    <n v="2"/>
    <n v="5"/>
    <n v="11"/>
    <n v="7"/>
    <x v="0"/>
  </r>
  <r>
    <n v="5025"/>
    <n v="1979"/>
    <x v="3"/>
    <x v="0"/>
    <x v="0"/>
    <n v="48526"/>
    <x v="1"/>
    <n v="1"/>
    <n v="0"/>
    <x v="2"/>
    <x v="539"/>
    <n v="32"/>
    <x v="1"/>
    <n v="0"/>
    <n v="23"/>
    <n v="17"/>
    <n v="23"/>
    <n v="43"/>
    <n v="20"/>
    <n v="9"/>
    <n v="135"/>
    <n v="1"/>
    <n v="2"/>
    <n v="1"/>
    <n v="4"/>
    <n v="7"/>
    <n v="3"/>
    <x v="0"/>
  </r>
  <r>
    <n v="2308"/>
    <n v="1954"/>
    <x v="0"/>
    <x v="0"/>
    <x v="2"/>
    <n v="46734"/>
    <x v="1"/>
    <n v="0"/>
    <n v="1"/>
    <x v="2"/>
    <x v="540"/>
    <n v="40"/>
    <x v="1"/>
    <n v="0"/>
    <n v="110"/>
    <n v="5"/>
    <n v="137"/>
    <n v="26"/>
    <n v="23"/>
    <n v="29"/>
    <n v="330"/>
    <n v="2"/>
    <n v="6"/>
    <n v="1"/>
    <n v="5"/>
    <n v="12"/>
    <n v="7"/>
    <x v="0"/>
  </r>
  <r>
    <n v="5995"/>
    <n v="1962"/>
    <x v="0"/>
    <x v="0"/>
    <x v="3"/>
    <n v="39552"/>
    <x v="1"/>
    <n v="1"/>
    <n v="1"/>
    <x v="1"/>
    <x v="404"/>
    <n v="54"/>
    <x v="0"/>
    <n v="0"/>
    <n v="165"/>
    <n v="3"/>
    <n v="147"/>
    <n v="4"/>
    <n v="24"/>
    <n v="41"/>
    <n v="384"/>
    <n v="7"/>
    <n v="6"/>
    <n v="2"/>
    <n v="5"/>
    <n v="13"/>
    <n v="8"/>
    <x v="0"/>
  </r>
  <r>
    <n v="6749"/>
    <n v="1966"/>
    <x v="1"/>
    <x v="0"/>
    <x v="0"/>
    <n v="86358"/>
    <x v="2"/>
    <n v="1"/>
    <n v="1"/>
    <x v="1"/>
    <x v="17"/>
    <n v="78"/>
    <x v="0"/>
    <n v="0"/>
    <n v="957"/>
    <n v="47"/>
    <n v="494"/>
    <n v="82"/>
    <n v="47"/>
    <n v="95"/>
    <n v="1722"/>
    <n v="4"/>
    <n v="5"/>
    <n v="3"/>
    <n v="6"/>
    <n v="14"/>
    <n v="8"/>
    <x v="0"/>
  </r>
  <r>
    <n v="1010"/>
    <n v="1977"/>
    <x v="3"/>
    <x v="0"/>
    <x v="1"/>
    <n v="46931"/>
    <x v="1"/>
    <n v="2"/>
    <n v="1"/>
    <x v="3"/>
    <x v="125"/>
    <n v="94"/>
    <x v="0"/>
    <n v="0"/>
    <n v="41"/>
    <n v="0"/>
    <n v="17"/>
    <n v="3"/>
    <n v="1"/>
    <n v="16"/>
    <n v="78"/>
    <n v="2"/>
    <n v="1"/>
    <n v="1"/>
    <n v="3"/>
    <n v="5"/>
    <n v="3"/>
    <x v="0"/>
  </r>
  <r>
    <n v="8977"/>
    <n v="1985"/>
    <x v="2"/>
    <x v="3"/>
    <x v="0"/>
    <n v="16581"/>
    <x v="3"/>
    <n v="0"/>
    <n v="0"/>
    <x v="0"/>
    <x v="232"/>
    <n v="51"/>
    <x v="0"/>
    <n v="0"/>
    <n v="1"/>
    <n v="3"/>
    <n v="4"/>
    <n v="2"/>
    <n v="3"/>
    <n v="11"/>
    <n v="24"/>
    <n v="1"/>
    <n v="0"/>
    <n v="0"/>
    <n v="3"/>
    <n v="3"/>
    <n v="4"/>
    <x v="0"/>
  </r>
  <r>
    <n v="4756"/>
    <n v="1952"/>
    <x v="4"/>
    <x v="2"/>
    <x v="3"/>
    <n v="63998"/>
    <x v="0"/>
    <n v="0"/>
    <n v="0"/>
    <x v="0"/>
    <x v="314"/>
    <n v="42"/>
    <x v="1"/>
    <n v="0"/>
    <n v="176"/>
    <n v="29"/>
    <n v="818"/>
    <n v="0"/>
    <n v="33"/>
    <n v="112"/>
    <n v="1168"/>
    <n v="1"/>
    <n v="7"/>
    <n v="6"/>
    <n v="11"/>
    <n v="24"/>
    <n v="4"/>
    <x v="1"/>
  </r>
  <r>
    <n v="3412"/>
    <n v="1951"/>
    <x v="4"/>
    <x v="2"/>
    <x v="2"/>
    <n v="67381"/>
    <x v="0"/>
    <n v="0"/>
    <n v="1"/>
    <x v="2"/>
    <x v="466"/>
    <n v="67"/>
    <x v="0"/>
    <n v="0"/>
    <n v="815"/>
    <n v="8"/>
    <n v="53"/>
    <n v="11"/>
    <n v="0"/>
    <n v="70"/>
    <n v="957"/>
    <n v="4"/>
    <n v="2"/>
    <n v="2"/>
    <n v="9"/>
    <n v="13"/>
    <n v="7"/>
    <x v="0"/>
  </r>
  <r>
    <n v="606"/>
    <n v="1967"/>
    <x v="1"/>
    <x v="0"/>
    <x v="0"/>
    <n v="25930"/>
    <x v="3"/>
    <n v="1"/>
    <n v="1"/>
    <x v="1"/>
    <x v="331"/>
    <n v="87"/>
    <x v="0"/>
    <n v="0"/>
    <n v="6"/>
    <n v="1"/>
    <n v="2"/>
    <n v="2"/>
    <n v="0"/>
    <n v="4"/>
    <n v="15"/>
    <n v="1"/>
    <n v="1"/>
    <n v="0"/>
    <n v="2"/>
    <n v="3"/>
    <n v="7"/>
    <x v="0"/>
  </r>
  <r>
    <n v="5961"/>
    <n v="1978"/>
    <x v="3"/>
    <x v="0"/>
    <x v="2"/>
    <n v="42693"/>
    <x v="1"/>
    <n v="1"/>
    <n v="0"/>
    <x v="2"/>
    <x v="46"/>
    <n v="29"/>
    <x v="1"/>
    <n v="0"/>
    <n v="8"/>
    <n v="4"/>
    <n v="20"/>
    <n v="6"/>
    <n v="3"/>
    <n v="16"/>
    <n v="57"/>
    <n v="1"/>
    <n v="1"/>
    <n v="0"/>
    <n v="3"/>
    <n v="4"/>
    <n v="5"/>
    <x v="0"/>
  </r>
  <r>
    <n v="2975"/>
    <n v="1976"/>
    <x v="3"/>
    <x v="0"/>
    <x v="1"/>
    <n v="85606"/>
    <x v="2"/>
    <n v="0"/>
    <n v="1"/>
    <x v="2"/>
    <x v="260"/>
    <n v="89"/>
    <x v="0"/>
    <n v="0"/>
    <n v="717"/>
    <n v="42"/>
    <n v="864"/>
    <n v="219"/>
    <n v="30"/>
    <n v="84"/>
    <n v="1956"/>
    <n v="2"/>
    <n v="6"/>
    <n v="7"/>
    <n v="9"/>
    <n v="22"/>
    <n v="3"/>
    <x v="0"/>
  </r>
  <r>
    <n v="2894"/>
    <n v="1985"/>
    <x v="2"/>
    <x v="0"/>
    <x v="0"/>
    <n v="72903"/>
    <x v="2"/>
    <n v="0"/>
    <n v="0"/>
    <x v="0"/>
    <x v="467"/>
    <n v="74"/>
    <x v="0"/>
    <n v="0"/>
    <n v="1067"/>
    <n v="138"/>
    <n v="750"/>
    <n v="0"/>
    <n v="19"/>
    <n v="39"/>
    <n v="2013"/>
    <n v="1"/>
    <n v="7"/>
    <n v="5"/>
    <n v="8"/>
    <n v="20"/>
    <n v="4"/>
    <x v="0"/>
  </r>
  <r>
    <n v="7613"/>
    <n v="1974"/>
    <x v="3"/>
    <x v="2"/>
    <x v="1"/>
    <n v="49669"/>
    <x v="1"/>
    <n v="1"/>
    <n v="0"/>
    <x v="2"/>
    <x v="83"/>
    <n v="97"/>
    <x v="0"/>
    <n v="0"/>
    <n v="166"/>
    <n v="5"/>
    <n v="107"/>
    <n v="11"/>
    <n v="8"/>
    <n v="29"/>
    <n v="326"/>
    <n v="2"/>
    <n v="5"/>
    <n v="1"/>
    <n v="6"/>
    <n v="12"/>
    <n v="6"/>
    <x v="0"/>
  </r>
  <r>
    <n v="10542"/>
    <n v="1968"/>
    <x v="1"/>
    <x v="1"/>
    <x v="2"/>
    <n v="36778"/>
    <x v="1"/>
    <n v="1"/>
    <n v="1"/>
    <x v="1"/>
    <x v="541"/>
    <n v="63"/>
    <x v="0"/>
    <n v="0"/>
    <n v="29"/>
    <n v="4"/>
    <n v="34"/>
    <n v="2"/>
    <n v="4"/>
    <n v="4"/>
    <n v="77"/>
    <n v="3"/>
    <n v="3"/>
    <n v="0"/>
    <n v="3"/>
    <n v="6"/>
    <n v="9"/>
    <x v="0"/>
  </r>
  <r>
    <n v="8015"/>
    <n v="1962"/>
    <x v="0"/>
    <x v="1"/>
    <x v="3"/>
    <n v="85696"/>
    <x v="2"/>
    <n v="0"/>
    <n v="0"/>
    <x v="0"/>
    <x v="542"/>
    <n v="88"/>
    <x v="0"/>
    <n v="0"/>
    <n v="714"/>
    <n v="76"/>
    <n v="395"/>
    <n v="116"/>
    <n v="0"/>
    <n v="12"/>
    <n v="1313"/>
    <n v="1"/>
    <n v="4"/>
    <n v="6"/>
    <n v="9"/>
    <n v="19"/>
    <n v="1"/>
    <x v="0"/>
  </r>
  <r>
    <n v="11166"/>
    <n v="1961"/>
    <x v="0"/>
    <x v="0"/>
    <x v="2"/>
    <n v="49678"/>
    <x v="1"/>
    <n v="0"/>
    <n v="1"/>
    <x v="2"/>
    <x v="95"/>
    <n v="81"/>
    <x v="0"/>
    <n v="0"/>
    <n v="229"/>
    <n v="5"/>
    <n v="56"/>
    <n v="3"/>
    <n v="2"/>
    <n v="20"/>
    <n v="315"/>
    <n v="2"/>
    <n v="6"/>
    <n v="2"/>
    <n v="4"/>
    <n v="12"/>
    <n v="7"/>
    <x v="0"/>
  </r>
  <r>
    <n v="523"/>
    <n v="1989"/>
    <x v="2"/>
    <x v="0"/>
    <x v="2"/>
    <n v="37155"/>
    <x v="1"/>
    <n v="1"/>
    <n v="0"/>
    <x v="2"/>
    <x v="380"/>
    <n v="51"/>
    <x v="0"/>
    <n v="0"/>
    <n v="23"/>
    <n v="0"/>
    <n v="26"/>
    <n v="7"/>
    <n v="15"/>
    <n v="3"/>
    <n v="74"/>
    <n v="1"/>
    <n v="2"/>
    <n v="0"/>
    <n v="4"/>
    <n v="6"/>
    <n v="5"/>
    <x v="0"/>
  </r>
  <r>
    <n v="4066"/>
    <n v="1978"/>
    <x v="3"/>
    <x v="2"/>
    <x v="3"/>
    <n v="21282"/>
    <x v="3"/>
    <n v="1"/>
    <n v="0"/>
    <x v="2"/>
    <x v="59"/>
    <n v="76"/>
    <x v="0"/>
    <n v="0"/>
    <n v="1"/>
    <n v="5"/>
    <n v="8"/>
    <n v="4"/>
    <n v="8"/>
    <n v="20"/>
    <n v="46"/>
    <n v="2"/>
    <n v="2"/>
    <n v="1"/>
    <n v="2"/>
    <n v="5"/>
    <n v="6"/>
    <x v="0"/>
  </r>
  <r>
    <n v="8414"/>
    <n v="1962"/>
    <x v="0"/>
    <x v="1"/>
    <x v="0"/>
    <n v="33419"/>
    <x v="3"/>
    <n v="0"/>
    <n v="1"/>
    <x v="2"/>
    <x v="529"/>
    <n v="76"/>
    <x v="0"/>
    <n v="0"/>
    <n v="56"/>
    <n v="0"/>
    <n v="12"/>
    <n v="0"/>
    <n v="0"/>
    <n v="18"/>
    <n v="86"/>
    <n v="2"/>
    <n v="2"/>
    <n v="0"/>
    <n v="4"/>
    <n v="6"/>
    <n v="7"/>
    <x v="0"/>
  </r>
  <r>
    <n v="819"/>
    <n v="1945"/>
    <x v="4"/>
    <x v="0"/>
    <x v="4"/>
    <n v="63285"/>
    <x v="0"/>
    <n v="0"/>
    <n v="0"/>
    <x v="0"/>
    <x v="37"/>
    <n v="84"/>
    <x v="0"/>
    <n v="0"/>
    <n v="508"/>
    <n v="124"/>
    <n v="249"/>
    <n v="50"/>
    <n v="38"/>
    <n v="134"/>
    <n v="1103"/>
    <n v="1"/>
    <n v="6"/>
    <n v="5"/>
    <n v="13"/>
    <n v="24"/>
    <n v="3"/>
    <x v="0"/>
  </r>
  <r>
    <n v="4961"/>
    <n v="1974"/>
    <x v="3"/>
    <x v="2"/>
    <x v="1"/>
    <n v="21255"/>
    <x v="3"/>
    <n v="1"/>
    <n v="0"/>
    <x v="2"/>
    <x v="79"/>
    <n v="56"/>
    <x v="0"/>
    <n v="0"/>
    <n v="29"/>
    <n v="0"/>
    <n v="25"/>
    <n v="2"/>
    <n v="2"/>
    <n v="3"/>
    <n v="61"/>
    <n v="4"/>
    <n v="2"/>
    <n v="1"/>
    <n v="4"/>
    <n v="7"/>
    <n v="4"/>
    <x v="0"/>
  </r>
  <r>
    <n v="749"/>
    <n v="1981"/>
    <x v="3"/>
    <x v="0"/>
    <x v="1"/>
    <n v="42162"/>
    <x v="1"/>
    <n v="1"/>
    <n v="0"/>
    <x v="2"/>
    <x v="405"/>
    <n v="31"/>
    <x v="1"/>
    <n v="0"/>
    <n v="46"/>
    <n v="7"/>
    <n v="59"/>
    <n v="2"/>
    <n v="4"/>
    <n v="27"/>
    <n v="145"/>
    <n v="2"/>
    <n v="3"/>
    <n v="1"/>
    <n v="3"/>
    <n v="7"/>
    <n v="6"/>
    <x v="0"/>
  </r>
  <r>
    <n v="5430"/>
    <n v="1956"/>
    <x v="0"/>
    <x v="0"/>
    <x v="1"/>
    <n v="54450"/>
    <x v="0"/>
    <n v="1"/>
    <n v="1"/>
    <x v="1"/>
    <x v="64"/>
    <n v="0"/>
    <x v="1"/>
    <n v="0"/>
    <n v="454"/>
    <n v="0"/>
    <n v="171"/>
    <n v="8"/>
    <n v="19"/>
    <n v="32"/>
    <n v="684"/>
    <n v="12"/>
    <n v="9"/>
    <n v="2"/>
    <n v="8"/>
    <n v="19"/>
    <n v="8"/>
    <x v="1"/>
  </r>
  <r>
    <n v="7755"/>
    <n v="1954"/>
    <x v="0"/>
    <x v="1"/>
    <x v="2"/>
    <n v="57744"/>
    <x v="0"/>
    <n v="0"/>
    <n v="1"/>
    <x v="2"/>
    <x v="543"/>
    <n v="91"/>
    <x v="0"/>
    <n v="0"/>
    <n v="350"/>
    <n v="3"/>
    <n v="39"/>
    <n v="0"/>
    <n v="0"/>
    <n v="19"/>
    <n v="411"/>
    <n v="2"/>
    <n v="9"/>
    <n v="1"/>
    <n v="4"/>
    <n v="14"/>
    <n v="8"/>
    <x v="0"/>
  </r>
  <r>
    <n v="10525"/>
    <n v="1986"/>
    <x v="2"/>
    <x v="0"/>
    <x v="0"/>
    <n v="26576"/>
    <x v="3"/>
    <n v="1"/>
    <n v="0"/>
    <x v="2"/>
    <x v="204"/>
    <n v="40"/>
    <x v="1"/>
    <n v="0"/>
    <n v="10"/>
    <n v="0"/>
    <n v="8"/>
    <n v="0"/>
    <n v="0"/>
    <n v="9"/>
    <n v="27"/>
    <n v="1"/>
    <n v="1"/>
    <n v="0"/>
    <n v="2"/>
    <n v="3"/>
    <n v="9"/>
    <x v="0"/>
  </r>
  <r>
    <n v="1453"/>
    <n v="1943"/>
    <x v="4"/>
    <x v="1"/>
    <x v="4"/>
    <n v="57513"/>
    <x v="0"/>
    <n v="0"/>
    <n v="0"/>
    <x v="0"/>
    <x v="544"/>
    <n v="59"/>
    <x v="0"/>
    <n v="0"/>
    <n v="735"/>
    <n v="40"/>
    <n v="183"/>
    <n v="52"/>
    <n v="20"/>
    <n v="30"/>
    <n v="1060"/>
    <n v="2"/>
    <n v="9"/>
    <n v="3"/>
    <n v="13"/>
    <n v="25"/>
    <n v="6"/>
    <x v="0"/>
  </r>
  <r>
    <n v="8310"/>
    <n v="1964"/>
    <x v="1"/>
    <x v="0"/>
    <x v="1"/>
    <n v="68142"/>
    <x v="0"/>
    <n v="0"/>
    <n v="1"/>
    <x v="2"/>
    <x v="72"/>
    <n v="96"/>
    <x v="0"/>
    <n v="0"/>
    <n v="897"/>
    <n v="126"/>
    <n v="196"/>
    <n v="91"/>
    <n v="112"/>
    <n v="37"/>
    <n v="1459"/>
    <n v="3"/>
    <n v="10"/>
    <n v="4"/>
    <n v="7"/>
    <n v="21"/>
    <n v="6"/>
    <x v="0"/>
  </r>
  <r>
    <n v="10710"/>
    <n v="1979"/>
    <x v="3"/>
    <x v="0"/>
    <x v="2"/>
    <n v="7500"/>
    <x v="3"/>
    <n v="0"/>
    <n v="1"/>
    <x v="2"/>
    <x v="72"/>
    <n v="61"/>
    <x v="0"/>
    <n v="0"/>
    <n v="5"/>
    <n v="2"/>
    <n v="3"/>
    <n v="3"/>
    <n v="0"/>
    <n v="5"/>
    <n v="18"/>
    <n v="1"/>
    <n v="1"/>
    <n v="0"/>
    <n v="2"/>
    <n v="3"/>
    <n v="8"/>
    <x v="0"/>
  </r>
  <r>
    <n v="5031"/>
    <n v="1974"/>
    <x v="3"/>
    <x v="0"/>
    <x v="1"/>
    <n v="83145"/>
    <x v="2"/>
    <n v="0"/>
    <n v="0"/>
    <x v="0"/>
    <x v="203"/>
    <n v="14"/>
    <x v="1"/>
    <n v="0"/>
    <n v="777"/>
    <n v="35"/>
    <n v="731"/>
    <n v="39"/>
    <n v="137"/>
    <n v="114"/>
    <n v="1833"/>
    <n v="1"/>
    <n v="5"/>
    <n v="9"/>
    <n v="11"/>
    <n v="25"/>
    <n v="2"/>
    <x v="1"/>
  </r>
  <r>
    <n v="2613"/>
    <n v="1960"/>
    <x v="0"/>
    <x v="2"/>
    <x v="2"/>
    <n v="54197"/>
    <x v="0"/>
    <n v="0"/>
    <n v="1"/>
    <x v="2"/>
    <x v="383"/>
    <n v="16"/>
    <x v="1"/>
    <n v="0"/>
    <n v="162"/>
    <n v="6"/>
    <n v="37"/>
    <n v="6"/>
    <n v="13"/>
    <n v="13"/>
    <n v="237"/>
    <n v="2"/>
    <n v="1"/>
    <n v="3"/>
    <n v="6"/>
    <n v="10"/>
    <n v="1"/>
    <x v="0"/>
  </r>
  <r>
    <n v="213"/>
    <n v="1963"/>
    <x v="1"/>
    <x v="1"/>
    <x v="0"/>
    <n v="23091"/>
    <x v="3"/>
    <n v="1"/>
    <n v="1"/>
    <x v="1"/>
    <x v="78"/>
    <n v="98"/>
    <x v="0"/>
    <n v="0"/>
    <n v="35"/>
    <n v="0"/>
    <n v="11"/>
    <n v="0"/>
    <n v="0"/>
    <n v="2"/>
    <n v="48"/>
    <n v="4"/>
    <n v="2"/>
    <n v="1"/>
    <n v="3"/>
    <n v="6"/>
    <n v="7"/>
    <x v="0"/>
  </r>
  <r>
    <n v="967"/>
    <n v="1976"/>
    <x v="3"/>
    <x v="0"/>
    <x v="2"/>
    <n v="46049"/>
    <x v="1"/>
    <n v="1"/>
    <n v="1"/>
    <x v="1"/>
    <x v="545"/>
    <n v="11"/>
    <x v="1"/>
    <n v="0"/>
    <n v="342"/>
    <n v="9"/>
    <n v="112"/>
    <n v="19"/>
    <n v="14"/>
    <n v="19"/>
    <n v="515"/>
    <n v="10"/>
    <n v="5"/>
    <n v="2"/>
    <n v="9"/>
    <n v="16"/>
    <n v="7"/>
    <x v="0"/>
  </r>
  <r>
    <n v="1077"/>
    <n v="1974"/>
    <x v="3"/>
    <x v="0"/>
    <x v="1"/>
    <n v="56715"/>
    <x v="0"/>
    <n v="0"/>
    <n v="0"/>
    <x v="0"/>
    <x v="151"/>
    <n v="52"/>
    <x v="0"/>
    <n v="0"/>
    <n v="258"/>
    <n v="105"/>
    <n v="239"/>
    <n v="237"/>
    <n v="172"/>
    <n v="9"/>
    <n v="1020"/>
    <n v="1"/>
    <n v="7"/>
    <n v="3"/>
    <n v="4"/>
    <n v="14"/>
    <n v="4"/>
    <x v="0"/>
  </r>
  <r>
    <n v="7959"/>
    <n v="1961"/>
    <x v="0"/>
    <x v="0"/>
    <x v="2"/>
    <n v="79410"/>
    <x v="2"/>
    <n v="0"/>
    <n v="0"/>
    <x v="0"/>
    <x v="465"/>
    <n v="19"/>
    <x v="1"/>
    <n v="0"/>
    <n v="658"/>
    <n v="80"/>
    <n v="483"/>
    <n v="123"/>
    <n v="13"/>
    <n v="13"/>
    <n v="1370"/>
    <n v="1"/>
    <n v="3"/>
    <n v="2"/>
    <n v="5"/>
    <n v="10"/>
    <n v="1"/>
    <x v="0"/>
  </r>
  <r>
    <n v="640"/>
    <n v="1951"/>
    <x v="4"/>
    <x v="0"/>
    <x v="2"/>
    <n v="57304"/>
    <x v="0"/>
    <n v="0"/>
    <n v="1"/>
    <x v="2"/>
    <x v="293"/>
    <n v="61"/>
    <x v="0"/>
    <n v="0"/>
    <n v="356"/>
    <n v="80"/>
    <n v="329"/>
    <n v="138"/>
    <n v="17"/>
    <n v="106"/>
    <n v="1026"/>
    <n v="2"/>
    <n v="7"/>
    <n v="6"/>
    <n v="10"/>
    <n v="23"/>
    <n v="5"/>
    <x v="0"/>
  </r>
  <r>
    <n v="4252"/>
    <n v="1965"/>
    <x v="1"/>
    <x v="0"/>
    <x v="2"/>
    <n v="44375"/>
    <x v="1"/>
    <n v="0"/>
    <n v="1"/>
    <x v="2"/>
    <x v="82"/>
    <n v="73"/>
    <x v="0"/>
    <n v="0"/>
    <n v="213"/>
    <n v="5"/>
    <n v="28"/>
    <n v="7"/>
    <n v="7"/>
    <n v="41"/>
    <n v="301"/>
    <n v="1"/>
    <n v="4"/>
    <n v="1"/>
    <n v="6"/>
    <n v="11"/>
    <n v="5"/>
    <x v="0"/>
  </r>
  <r>
    <n v="6218"/>
    <n v="1965"/>
    <x v="1"/>
    <x v="0"/>
    <x v="2"/>
    <n v="59594"/>
    <x v="0"/>
    <n v="0"/>
    <n v="1"/>
    <x v="2"/>
    <x v="546"/>
    <n v="74"/>
    <x v="0"/>
    <n v="0"/>
    <n v="457"/>
    <n v="4"/>
    <n v="29"/>
    <n v="0"/>
    <n v="0"/>
    <n v="9"/>
    <n v="499"/>
    <n v="1"/>
    <n v="8"/>
    <n v="1"/>
    <n v="7"/>
    <n v="16"/>
    <n v="7"/>
    <x v="0"/>
  </r>
  <r>
    <n v="6905"/>
    <n v="1994"/>
    <x v="2"/>
    <x v="0"/>
    <x v="1"/>
    <n v="80685"/>
    <x v="2"/>
    <n v="0"/>
    <n v="0"/>
    <x v="0"/>
    <x v="123"/>
    <n v="55"/>
    <x v="0"/>
    <n v="0"/>
    <n v="241"/>
    <n v="45"/>
    <n v="604"/>
    <n v="34"/>
    <n v="26"/>
    <n v="54"/>
    <n v="1004"/>
    <n v="1"/>
    <n v="6"/>
    <n v="4"/>
    <n v="10"/>
    <n v="20"/>
    <n v="2"/>
    <x v="0"/>
  </r>
  <r>
    <n v="5922"/>
    <n v="1974"/>
    <x v="3"/>
    <x v="1"/>
    <x v="2"/>
    <n v="40344"/>
    <x v="1"/>
    <n v="0"/>
    <n v="1"/>
    <x v="2"/>
    <x v="525"/>
    <n v="48"/>
    <x v="1"/>
    <n v="0"/>
    <n v="210"/>
    <n v="0"/>
    <n v="6"/>
    <n v="0"/>
    <n v="0"/>
    <n v="2"/>
    <n v="218"/>
    <n v="2"/>
    <n v="4"/>
    <n v="1"/>
    <n v="5"/>
    <n v="10"/>
    <n v="7"/>
    <x v="0"/>
  </r>
  <r>
    <n v="3598"/>
    <n v="1972"/>
    <x v="1"/>
    <x v="0"/>
    <x v="2"/>
    <n v="62710"/>
    <x v="0"/>
    <n v="0"/>
    <n v="1"/>
    <x v="2"/>
    <x v="547"/>
    <n v="53"/>
    <x v="0"/>
    <n v="0"/>
    <n v="441"/>
    <n v="35"/>
    <n v="83"/>
    <n v="7"/>
    <n v="29"/>
    <n v="11"/>
    <n v="606"/>
    <n v="4"/>
    <n v="4"/>
    <n v="2"/>
    <n v="12"/>
    <n v="18"/>
    <n v="4"/>
    <x v="0"/>
  </r>
  <r>
    <n v="6116"/>
    <n v="1968"/>
    <x v="1"/>
    <x v="2"/>
    <x v="2"/>
    <n v="48985"/>
    <x v="1"/>
    <n v="0"/>
    <n v="1"/>
    <x v="2"/>
    <x v="249"/>
    <n v="13"/>
    <x v="1"/>
    <n v="0"/>
    <n v="19"/>
    <n v="13"/>
    <n v="18"/>
    <n v="10"/>
    <n v="7"/>
    <n v="8"/>
    <n v="75"/>
    <n v="1"/>
    <n v="1"/>
    <n v="1"/>
    <n v="3"/>
    <n v="5"/>
    <n v="3"/>
    <x v="0"/>
  </r>
  <r>
    <n v="6263"/>
    <n v="1968"/>
    <x v="1"/>
    <x v="0"/>
    <x v="1"/>
    <n v="35322"/>
    <x v="3"/>
    <n v="1"/>
    <n v="2"/>
    <x v="3"/>
    <x v="123"/>
    <n v="34"/>
    <x v="1"/>
    <n v="0"/>
    <n v="28"/>
    <n v="9"/>
    <n v="37"/>
    <n v="12"/>
    <n v="7"/>
    <n v="13"/>
    <n v="106"/>
    <n v="3"/>
    <n v="2"/>
    <n v="0"/>
    <n v="4"/>
    <n v="6"/>
    <n v="8"/>
    <x v="0"/>
  </r>
  <r>
    <n v="10486"/>
    <n v="1948"/>
    <x v="4"/>
    <x v="0"/>
    <x v="2"/>
    <n v="77142"/>
    <x v="2"/>
    <n v="0"/>
    <n v="0"/>
    <x v="0"/>
    <x v="429"/>
    <n v="54"/>
    <x v="0"/>
    <n v="0"/>
    <n v="476"/>
    <n v="75"/>
    <n v="162"/>
    <n v="29"/>
    <n v="151"/>
    <n v="97"/>
    <n v="990"/>
    <n v="1"/>
    <n v="4"/>
    <n v="4"/>
    <n v="8"/>
    <n v="16"/>
    <n v="2"/>
    <x v="0"/>
  </r>
  <r>
    <n v="2410"/>
    <n v="1969"/>
    <x v="1"/>
    <x v="0"/>
    <x v="0"/>
    <n v="81657"/>
    <x v="2"/>
    <n v="0"/>
    <n v="0"/>
    <x v="0"/>
    <x v="149"/>
    <n v="69"/>
    <x v="0"/>
    <n v="0"/>
    <n v="364"/>
    <n v="40"/>
    <n v="425"/>
    <n v="158"/>
    <n v="60"/>
    <n v="50"/>
    <n v="1097"/>
    <n v="1"/>
    <n v="3"/>
    <n v="4"/>
    <n v="8"/>
    <n v="15"/>
    <n v="1"/>
    <x v="0"/>
  </r>
  <r>
    <n v="193"/>
    <n v="1996"/>
    <x v="2"/>
    <x v="3"/>
    <x v="2"/>
    <n v="14421"/>
    <x v="3"/>
    <n v="0"/>
    <n v="0"/>
    <x v="0"/>
    <x v="410"/>
    <n v="81"/>
    <x v="0"/>
    <n v="0"/>
    <n v="0"/>
    <n v="0"/>
    <n v="2"/>
    <n v="3"/>
    <n v="3"/>
    <n v="8"/>
    <n v="16"/>
    <n v="1"/>
    <n v="1"/>
    <n v="0"/>
    <n v="2"/>
    <n v="3"/>
    <n v="5"/>
    <x v="0"/>
  </r>
  <r>
    <n v="8278"/>
    <n v="1990"/>
    <x v="2"/>
    <x v="1"/>
    <x v="2"/>
    <n v="74214"/>
    <x v="2"/>
    <n v="0"/>
    <n v="0"/>
    <x v="0"/>
    <x v="548"/>
    <n v="3"/>
    <x v="1"/>
    <n v="0"/>
    <n v="863"/>
    <n v="83"/>
    <n v="547"/>
    <n v="86"/>
    <n v="99"/>
    <n v="33"/>
    <n v="1711"/>
    <n v="1"/>
    <n v="8"/>
    <n v="2"/>
    <n v="5"/>
    <n v="15"/>
    <n v="5"/>
    <x v="1"/>
  </r>
  <r>
    <n v="10660"/>
    <n v="1957"/>
    <x v="0"/>
    <x v="2"/>
    <x v="2"/>
    <n v="66726"/>
    <x v="0"/>
    <n v="1"/>
    <n v="1"/>
    <x v="1"/>
    <x v="549"/>
    <n v="61"/>
    <x v="0"/>
    <n v="0"/>
    <n v="349"/>
    <n v="7"/>
    <n v="35"/>
    <n v="0"/>
    <n v="0"/>
    <n v="47"/>
    <n v="438"/>
    <n v="3"/>
    <n v="8"/>
    <n v="2"/>
    <n v="4"/>
    <n v="14"/>
    <n v="7"/>
    <x v="0"/>
  </r>
  <r>
    <n v="8686"/>
    <n v="1979"/>
    <x v="3"/>
    <x v="3"/>
    <x v="1"/>
    <n v="23724"/>
    <x v="3"/>
    <n v="1"/>
    <n v="0"/>
    <x v="2"/>
    <x v="224"/>
    <n v="65"/>
    <x v="0"/>
    <n v="0"/>
    <n v="5"/>
    <n v="23"/>
    <n v="15"/>
    <n v="0"/>
    <n v="18"/>
    <n v="14"/>
    <n v="75"/>
    <n v="2"/>
    <n v="2"/>
    <n v="0"/>
    <n v="3"/>
    <n v="5"/>
    <n v="8"/>
    <x v="0"/>
  </r>
  <r>
    <n v="1604"/>
    <n v="1960"/>
    <x v="0"/>
    <x v="2"/>
    <x v="2"/>
    <n v="47353"/>
    <x v="1"/>
    <n v="0"/>
    <n v="1"/>
    <x v="2"/>
    <x v="138"/>
    <n v="93"/>
    <x v="0"/>
    <n v="0"/>
    <n v="184"/>
    <n v="2"/>
    <n v="19"/>
    <n v="8"/>
    <n v="8"/>
    <n v="4"/>
    <n v="225"/>
    <n v="3"/>
    <n v="2"/>
    <n v="2"/>
    <n v="6"/>
    <n v="10"/>
    <n v="5"/>
    <x v="0"/>
  </r>
  <r>
    <n v="5907"/>
    <n v="1952"/>
    <x v="4"/>
    <x v="2"/>
    <x v="2"/>
    <n v="33444"/>
    <x v="3"/>
    <n v="1"/>
    <n v="1"/>
    <x v="1"/>
    <x v="16"/>
    <n v="24"/>
    <x v="1"/>
    <n v="0"/>
    <n v="8"/>
    <n v="0"/>
    <n v="8"/>
    <n v="0"/>
    <n v="0"/>
    <n v="2"/>
    <n v="18"/>
    <n v="1"/>
    <n v="1"/>
    <n v="0"/>
    <n v="2"/>
    <n v="3"/>
    <n v="8"/>
    <x v="0"/>
  </r>
  <r>
    <n v="10669"/>
    <n v="1981"/>
    <x v="3"/>
    <x v="0"/>
    <x v="2"/>
    <n v="54386"/>
    <x v="0"/>
    <n v="0"/>
    <n v="1"/>
    <x v="2"/>
    <x v="91"/>
    <n v="8"/>
    <x v="1"/>
    <n v="0"/>
    <n v="277"/>
    <n v="21"/>
    <n v="64"/>
    <n v="62"/>
    <n v="21"/>
    <n v="25"/>
    <n v="470"/>
    <n v="2"/>
    <n v="3"/>
    <n v="2"/>
    <n v="10"/>
    <n v="15"/>
    <n v="3"/>
    <x v="0"/>
  </r>
  <r>
    <n v="2918"/>
    <n v="1981"/>
    <x v="3"/>
    <x v="0"/>
    <x v="3"/>
    <n v="28510"/>
    <x v="3"/>
    <n v="1"/>
    <n v="1"/>
    <x v="1"/>
    <x v="305"/>
    <n v="72"/>
    <x v="0"/>
    <n v="0"/>
    <n v="44"/>
    <n v="5"/>
    <n v="19"/>
    <n v="0"/>
    <n v="4"/>
    <n v="19"/>
    <n v="91"/>
    <n v="3"/>
    <n v="2"/>
    <n v="0"/>
    <n v="4"/>
    <n v="6"/>
    <n v="5"/>
    <x v="0"/>
  </r>
  <r>
    <n v="5735"/>
    <n v="1991"/>
    <x v="2"/>
    <x v="2"/>
    <x v="0"/>
    <n v="90638"/>
    <x v="2"/>
    <n v="0"/>
    <n v="0"/>
    <x v="0"/>
    <x v="550"/>
    <n v="29"/>
    <x v="1"/>
    <n v="0"/>
    <n v="1156"/>
    <n v="120"/>
    <n v="915"/>
    <n v="94"/>
    <n v="144"/>
    <n v="96"/>
    <n v="2525"/>
    <n v="1"/>
    <n v="3"/>
    <n v="4"/>
    <n v="10"/>
    <n v="17"/>
    <n v="1"/>
    <x v="1"/>
  </r>
  <r>
    <n v="359"/>
    <n v="1950"/>
    <x v="4"/>
    <x v="0"/>
    <x v="1"/>
    <n v="48070"/>
    <x v="1"/>
    <n v="0"/>
    <n v="1"/>
    <x v="2"/>
    <x v="231"/>
    <n v="33"/>
    <x v="1"/>
    <n v="1"/>
    <n v="373"/>
    <n v="14"/>
    <n v="83"/>
    <n v="6"/>
    <n v="9"/>
    <n v="19"/>
    <n v="504"/>
    <n v="3"/>
    <n v="8"/>
    <n v="2"/>
    <n v="6"/>
    <n v="16"/>
    <n v="7"/>
    <x v="0"/>
  </r>
  <r>
    <n v="8387"/>
    <n v="1957"/>
    <x v="0"/>
    <x v="0"/>
    <x v="2"/>
    <n v="43140"/>
    <x v="1"/>
    <n v="0"/>
    <n v="1"/>
    <x v="2"/>
    <x v="180"/>
    <n v="68"/>
    <x v="0"/>
    <n v="0"/>
    <n v="134"/>
    <n v="8"/>
    <n v="76"/>
    <n v="6"/>
    <n v="0"/>
    <n v="11"/>
    <n v="235"/>
    <n v="1"/>
    <n v="4"/>
    <n v="1"/>
    <n v="5"/>
    <n v="10"/>
    <n v="6"/>
    <x v="0"/>
  </r>
  <r>
    <n v="1829"/>
    <n v="1961"/>
    <x v="0"/>
    <x v="1"/>
    <x v="3"/>
    <n v="54959"/>
    <x v="0"/>
    <n v="0"/>
    <n v="1"/>
    <x v="2"/>
    <x v="470"/>
    <n v="55"/>
    <x v="0"/>
    <n v="0"/>
    <n v="1148"/>
    <n v="0"/>
    <n v="60"/>
    <n v="0"/>
    <n v="0"/>
    <n v="24"/>
    <n v="1232"/>
    <n v="3"/>
    <n v="9"/>
    <n v="5"/>
    <n v="4"/>
    <n v="18"/>
    <n v="7"/>
    <x v="0"/>
  </r>
  <r>
    <n v="3839"/>
    <n v="1958"/>
    <x v="0"/>
    <x v="3"/>
    <x v="0"/>
    <n v="15056"/>
    <x v="3"/>
    <n v="1"/>
    <n v="1"/>
    <x v="1"/>
    <x v="542"/>
    <n v="76"/>
    <x v="0"/>
    <n v="0"/>
    <n v="6"/>
    <n v="12"/>
    <n v="3"/>
    <n v="21"/>
    <n v="6"/>
    <n v="40"/>
    <n v="88"/>
    <n v="5"/>
    <n v="2"/>
    <n v="2"/>
    <n v="3"/>
    <n v="7"/>
    <n v="5"/>
    <x v="0"/>
  </r>
  <r>
    <n v="9392"/>
    <n v="1971"/>
    <x v="1"/>
    <x v="0"/>
    <x v="0"/>
    <n v="26954"/>
    <x v="3"/>
    <n v="1"/>
    <n v="0"/>
    <x v="2"/>
    <x v="92"/>
    <n v="17"/>
    <x v="1"/>
    <n v="0"/>
    <n v="4"/>
    <n v="1"/>
    <n v="11"/>
    <n v="0"/>
    <n v="0"/>
    <n v="1"/>
    <n v="17"/>
    <n v="1"/>
    <n v="1"/>
    <n v="0"/>
    <n v="2"/>
    <n v="3"/>
    <n v="7"/>
    <x v="0"/>
  </r>
  <r>
    <n v="2292"/>
    <n v="1985"/>
    <x v="2"/>
    <x v="0"/>
    <x v="0"/>
    <n v="22327"/>
    <x v="3"/>
    <n v="1"/>
    <n v="0"/>
    <x v="2"/>
    <x v="152"/>
    <n v="94"/>
    <x v="0"/>
    <n v="0"/>
    <n v="5"/>
    <n v="4"/>
    <n v="8"/>
    <n v="2"/>
    <n v="0"/>
    <n v="5"/>
    <n v="24"/>
    <n v="1"/>
    <n v="1"/>
    <n v="0"/>
    <n v="3"/>
    <n v="4"/>
    <n v="5"/>
    <x v="0"/>
  </r>
  <r>
    <n v="10466"/>
    <n v="1965"/>
    <x v="1"/>
    <x v="0"/>
    <x v="2"/>
    <n v="44393"/>
    <x v="1"/>
    <n v="1"/>
    <n v="1"/>
    <x v="1"/>
    <x v="313"/>
    <n v="86"/>
    <x v="0"/>
    <n v="0"/>
    <n v="24"/>
    <n v="2"/>
    <n v="20"/>
    <n v="2"/>
    <n v="2"/>
    <n v="10"/>
    <n v="60"/>
    <n v="2"/>
    <n v="1"/>
    <n v="0"/>
    <n v="4"/>
    <n v="5"/>
    <n v="4"/>
    <x v="0"/>
  </r>
  <r>
    <n v="9855"/>
    <n v="1952"/>
    <x v="4"/>
    <x v="1"/>
    <x v="0"/>
    <n v="62000"/>
    <x v="0"/>
    <n v="0"/>
    <n v="1"/>
    <x v="2"/>
    <x v="428"/>
    <n v="25"/>
    <x v="1"/>
    <n v="0"/>
    <n v="899"/>
    <n v="0"/>
    <n v="101"/>
    <n v="0"/>
    <n v="0"/>
    <n v="20"/>
    <n v="1020"/>
    <n v="1"/>
    <n v="6"/>
    <n v="6"/>
    <n v="13"/>
    <n v="25"/>
    <n v="4"/>
    <x v="1"/>
  </r>
  <r>
    <n v="4088"/>
    <n v="1962"/>
    <x v="0"/>
    <x v="1"/>
    <x v="1"/>
    <n v="31497"/>
    <x v="3"/>
    <n v="0"/>
    <n v="1"/>
    <x v="2"/>
    <x v="259"/>
    <n v="22"/>
    <x v="1"/>
    <n v="0"/>
    <n v="108"/>
    <n v="1"/>
    <n v="28"/>
    <n v="13"/>
    <n v="1"/>
    <n v="4"/>
    <n v="155"/>
    <n v="2"/>
    <n v="3"/>
    <n v="1"/>
    <n v="4"/>
    <n v="8"/>
    <n v="8"/>
    <x v="0"/>
  </r>
  <r>
    <n v="5231"/>
    <n v="1974"/>
    <x v="3"/>
    <x v="2"/>
    <x v="2"/>
    <n v="45894"/>
    <x v="1"/>
    <n v="0"/>
    <n v="2"/>
    <x v="1"/>
    <x v="551"/>
    <n v="15"/>
    <x v="1"/>
    <n v="0"/>
    <n v="27"/>
    <n v="2"/>
    <n v="7"/>
    <n v="0"/>
    <n v="2"/>
    <n v="13"/>
    <n v="51"/>
    <n v="1"/>
    <n v="1"/>
    <n v="0"/>
    <n v="3"/>
    <n v="4"/>
    <n v="5"/>
    <x v="0"/>
  </r>
  <r>
    <n v="590"/>
    <n v="1970"/>
    <x v="1"/>
    <x v="2"/>
    <x v="3"/>
    <n v="78579"/>
    <x v="2"/>
    <n v="0"/>
    <n v="0"/>
    <x v="0"/>
    <x v="270"/>
    <n v="35"/>
    <x v="1"/>
    <n v="0"/>
    <n v="816"/>
    <n v="66"/>
    <n v="549"/>
    <n v="216"/>
    <n v="66"/>
    <n v="99"/>
    <n v="1812"/>
    <n v="1"/>
    <n v="5"/>
    <n v="6"/>
    <n v="4"/>
    <n v="15"/>
    <n v="3"/>
    <x v="1"/>
  </r>
  <r>
    <n v="8732"/>
    <n v="1969"/>
    <x v="1"/>
    <x v="2"/>
    <x v="4"/>
    <n v="67369"/>
    <x v="0"/>
    <n v="0"/>
    <n v="1"/>
    <x v="2"/>
    <x v="278"/>
    <n v="81"/>
    <x v="0"/>
    <n v="0"/>
    <n v="1298"/>
    <n v="0"/>
    <n v="70"/>
    <n v="37"/>
    <n v="14"/>
    <n v="42"/>
    <n v="1461"/>
    <n v="4"/>
    <n v="7"/>
    <n v="4"/>
    <n v="10"/>
    <n v="21"/>
    <n v="4"/>
    <x v="0"/>
  </r>
  <r>
    <n v="2315"/>
    <n v="1960"/>
    <x v="0"/>
    <x v="0"/>
    <x v="3"/>
    <n v="58401"/>
    <x v="0"/>
    <n v="0"/>
    <n v="1"/>
    <x v="2"/>
    <x v="552"/>
    <n v="55"/>
    <x v="0"/>
    <n v="0"/>
    <n v="10"/>
    <n v="0"/>
    <n v="11"/>
    <n v="17"/>
    <n v="29"/>
    <n v="29"/>
    <n v="96"/>
    <n v="1"/>
    <n v="1"/>
    <n v="2"/>
    <n v="2"/>
    <n v="5"/>
    <n v="4"/>
    <x v="0"/>
  </r>
  <r>
    <n v="3515"/>
    <n v="1952"/>
    <x v="4"/>
    <x v="0"/>
    <x v="0"/>
    <n v="62307"/>
    <x v="0"/>
    <n v="0"/>
    <n v="1"/>
    <x v="2"/>
    <x v="410"/>
    <n v="94"/>
    <x v="0"/>
    <n v="0"/>
    <n v="87"/>
    <n v="13"/>
    <n v="34"/>
    <n v="10"/>
    <n v="6"/>
    <n v="10"/>
    <n v="160"/>
    <n v="1"/>
    <n v="4"/>
    <n v="0"/>
    <n v="4"/>
    <n v="8"/>
    <n v="5"/>
    <x v="0"/>
  </r>
  <r>
    <n v="2245"/>
    <n v="1969"/>
    <x v="1"/>
    <x v="2"/>
    <x v="2"/>
    <n v="43641"/>
    <x v="1"/>
    <n v="1"/>
    <n v="1"/>
    <x v="1"/>
    <x v="107"/>
    <n v="50"/>
    <x v="0"/>
    <n v="0"/>
    <n v="57"/>
    <n v="2"/>
    <n v="51"/>
    <n v="4"/>
    <n v="2"/>
    <n v="23"/>
    <n v="139"/>
    <n v="3"/>
    <n v="2"/>
    <n v="1"/>
    <n v="4"/>
    <n v="7"/>
    <n v="6"/>
    <x v="0"/>
  </r>
  <r>
    <n v="6606"/>
    <n v="1969"/>
    <x v="1"/>
    <x v="2"/>
    <x v="2"/>
    <n v="70091"/>
    <x v="2"/>
    <n v="1"/>
    <n v="0"/>
    <x v="2"/>
    <x v="170"/>
    <n v="11"/>
    <x v="1"/>
    <n v="0"/>
    <n v="964"/>
    <n v="34"/>
    <n v="137"/>
    <n v="15"/>
    <n v="0"/>
    <n v="11"/>
    <n v="1161"/>
    <n v="2"/>
    <n v="5"/>
    <n v="2"/>
    <n v="10"/>
    <n v="17"/>
    <n v="8"/>
    <x v="1"/>
  </r>
  <r>
    <n v="5545"/>
    <n v="1972"/>
    <x v="1"/>
    <x v="1"/>
    <x v="2"/>
    <n v="78075"/>
    <x v="2"/>
    <n v="0"/>
    <n v="0"/>
    <x v="0"/>
    <x v="306"/>
    <n v="72"/>
    <x v="0"/>
    <n v="0"/>
    <n v="572"/>
    <n v="8"/>
    <n v="259"/>
    <n v="34"/>
    <n v="35"/>
    <n v="80"/>
    <n v="988"/>
    <n v="1"/>
    <n v="3"/>
    <n v="5"/>
    <n v="5"/>
    <n v="13"/>
    <n v="1"/>
    <x v="0"/>
  </r>
  <r>
    <n v="7342"/>
    <n v="1961"/>
    <x v="0"/>
    <x v="2"/>
    <x v="4"/>
    <n v="59184"/>
    <x v="0"/>
    <n v="0"/>
    <n v="1"/>
    <x v="2"/>
    <x v="154"/>
    <n v="6"/>
    <x v="1"/>
    <n v="0"/>
    <n v="341"/>
    <n v="142"/>
    <n v="113"/>
    <n v="259"/>
    <n v="151"/>
    <n v="66"/>
    <n v="1072"/>
    <n v="3"/>
    <n v="6"/>
    <n v="6"/>
    <n v="12"/>
    <n v="24"/>
    <n v="5"/>
    <x v="1"/>
  </r>
  <r>
    <n v="837"/>
    <n v="1977"/>
    <x v="3"/>
    <x v="0"/>
    <x v="2"/>
    <n v="54809"/>
    <x v="0"/>
    <n v="1"/>
    <n v="1"/>
    <x v="1"/>
    <x v="255"/>
    <n v="0"/>
    <x v="1"/>
    <n v="0"/>
    <n v="63"/>
    <n v="6"/>
    <n v="57"/>
    <n v="13"/>
    <n v="13"/>
    <n v="22"/>
    <n v="174"/>
    <n v="4"/>
    <n v="2"/>
    <n v="1"/>
    <n v="5"/>
    <n v="8"/>
    <n v="4"/>
    <x v="0"/>
  </r>
  <r>
    <n v="9500"/>
    <n v="1959"/>
    <x v="0"/>
    <x v="0"/>
    <x v="2"/>
    <n v="58113"/>
    <x v="0"/>
    <n v="0"/>
    <n v="1"/>
    <x v="2"/>
    <x v="497"/>
    <n v="66"/>
    <x v="0"/>
    <n v="1"/>
    <n v="221"/>
    <n v="104"/>
    <n v="169"/>
    <n v="102"/>
    <n v="78"/>
    <n v="84"/>
    <n v="758"/>
    <n v="3"/>
    <n v="9"/>
    <n v="2"/>
    <n v="8"/>
    <n v="19"/>
    <n v="7"/>
    <x v="0"/>
  </r>
  <r>
    <n v="3602"/>
    <n v="1958"/>
    <x v="0"/>
    <x v="2"/>
    <x v="2"/>
    <n v="51412"/>
    <x v="1"/>
    <n v="0"/>
    <n v="1"/>
    <x v="2"/>
    <x v="31"/>
    <n v="42"/>
    <x v="1"/>
    <n v="0"/>
    <n v="140"/>
    <n v="3"/>
    <n v="29"/>
    <n v="4"/>
    <n v="5"/>
    <n v="14"/>
    <n v="195"/>
    <n v="2"/>
    <n v="3"/>
    <n v="2"/>
    <n v="4"/>
    <n v="9"/>
    <n v="4"/>
    <x v="0"/>
  </r>
  <r>
    <n v="2995"/>
    <n v="1957"/>
    <x v="0"/>
    <x v="2"/>
    <x v="1"/>
    <n v="66636"/>
    <x v="0"/>
    <n v="0"/>
    <n v="0"/>
    <x v="0"/>
    <x v="529"/>
    <n v="64"/>
    <x v="0"/>
    <n v="0"/>
    <n v="291"/>
    <n v="10"/>
    <n v="689"/>
    <n v="84"/>
    <n v="10"/>
    <n v="0"/>
    <n v="1084"/>
    <n v="1"/>
    <n v="3"/>
    <n v="4"/>
    <n v="9"/>
    <n v="16"/>
    <n v="1"/>
    <x v="0"/>
  </r>
  <r>
    <n v="1118"/>
    <n v="1956"/>
    <x v="0"/>
    <x v="2"/>
    <x v="2"/>
    <n v="50965"/>
    <x v="1"/>
    <n v="0"/>
    <n v="1"/>
    <x v="2"/>
    <x v="24"/>
    <n v="87"/>
    <x v="0"/>
    <n v="0"/>
    <n v="544"/>
    <n v="13"/>
    <n v="85"/>
    <n v="8"/>
    <n v="6"/>
    <n v="29"/>
    <n v="685"/>
    <n v="3"/>
    <n v="10"/>
    <n v="4"/>
    <n v="5"/>
    <n v="19"/>
    <n v="8"/>
    <x v="0"/>
  </r>
  <r>
    <n v="3068"/>
    <n v="1990"/>
    <x v="2"/>
    <x v="0"/>
    <x v="2"/>
    <n v="18351"/>
    <x v="3"/>
    <n v="0"/>
    <n v="0"/>
    <x v="0"/>
    <x v="467"/>
    <n v="1"/>
    <x v="1"/>
    <n v="0"/>
    <n v="1"/>
    <n v="12"/>
    <n v="9"/>
    <n v="0"/>
    <n v="14"/>
    <n v="7"/>
    <n v="43"/>
    <n v="1"/>
    <n v="2"/>
    <n v="0"/>
    <n v="3"/>
    <n v="5"/>
    <n v="7"/>
    <x v="0"/>
  </r>
  <r>
    <n v="8955"/>
    <n v="1957"/>
    <x v="0"/>
    <x v="1"/>
    <x v="1"/>
    <n v="40451"/>
    <x v="1"/>
    <n v="0"/>
    <n v="2"/>
    <x v="1"/>
    <x v="185"/>
    <n v="54"/>
    <x v="0"/>
    <n v="0"/>
    <n v="35"/>
    <n v="0"/>
    <n v="4"/>
    <n v="0"/>
    <n v="0"/>
    <n v="10"/>
    <n v="49"/>
    <n v="1"/>
    <n v="1"/>
    <n v="1"/>
    <n v="2"/>
    <n v="4"/>
    <n v="5"/>
    <x v="0"/>
  </r>
  <r>
    <n v="945"/>
    <n v="1965"/>
    <x v="1"/>
    <x v="0"/>
    <x v="1"/>
    <n v="36317"/>
    <x v="1"/>
    <n v="0"/>
    <n v="1"/>
    <x v="2"/>
    <x v="208"/>
    <n v="53"/>
    <x v="0"/>
    <n v="0"/>
    <n v="87"/>
    <n v="3"/>
    <n v="25"/>
    <n v="3"/>
    <n v="2"/>
    <n v="13"/>
    <n v="133"/>
    <n v="2"/>
    <n v="3"/>
    <n v="0"/>
    <n v="4"/>
    <n v="7"/>
    <n v="7"/>
    <x v="0"/>
  </r>
  <r>
    <n v="5644"/>
    <n v="1957"/>
    <x v="0"/>
    <x v="0"/>
    <x v="1"/>
    <n v="42213"/>
    <x v="1"/>
    <n v="0"/>
    <n v="1"/>
    <x v="2"/>
    <x v="234"/>
    <n v="96"/>
    <x v="0"/>
    <n v="0"/>
    <n v="309"/>
    <n v="3"/>
    <n v="24"/>
    <n v="4"/>
    <n v="3"/>
    <n v="20"/>
    <n v="363"/>
    <n v="2"/>
    <n v="5"/>
    <n v="1"/>
    <n v="7"/>
    <n v="13"/>
    <n v="7"/>
    <x v="0"/>
  </r>
  <r>
    <n v="7192"/>
    <n v="1955"/>
    <x v="0"/>
    <x v="0"/>
    <x v="1"/>
    <n v="65748"/>
    <x v="0"/>
    <n v="0"/>
    <n v="1"/>
    <x v="2"/>
    <x v="382"/>
    <n v="58"/>
    <x v="0"/>
    <n v="1"/>
    <n v="172"/>
    <n v="73"/>
    <n v="93"/>
    <n v="95"/>
    <n v="78"/>
    <n v="34"/>
    <n v="545"/>
    <n v="2"/>
    <n v="2"/>
    <n v="4"/>
    <n v="10"/>
    <n v="16"/>
    <n v="1"/>
    <x v="0"/>
  </r>
  <r>
    <n v="2324"/>
    <n v="1972"/>
    <x v="1"/>
    <x v="0"/>
    <x v="1"/>
    <n v="77044"/>
    <x v="2"/>
    <n v="0"/>
    <n v="1"/>
    <x v="2"/>
    <x v="202"/>
    <n v="12"/>
    <x v="1"/>
    <n v="0"/>
    <n v="625"/>
    <n v="38"/>
    <n v="242"/>
    <n v="50"/>
    <n v="34"/>
    <n v="76"/>
    <n v="1065"/>
    <n v="2"/>
    <n v="7"/>
    <n v="11"/>
    <n v="11"/>
    <n v="29"/>
    <n v="4"/>
    <x v="1"/>
  </r>
  <r>
    <n v="697"/>
    <n v="1969"/>
    <x v="1"/>
    <x v="0"/>
    <x v="1"/>
    <n v="74918"/>
    <x v="2"/>
    <n v="0"/>
    <n v="0"/>
    <x v="0"/>
    <x v="36"/>
    <n v="78"/>
    <x v="0"/>
    <n v="0"/>
    <n v="972"/>
    <n v="59"/>
    <n v="913"/>
    <n v="25"/>
    <n v="19"/>
    <n v="59"/>
    <n v="2047"/>
    <n v="1"/>
    <n v="5"/>
    <n v="9"/>
    <n v="6"/>
    <n v="20"/>
    <n v="3"/>
    <x v="0"/>
  </r>
  <r>
    <n v="3439"/>
    <n v="1972"/>
    <x v="1"/>
    <x v="0"/>
    <x v="2"/>
    <n v="56721"/>
    <x v="0"/>
    <n v="1"/>
    <n v="1"/>
    <x v="1"/>
    <x v="227"/>
    <n v="64"/>
    <x v="0"/>
    <n v="0"/>
    <n v="157"/>
    <n v="6"/>
    <n v="39"/>
    <n v="6"/>
    <n v="13"/>
    <n v="75"/>
    <n v="296"/>
    <n v="5"/>
    <n v="4"/>
    <n v="1"/>
    <n v="5"/>
    <n v="10"/>
    <n v="6"/>
    <x v="0"/>
  </r>
  <r>
    <n v="1506"/>
    <n v="1975"/>
    <x v="3"/>
    <x v="0"/>
    <x v="0"/>
    <n v="42160"/>
    <x v="1"/>
    <n v="1"/>
    <n v="1"/>
    <x v="1"/>
    <x v="553"/>
    <n v="26"/>
    <x v="1"/>
    <n v="0"/>
    <n v="48"/>
    <n v="9"/>
    <n v="45"/>
    <n v="3"/>
    <n v="15"/>
    <n v="20"/>
    <n v="140"/>
    <n v="4"/>
    <n v="2"/>
    <n v="1"/>
    <n v="4"/>
    <n v="7"/>
    <n v="6"/>
    <x v="0"/>
  </r>
  <r>
    <n v="232"/>
    <n v="1965"/>
    <x v="1"/>
    <x v="0"/>
    <x v="0"/>
    <n v="61559"/>
    <x v="0"/>
    <n v="0"/>
    <n v="1"/>
    <x v="2"/>
    <x v="166"/>
    <n v="8"/>
    <x v="1"/>
    <n v="0"/>
    <n v="279"/>
    <n v="83"/>
    <n v="88"/>
    <n v="32"/>
    <n v="14"/>
    <n v="34"/>
    <n v="530"/>
    <n v="1"/>
    <n v="4"/>
    <n v="2"/>
    <n v="10"/>
    <n v="16"/>
    <n v="3"/>
    <x v="0"/>
  </r>
  <r>
    <n v="8876"/>
    <n v="1963"/>
    <x v="1"/>
    <x v="1"/>
    <x v="1"/>
    <n v="33629"/>
    <x v="3"/>
    <n v="1"/>
    <n v="1"/>
    <x v="1"/>
    <x v="17"/>
    <n v="49"/>
    <x v="0"/>
    <n v="0"/>
    <n v="132"/>
    <n v="0"/>
    <n v="16"/>
    <n v="0"/>
    <n v="0"/>
    <n v="4"/>
    <n v="152"/>
    <n v="5"/>
    <n v="3"/>
    <n v="1"/>
    <n v="4"/>
    <n v="8"/>
    <n v="9"/>
    <x v="0"/>
  </r>
  <r>
    <n v="9739"/>
    <n v="1963"/>
    <x v="1"/>
    <x v="0"/>
    <x v="0"/>
    <n v="34377"/>
    <x v="3"/>
    <n v="0"/>
    <n v="1"/>
    <x v="2"/>
    <x v="470"/>
    <n v="55"/>
    <x v="0"/>
    <n v="0"/>
    <n v="62"/>
    <n v="0"/>
    <n v="22"/>
    <n v="3"/>
    <n v="1"/>
    <n v="26"/>
    <n v="114"/>
    <n v="2"/>
    <n v="2"/>
    <n v="2"/>
    <n v="2"/>
    <n v="6"/>
    <n v="7"/>
    <x v="0"/>
  </r>
  <r>
    <n v="10395"/>
    <n v="1986"/>
    <x v="2"/>
    <x v="3"/>
    <x v="0"/>
    <n v="8940"/>
    <x v="3"/>
    <n v="1"/>
    <n v="0"/>
    <x v="2"/>
    <x v="123"/>
    <n v="25"/>
    <x v="1"/>
    <n v="0"/>
    <n v="1"/>
    <n v="45"/>
    <n v="3"/>
    <n v="4"/>
    <n v="6"/>
    <n v="42"/>
    <n v="101"/>
    <n v="3"/>
    <n v="3"/>
    <n v="1"/>
    <n v="3"/>
    <n v="7"/>
    <n v="8"/>
    <x v="0"/>
  </r>
  <r>
    <n v="1176"/>
    <n v="1973"/>
    <x v="3"/>
    <x v="0"/>
    <x v="2"/>
    <n v="26228"/>
    <x v="3"/>
    <n v="1"/>
    <n v="0"/>
    <x v="2"/>
    <x v="325"/>
    <n v="50"/>
    <x v="0"/>
    <n v="0"/>
    <n v="2"/>
    <n v="6"/>
    <n v="4"/>
    <n v="3"/>
    <n v="1"/>
    <n v="9"/>
    <n v="25"/>
    <n v="1"/>
    <n v="1"/>
    <n v="0"/>
    <n v="2"/>
    <n v="3"/>
    <n v="8"/>
    <x v="0"/>
  </r>
  <r>
    <n v="1627"/>
    <n v="1957"/>
    <x v="0"/>
    <x v="2"/>
    <x v="3"/>
    <n v="77297"/>
    <x v="2"/>
    <n v="0"/>
    <n v="0"/>
    <x v="0"/>
    <x v="391"/>
    <n v="84"/>
    <x v="0"/>
    <n v="0"/>
    <n v="408"/>
    <n v="61"/>
    <n v="109"/>
    <n v="48"/>
    <n v="122"/>
    <n v="41"/>
    <n v="789"/>
    <n v="1"/>
    <n v="5"/>
    <n v="7"/>
    <n v="9"/>
    <n v="21"/>
    <n v="4"/>
    <x v="0"/>
  </r>
  <r>
    <n v="938"/>
    <n v="1981"/>
    <x v="3"/>
    <x v="0"/>
    <x v="2"/>
    <n v="40211"/>
    <x v="1"/>
    <n v="1"/>
    <n v="1"/>
    <x v="1"/>
    <x v="524"/>
    <n v="30"/>
    <x v="1"/>
    <n v="0"/>
    <n v="51"/>
    <n v="1"/>
    <n v="7"/>
    <n v="2"/>
    <n v="1"/>
    <n v="25"/>
    <n v="87"/>
    <n v="2"/>
    <n v="2"/>
    <n v="1"/>
    <n v="2"/>
    <n v="5"/>
    <n v="8"/>
    <x v="0"/>
  </r>
  <r>
    <n v="2740"/>
    <n v="1958"/>
    <x v="0"/>
    <x v="1"/>
    <x v="4"/>
    <n v="33438"/>
    <x v="3"/>
    <n v="1"/>
    <n v="1"/>
    <x v="1"/>
    <x v="325"/>
    <n v="81"/>
    <x v="0"/>
    <n v="0"/>
    <n v="62"/>
    <n v="1"/>
    <n v="16"/>
    <n v="3"/>
    <n v="2"/>
    <n v="6"/>
    <n v="90"/>
    <n v="4"/>
    <n v="2"/>
    <n v="1"/>
    <n v="4"/>
    <n v="7"/>
    <n v="5"/>
    <x v="0"/>
  </r>
  <r>
    <n v="257"/>
    <n v="1959"/>
    <x v="0"/>
    <x v="1"/>
    <x v="2"/>
    <n v="75032"/>
    <x v="2"/>
    <n v="0"/>
    <n v="1"/>
    <x v="2"/>
    <x v="554"/>
    <n v="74"/>
    <x v="0"/>
    <n v="0"/>
    <n v="952"/>
    <n v="12"/>
    <n v="180"/>
    <n v="47"/>
    <n v="12"/>
    <n v="12"/>
    <n v="1215"/>
    <n v="2"/>
    <n v="5"/>
    <n v="4"/>
    <n v="9"/>
    <n v="18"/>
    <n v="3"/>
    <x v="0"/>
  </r>
  <r>
    <n v="4058"/>
    <n v="1955"/>
    <x v="0"/>
    <x v="1"/>
    <x v="0"/>
    <n v="61284"/>
    <x v="0"/>
    <n v="0"/>
    <n v="0"/>
    <x v="0"/>
    <x v="234"/>
    <n v="76"/>
    <x v="0"/>
    <n v="0"/>
    <n v="618"/>
    <n v="15"/>
    <n v="106"/>
    <n v="20"/>
    <n v="7"/>
    <n v="45"/>
    <n v="811"/>
    <n v="1"/>
    <n v="11"/>
    <n v="2"/>
    <n v="8"/>
    <n v="21"/>
    <n v="6"/>
    <x v="0"/>
  </r>
  <r>
    <n v="7736"/>
    <n v="1986"/>
    <x v="2"/>
    <x v="0"/>
    <x v="2"/>
    <n v="22518"/>
    <x v="3"/>
    <n v="1"/>
    <n v="0"/>
    <x v="2"/>
    <x v="206"/>
    <n v="36"/>
    <x v="1"/>
    <n v="0"/>
    <n v="11"/>
    <n v="7"/>
    <n v="12"/>
    <n v="2"/>
    <n v="2"/>
    <n v="27"/>
    <n v="61"/>
    <n v="2"/>
    <n v="2"/>
    <n v="1"/>
    <n v="2"/>
    <n v="5"/>
    <n v="5"/>
    <x v="0"/>
  </r>
  <r>
    <n v="8210"/>
    <n v="1975"/>
    <x v="3"/>
    <x v="2"/>
    <x v="2"/>
    <n v="54730"/>
    <x v="0"/>
    <n v="0"/>
    <n v="1"/>
    <x v="2"/>
    <x v="264"/>
    <n v="64"/>
    <x v="0"/>
    <n v="0"/>
    <n v="318"/>
    <n v="3"/>
    <n v="17"/>
    <n v="4"/>
    <n v="7"/>
    <n v="56"/>
    <n v="405"/>
    <n v="5"/>
    <n v="4"/>
    <n v="1"/>
    <n v="8"/>
    <n v="13"/>
    <n v="4"/>
    <x v="0"/>
  </r>
  <r>
    <n v="833"/>
    <n v="1955"/>
    <x v="0"/>
    <x v="2"/>
    <x v="2"/>
    <n v="38452"/>
    <x v="1"/>
    <n v="1"/>
    <n v="1"/>
    <x v="1"/>
    <x v="89"/>
    <n v="62"/>
    <x v="0"/>
    <n v="0"/>
    <n v="56"/>
    <n v="0"/>
    <n v="14"/>
    <n v="0"/>
    <n v="0"/>
    <n v="2"/>
    <n v="72"/>
    <n v="3"/>
    <n v="3"/>
    <n v="0"/>
    <n v="3"/>
    <n v="6"/>
    <n v="7"/>
    <x v="0"/>
  </r>
  <r>
    <n v="6230"/>
    <n v="1971"/>
    <x v="1"/>
    <x v="0"/>
    <x v="3"/>
    <n v="44421"/>
    <x v="1"/>
    <n v="1"/>
    <n v="1"/>
    <x v="1"/>
    <x v="359"/>
    <n v="53"/>
    <x v="0"/>
    <n v="0"/>
    <n v="110"/>
    <n v="5"/>
    <n v="59"/>
    <n v="7"/>
    <n v="1"/>
    <n v="7"/>
    <n v="189"/>
    <n v="5"/>
    <n v="5"/>
    <n v="0"/>
    <n v="4"/>
    <n v="9"/>
    <n v="8"/>
    <x v="0"/>
  </r>
  <r>
    <n v="7325"/>
    <n v="1986"/>
    <x v="2"/>
    <x v="1"/>
    <x v="1"/>
    <n v="38197"/>
    <x v="1"/>
    <n v="1"/>
    <n v="0"/>
    <x v="2"/>
    <x v="496"/>
    <n v="86"/>
    <x v="0"/>
    <n v="0"/>
    <n v="23"/>
    <n v="0"/>
    <n v="11"/>
    <n v="2"/>
    <n v="1"/>
    <n v="3"/>
    <n v="40"/>
    <n v="1"/>
    <n v="1"/>
    <n v="0"/>
    <n v="3"/>
    <n v="4"/>
    <n v="5"/>
    <x v="0"/>
  </r>
  <r>
    <n v="1307"/>
    <n v="1978"/>
    <x v="3"/>
    <x v="0"/>
    <x v="3"/>
    <n v="41986"/>
    <x v="1"/>
    <n v="0"/>
    <n v="1"/>
    <x v="2"/>
    <x v="246"/>
    <n v="15"/>
    <x v="1"/>
    <n v="0"/>
    <n v="27"/>
    <n v="5"/>
    <n v="8"/>
    <n v="8"/>
    <n v="3"/>
    <n v="12"/>
    <n v="63"/>
    <n v="3"/>
    <n v="3"/>
    <n v="0"/>
    <n v="4"/>
    <n v="7"/>
    <n v="4"/>
    <x v="0"/>
  </r>
  <r>
    <n v="1502"/>
    <n v="1983"/>
    <x v="2"/>
    <x v="0"/>
    <x v="1"/>
    <n v="28427"/>
    <x v="3"/>
    <n v="1"/>
    <n v="0"/>
    <x v="2"/>
    <x v="555"/>
    <n v="67"/>
    <x v="0"/>
    <n v="0"/>
    <n v="18"/>
    <n v="3"/>
    <n v="19"/>
    <n v="3"/>
    <n v="3"/>
    <n v="6"/>
    <n v="52"/>
    <n v="2"/>
    <n v="2"/>
    <n v="0"/>
    <n v="3"/>
    <n v="5"/>
    <n v="8"/>
    <x v="0"/>
  </r>
  <r>
    <n v="6211"/>
    <n v="1976"/>
    <x v="3"/>
    <x v="1"/>
    <x v="1"/>
    <n v="37395"/>
    <x v="1"/>
    <n v="1"/>
    <n v="0"/>
    <x v="2"/>
    <x v="453"/>
    <n v="47"/>
    <x v="1"/>
    <n v="0"/>
    <n v="18"/>
    <n v="0"/>
    <n v="9"/>
    <n v="0"/>
    <n v="1"/>
    <n v="11"/>
    <n v="39"/>
    <n v="1"/>
    <n v="1"/>
    <n v="0"/>
    <n v="3"/>
    <n v="4"/>
    <n v="6"/>
    <x v="0"/>
  </r>
  <r>
    <n v="843"/>
    <n v="1971"/>
    <x v="1"/>
    <x v="0"/>
    <x v="2"/>
    <n v="64722"/>
    <x v="0"/>
    <n v="1"/>
    <n v="0"/>
    <x v="2"/>
    <x v="486"/>
    <n v="47"/>
    <x v="1"/>
    <n v="0"/>
    <n v="303"/>
    <n v="0"/>
    <n v="280"/>
    <n v="60"/>
    <n v="147"/>
    <n v="15"/>
    <n v="805"/>
    <n v="4"/>
    <n v="8"/>
    <n v="2"/>
    <n v="11"/>
    <n v="21"/>
    <n v="6"/>
    <x v="1"/>
  </r>
  <r>
    <n v="4174"/>
    <n v="1956"/>
    <x v="0"/>
    <x v="2"/>
    <x v="1"/>
    <n v="55249"/>
    <x v="0"/>
    <n v="0"/>
    <n v="1"/>
    <x v="2"/>
    <x v="221"/>
    <n v="81"/>
    <x v="0"/>
    <n v="0"/>
    <n v="97"/>
    <n v="1"/>
    <n v="19"/>
    <n v="2"/>
    <n v="0"/>
    <n v="11"/>
    <n v="130"/>
    <n v="1"/>
    <n v="2"/>
    <n v="1"/>
    <n v="4"/>
    <n v="7"/>
    <n v="3"/>
    <x v="0"/>
  </r>
  <r>
    <n v="9757"/>
    <n v="1972"/>
    <x v="1"/>
    <x v="0"/>
    <x v="1"/>
    <n v="84906"/>
    <x v="2"/>
    <n v="0"/>
    <n v="0"/>
    <x v="0"/>
    <x v="191"/>
    <n v="98"/>
    <x v="0"/>
    <n v="0"/>
    <n v="997"/>
    <n v="15"/>
    <n v="414"/>
    <n v="99"/>
    <n v="30"/>
    <n v="76"/>
    <n v="1631"/>
    <n v="1"/>
    <n v="5"/>
    <n v="6"/>
    <n v="12"/>
    <n v="23"/>
    <n v="2"/>
    <x v="0"/>
  </r>
  <r>
    <n v="286"/>
    <n v="1952"/>
    <x v="4"/>
    <x v="0"/>
    <x v="0"/>
    <n v="44213"/>
    <x v="1"/>
    <n v="1"/>
    <n v="1"/>
    <x v="1"/>
    <x v="271"/>
    <n v="48"/>
    <x v="1"/>
    <n v="0"/>
    <n v="95"/>
    <n v="11"/>
    <n v="35"/>
    <n v="0"/>
    <n v="4"/>
    <n v="7"/>
    <n v="152"/>
    <n v="4"/>
    <n v="2"/>
    <n v="1"/>
    <n v="5"/>
    <n v="8"/>
    <n v="6"/>
    <x v="0"/>
  </r>
  <r>
    <n v="11086"/>
    <n v="1984"/>
    <x v="2"/>
    <x v="3"/>
    <x v="0"/>
    <n v="25707"/>
    <x v="3"/>
    <n v="1"/>
    <n v="0"/>
    <x v="2"/>
    <x v="239"/>
    <n v="18"/>
    <x v="1"/>
    <n v="0"/>
    <n v="1"/>
    <n v="6"/>
    <n v="2"/>
    <n v="3"/>
    <n v="6"/>
    <n v="3"/>
    <n v="21"/>
    <n v="1"/>
    <n v="1"/>
    <n v="0"/>
    <n v="3"/>
    <n v="4"/>
    <n v="7"/>
    <x v="0"/>
  </r>
  <r>
    <n v="1921"/>
    <n v="1967"/>
    <x v="1"/>
    <x v="1"/>
    <x v="2"/>
    <n v="59062"/>
    <x v="0"/>
    <n v="2"/>
    <n v="1"/>
    <x v="3"/>
    <x v="451"/>
    <n v="74"/>
    <x v="0"/>
    <n v="0"/>
    <n v="46"/>
    <n v="1"/>
    <n v="12"/>
    <n v="3"/>
    <n v="0"/>
    <n v="9"/>
    <n v="71"/>
    <n v="2"/>
    <n v="2"/>
    <n v="0"/>
    <n v="3"/>
    <n v="5"/>
    <n v="4"/>
    <x v="0"/>
  </r>
  <r>
    <n v="4138"/>
    <n v="1962"/>
    <x v="0"/>
    <x v="0"/>
    <x v="0"/>
    <n v="76624"/>
    <x v="2"/>
    <n v="0"/>
    <n v="1"/>
    <x v="2"/>
    <x v="83"/>
    <n v="68"/>
    <x v="0"/>
    <n v="0"/>
    <n v="411"/>
    <n v="106"/>
    <n v="147"/>
    <n v="54"/>
    <n v="115"/>
    <n v="66"/>
    <n v="899"/>
    <n v="1"/>
    <n v="5"/>
    <n v="10"/>
    <n v="7"/>
    <n v="22"/>
    <n v="1"/>
    <x v="0"/>
  </r>
  <r>
    <n v="7718"/>
    <n v="1947"/>
    <x v="4"/>
    <x v="2"/>
    <x v="1"/>
    <n v="66000"/>
    <x v="0"/>
    <n v="0"/>
    <n v="0"/>
    <x v="0"/>
    <x v="552"/>
    <n v="36"/>
    <x v="1"/>
    <n v="0"/>
    <n v="244"/>
    <n v="51"/>
    <n v="270"/>
    <n v="101"/>
    <n v="0"/>
    <n v="45"/>
    <n v="711"/>
    <n v="1"/>
    <n v="1"/>
    <n v="3"/>
    <n v="5"/>
    <n v="9"/>
    <n v="1"/>
    <x v="0"/>
  </r>
  <r>
    <n v="1291"/>
    <n v="1978"/>
    <x v="3"/>
    <x v="1"/>
    <x v="1"/>
    <n v="27683"/>
    <x v="3"/>
    <n v="1"/>
    <n v="0"/>
    <x v="2"/>
    <x v="332"/>
    <n v="90"/>
    <x v="0"/>
    <n v="0"/>
    <n v="152"/>
    <n v="9"/>
    <n v="121"/>
    <n v="12"/>
    <n v="12"/>
    <n v="45"/>
    <n v="351"/>
    <n v="4"/>
    <n v="6"/>
    <n v="2"/>
    <n v="4"/>
    <n v="12"/>
    <n v="8"/>
    <x v="0"/>
  </r>
  <r>
    <n v="6862"/>
    <n v="1971"/>
    <x v="1"/>
    <x v="0"/>
    <x v="3"/>
    <n v="1730"/>
    <x v="3"/>
    <n v="0"/>
    <n v="0"/>
    <x v="0"/>
    <x v="333"/>
    <n v="65"/>
    <x v="0"/>
    <n v="0"/>
    <n v="1"/>
    <n v="1"/>
    <n v="3"/>
    <n v="1"/>
    <n v="1"/>
    <n v="1"/>
    <n v="8"/>
    <n v="15"/>
    <n v="0"/>
    <n v="0"/>
    <n v="0"/>
    <n v="0"/>
    <n v="20"/>
    <x v="0"/>
  </r>
  <r>
    <n v="4136"/>
    <n v="1992"/>
    <x v="2"/>
    <x v="3"/>
    <x v="0"/>
    <n v="7500"/>
    <x v="3"/>
    <n v="1"/>
    <n v="0"/>
    <x v="2"/>
    <x v="342"/>
    <n v="63"/>
    <x v="0"/>
    <n v="0"/>
    <n v="10"/>
    <n v="17"/>
    <n v="18"/>
    <n v="8"/>
    <n v="26"/>
    <n v="40"/>
    <n v="119"/>
    <n v="4"/>
    <n v="3"/>
    <n v="2"/>
    <n v="2"/>
    <n v="7"/>
    <n v="9"/>
    <x v="0"/>
  </r>
  <r>
    <n v="803"/>
    <n v="1968"/>
    <x v="1"/>
    <x v="0"/>
    <x v="1"/>
    <n v="40521"/>
    <x v="1"/>
    <n v="1"/>
    <n v="1"/>
    <x v="1"/>
    <x v="66"/>
    <n v="82"/>
    <x v="0"/>
    <n v="0"/>
    <n v="12"/>
    <n v="0"/>
    <n v="5"/>
    <n v="0"/>
    <n v="0"/>
    <n v="4"/>
    <n v="21"/>
    <n v="1"/>
    <n v="0"/>
    <n v="1"/>
    <n v="2"/>
    <n v="3"/>
    <n v="5"/>
    <x v="0"/>
  </r>
  <r>
    <n v="4298"/>
    <n v="1973"/>
    <x v="3"/>
    <x v="1"/>
    <x v="1"/>
    <n v="20427"/>
    <x v="3"/>
    <n v="1"/>
    <n v="0"/>
    <x v="2"/>
    <x v="535"/>
    <n v="63"/>
    <x v="0"/>
    <n v="0"/>
    <n v="5"/>
    <n v="0"/>
    <n v="4"/>
    <n v="0"/>
    <n v="0"/>
    <n v="1"/>
    <n v="10"/>
    <n v="1"/>
    <n v="1"/>
    <n v="0"/>
    <n v="2"/>
    <n v="3"/>
    <n v="8"/>
    <x v="0"/>
  </r>
  <r>
    <n v="10833"/>
    <n v="1975"/>
    <x v="3"/>
    <x v="0"/>
    <x v="2"/>
    <n v="65106"/>
    <x v="0"/>
    <n v="0"/>
    <n v="1"/>
    <x v="2"/>
    <x v="83"/>
    <n v="55"/>
    <x v="0"/>
    <n v="0"/>
    <n v="790"/>
    <n v="19"/>
    <n v="133"/>
    <n v="12"/>
    <n v="0"/>
    <n v="19"/>
    <n v="973"/>
    <n v="3"/>
    <n v="8"/>
    <n v="3"/>
    <n v="13"/>
    <n v="24"/>
    <n v="6"/>
    <x v="0"/>
  </r>
  <r>
    <n v="9606"/>
    <n v="1965"/>
    <x v="1"/>
    <x v="1"/>
    <x v="2"/>
    <n v="69969"/>
    <x v="2"/>
    <n v="0"/>
    <n v="0"/>
    <x v="0"/>
    <x v="556"/>
    <n v="64"/>
    <x v="0"/>
    <n v="0"/>
    <n v="882"/>
    <n v="29"/>
    <n v="514"/>
    <n v="38"/>
    <n v="29"/>
    <n v="44"/>
    <n v="1536"/>
    <n v="1"/>
    <n v="4"/>
    <n v="2"/>
    <n v="6"/>
    <n v="12"/>
    <n v="3"/>
    <x v="0"/>
  </r>
  <r>
    <n v="8534"/>
    <n v="1952"/>
    <x v="4"/>
    <x v="0"/>
    <x v="2"/>
    <n v="67433"/>
    <x v="0"/>
    <n v="0"/>
    <n v="2"/>
    <x v="1"/>
    <x v="77"/>
    <n v="51"/>
    <x v="0"/>
    <n v="0"/>
    <n v="615"/>
    <n v="28"/>
    <n v="259"/>
    <n v="12"/>
    <n v="48"/>
    <n v="30"/>
    <n v="992"/>
    <n v="4"/>
    <n v="6"/>
    <n v="5"/>
    <n v="13"/>
    <n v="24"/>
    <n v="4"/>
    <x v="0"/>
  </r>
  <r>
    <n v="5153"/>
    <n v="1967"/>
    <x v="1"/>
    <x v="1"/>
    <x v="2"/>
    <n v="77766"/>
    <x v="2"/>
    <n v="0"/>
    <n v="1"/>
    <x v="2"/>
    <x v="302"/>
    <n v="97"/>
    <x v="0"/>
    <n v="0"/>
    <n v="1004"/>
    <n v="59"/>
    <n v="265"/>
    <n v="115"/>
    <n v="59"/>
    <n v="27"/>
    <n v="1529"/>
    <n v="2"/>
    <n v="11"/>
    <n v="10"/>
    <n v="11"/>
    <n v="32"/>
    <n v="6"/>
    <x v="0"/>
  </r>
  <r>
    <n v="961"/>
    <n v="1972"/>
    <x v="1"/>
    <x v="0"/>
    <x v="2"/>
    <n v="74716"/>
    <x v="2"/>
    <n v="0"/>
    <n v="1"/>
    <x v="2"/>
    <x v="130"/>
    <n v="92"/>
    <x v="0"/>
    <n v="0"/>
    <n v="133"/>
    <n v="27"/>
    <n v="421"/>
    <n v="13"/>
    <n v="195"/>
    <n v="71"/>
    <n v="860"/>
    <n v="2"/>
    <n v="7"/>
    <n v="3"/>
    <n v="5"/>
    <n v="15"/>
    <n v="4"/>
    <x v="0"/>
  </r>
  <r>
    <n v="6653"/>
    <n v="1970"/>
    <x v="1"/>
    <x v="1"/>
    <x v="2"/>
    <n v="55158"/>
    <x v="0"/>
    <n v="1"/>
    <n v="1"/>
    <x v="1"/>
    <x v="557"/>
    <n v="72"/>
    <x v="0"/>
    <n v="0"/>
    <n v="293"/>
    <n v="0"/>
    <n v="87"/>
    <n v="4"/>
    <n v="11"/>
    <n v="23"/>
    <n v="418"/>
    <n v="4"/>
    <n v="7"/>
    <n v="2"/>
    <n v="5"/>
    <n v="14"/>
    <n v="7"/>
    <x v="0"/>
  </r>
  <r>
    <n v="9094"/>
    <n v="1955"/>
    <x v="0"/>
    <x v="2"/>
    <x v="2"/>
    <n v="62972"/>
    <x v="0"/>
    <n v="0"/>
    <n v="1"/>
    <x v="2"/>
    <x v="411"/>
    <n v="39"/>
    <x v="1"/>
    <n v="0"/>
    <n v="313"/>
    <n v="15"/>
    <n v="47"/>
    <n v="20"/>
    <n v="0"/>
    <n v="192"/>
    <n v="587"/>
    <n v="2"/>
    <n v="7"/>
    <n v="4"/>
    <n v="3"/>
    <n v="14"/>
    <n v="6"/>
    <x v="0"/>
  </r>
  <r>
    <n v="810"/>
    <n v="1975"/>
    <x v="3"/>
    <x v="0"/>
    <x v="2"/>
    <n v="74190"/>
    <x v="2"/>
    <n v="0"/>
    <n v="1"/>
    <x v="2"/>
    <x v="44"/>
    <n v="49"/>
    <x v="0"/>
    <n v="0"/>
    <n v="151"/>
    <n v="81"/>
    <n v="86"/>
    <n v="168"/>
    <n v="91"/>
    <n v="64"/>
    <n v="641"/>
    <n v="2"/>
    <n v="4"/>
    <n v="2"/>
    <n v="11"/>
    <n v="17"/>
    <n v="2"/>
    <x v="0"/>
  </r>
  <r>
    <n v="5493"/>
    <n v="1976"/>
    <x v="3"/>
    <x v="0"/>
    <x v="2"/>
    <n v="39356"/>
    <x v="1"/>
    <n v="1"/>
    <n v="1"/>
    <x v="1"/>
    <x v="60"/>
    <n v="21"/>
    <x v="1"/>
    <n v="0"/>
    <n v="15"/>
    <n v="0"/>
    <n v="2"/>
    <n v="0"/>
    <n v="0"/>
    <n v="6"/>
    <n v="23"/>
    <n v="1"/>
    <n v="1"/>
    <n v="0"/>
    <n v="2"/>
    <n v="3"/>
    <n v="6"/>
    <x v="0"/>
  </r>
  <r>
    <n v="2147"/>
    <n v="1969"/>
    <x v="1"/>
    <x v="0"/>
    <x v="1"/>
    <n v="76653"/>
    <x v="2"/>
    <n v="0"/>
    <n v="0"/>
    <x v="0"/>
    <x v="354"/>
    <n v="91"/>
    <x v="0"/>
    <n v="0"/>
    <n v="736"/>
    <n v="63"/>
    <n v="946"/>
    <n v="219"/>
    <n v="189"/>
    <n v="126"/>
    <n v="2279"/>
    <n v="1"/>
    <n v="4"/>
    <n v="7"/>
    <n v="11"/>
    <n v="22"/>
    <n v="2"/>
    <x v="0"/>
  </r>
  <r>
    <n v="3979"/>
    <n v="1983"/>
    <x v="2"/>
    <x v="1"/>
    <x v="3"/>
    <n v="90687"/>
    <x v="2"/>
    <n v="0"/>
    <n v="0"/>
    <x v="0"/>
    <x v="208"/>
    <n v="98"/>
    <x v="0"/>
    <n v="0"/>
    <n v="982"/>
    <n v="17"/>
    <n v="672"/>
    <n v="23"/>
    <n v="34"/>
    <n v="51"/>
    <n v="1779"/>
    <n v="1"/>
    <n v="6"/>
    <n v="2"/>
    <n v="8"/>
    <n v="16"/>
    <n v="2"/>
    <x v="0"/>
  </r>
  <r>
    <n v="6049"/>
    <n v="1982"/>
    <x v="3"/>
    <x v="2"/>
    <x v="1"/>
    <n v="73450"/>
    <x v="2"/>
    <n v="0"/>
    <n v="0"/>
    <x v="0"/>
    <x v="558"/>
    <n v="85"/>
    <x v="0"/>
    <n v="0"/>
    <n v="1142"/>
    <n v="51"/>
    <n v="415"/>
    <n v="90"/>
    <n v="69"/>
    <n v="37"/>
    <n v="1804"/>
    <n v="1"/>
    <n v="7"/>
    <n v="8"/>
    <n v="11"/>
    <n v="26"/>
    <n v="3"/>
    <x v="0"/>
  </r>
  <r>
    <n v="8147"/>
    <n v="1960"/>
    <x v="0"/>
    <x v="0"/>
    <x v="2"/>
    <n v="31454"/>
    <x v="3"/>
    <n v="1"/>
    <n v="1"/>
    <x v="1"/>
    <x v="544"/>
    <n v="40"/>
    <x v="1"/>
    <n v="0"/>
    <n v="28"/>
    <n v="0"/>
    <n v="11"/>
    <n v="0"/>
    <n v="0"/>
    <n v="9"/>
    <n v="48"/>
    <n v="3"/>
    <n v="2"/>
    <n v="0"/>
    <n v="3"/>
    <n v="5"/>
    <n v="8"/>
    <x v="0"/>
  </r>
  <r>
    <n v="1857"/>
    <n v="1952"/>
    <x v="4"/>
    <x v="0"/>
    <x v="0"/>
    <n v="47139"/>
    <x v="1"/>
    <n v="1"/>
    <n v="1"/>
    <x v="1"/>
    <x v="328"/>
    <n v="2"/>
    <x v="1"/>
    <n v="0"/>
    <n v="46"/>
    <n v="0"/>
    <n v="12"/>
    <n v="0"/>
    <n v="2"/>
    <n v="23"/>
    <n v="83"/>
    <n v="2"/>
    <n v="2"/>
    <n v="1"/>
    <n v="2"/>
    <n v="5"/>
    <n v="7"/>
    <x v="0"/>
  </r>
  <r>
    <n v="5207"/>
    <n v="1963"/>
    <x v="1"/>
    <x v="1"/>
    <x v="2"/>
    <n v="53378"/>
    <x v="0"/>
    <n v="1"/>
    <n v="1"/>
    <x v="1"/>
    <x v="341"/>
    <n v="41"/>
    <x v="1"/>
    <n v="0"/>
    <n v="489"/>
    <n v="6"/>
    <n v="152"/>
    <n v="8"/>
    <n v="6"/>
    <n v="132"/>
    <n v="793"/>
    <n v="10"/>
    <n v="9"/>
    <n v="4"/>
    <n v="6"/>
    <n v="19"/>
    <n v="8"/>
    <x v="1"/>
  </r>
  <r>
    <n v="11114"/>
    <n v="1970"/>
    <x v="1"/>
    <x v="0"/>
    <x v="1"/>
    <n v="19656"/>
    <x v="3"/>
    <n v="1"/>
    <n v="0"/>
    <x v="2"/>
    <x v="559"/>
    <n v="94"/>
    <x v="0"/>
    <n v="0"/>
    <n v="25"/>
    <n v="4"/>
    <n v="9"/>
    <n v="6"/>
    <n v="8"/>
    <n v="32"/>
    <n v="84"/>
    <n v="3"/>
    <n v="2"/>
    <n v="1"/>
    <n v="3"/>
    <n v="6"/>
    <n v="7"/>
    <x v="0"/>
  </r>
  <r>
    <n v="5429"/>
    <n v="1948"/>
    <x v="4"/>
    <x v="1"/>
    <x v="2"/>
    <n v="45579"/>
    <x v="1"/>
    <n v="0"/>
    <n v="1"/>
    <x v="2"/>
    <x v="132"/>
    <n v="10"/>
    <x v="1"/>
    <n v="0"/>
    <n v="145"/>
    <n v="1"/>
    <n v="33"/>
    <n v="2"/>
    <n v="1"/>
    <n v="1"/>
    <n v="183"/>
    <n v="1"/>
    <n v="4"/>
    <n v="1"/>
    <n v="4"/>
    <n v="9"/>
    <n v="6"/>
    <x v="0"/>
  </r>
  <r>
    <n v="9400"/>
    <n v="1958"/>
    <x v="0"/>
    <x v="2"/>
    <x v="0"/>
    <n v="85485"/>
    <x v="2"/>
    <n v="0"/>
    <n v="0"/>
    <x v="0"/>
    <x v="124"/>
    <n v="73"/>
    <x v="0"/>
    <n v="0"/>
    <n v="630"/>
    <n v="26"/>
    <n v="611"/>
    <n v="44"/>
    <n v="18"/>
    <n v="54"/>
    <n v="1383"/>
    <n v="1"/>
    <n v="6"/>
    <n v="6"/>
    <n v="6"/>
    <n v="18"/>
    <n v="2"/>
    <x v="0"/>
  </r>
  <r>
    <n v="1740"/>
    <n v="1944"/>
    <x v="4"/>
    <x v="0"/>
    <x v="2"/>
    <n v="55956"/>
    <x v="0"/>
    <n v="0"/>
    <n v="0"/>
    <x v="0"/>
    <x v="518"/>
    <n v="22"/>
    <x v="1"/>
    <n v="0"/>
    <n v="760"/>
    <n v="38"/>
    <n v="104"/>
    <n v="50"/>
    <n v="9"/>
    <n v="38"/>
    <n v="999"/>
    <n v="2"/>
    <n v="7"/>
    <n v="3"/>
    <n v="4"/>
    <n v="14"/>
    <n v="4"/>
    <x v="1"/>
  </r>
  <r>
    <n v="7488"/>
    <n v="1963"/>
    <x v="1"/>
    <x v="2"/>
    <x v="0"/>
    <n v="64191"/>
    <x v="0"/>
    <n v="0"/>
    <n v="1"/>
    <x v="2"/>
    <x v="521"/>
    <n v="30"/>
    <x v="1"/>
    <n v="0"/>
    <n v="420"/>
    <n v="15"/>
    <n v="186"/>
    <n v="151"/>
    <n v="38"/>
    <n v="15"/>
    <n v="825"/>
    <n v="3"/>
    <n v="5"/>
    <n v="3"/>
    <n v="13"/>
    <n v="21"/>
    <n v="3"/>
    <x v="1"/>
  </r>
  <r>
    <n v="195"/>
    <n v="1972"/>
    <x v="1"/>
    <x v="0"/>
    <x v="0"/>
    <n v="38808"/>
    <x v="1"/>
    <n v="1"/>
    <n v="0"/>
    <x v="2"/>
    <x v="548"/>
    <n v="21"/>
    <x v="1"/>
    <n v="0"/>
    <n v="125"/>
    <n v="17"/>
    <n v="52"/>
    <n v="3"/>
    <n v="19"/>
    <n v="30"/>
    <n v="246"/>
    <n v="4"/>
    <n v="5"/>
    <n v="1"/>
    <n v="4"/>
    <n v="10"/>
    <n v="8"/>
    <x v="0"/>
  </r>
  <r>
    <n v="635"/>
    <n v="1966"/>
    <x v="1"/>
    <x v="2"/>
    <x v="2"/>
    <n v="57183"/>
    <x v="0"/>
    <n v="1"/>
    <n v="1"/>
    <x v="1"/>
    <x v="120"/>
    <n v="51"/>
    <x v="0"/>
    <n v="0"/>
    <n v="464"/>
    <n v="5"/>
    <n v="64"/>
    <n v="7"/>
    <n v="0"/>
    <n v="70"/>
    <n v="610"/>
    <n v="8"/>
    <n v="9"/>
    <n v="1"/>
    <n v="7"/>
    <n v="17"/>
    <n v="8"/>
    <x v="0"/>
  </r>
  <r>
    <n v="7527"/>
    <n v="1968"/>
    <x v="1"/>
    <x v="2"/>
    <x v="3"/>
    <n v="23748"/>
    <x v="3"/>
    <n v="1"/>
    <n v="0"/>
    <x v="2"/>
    <x v="560"/>
    <n v="97"/>
    <x v="0"/>
    <n v="0"/>
    <n v="6"/>
    <n v="6"/>
    <n v="29"/>
    <n v="12"/>
    <n v="15"/>
    <n v="8"/>
    <n v="76"/>
    <n v="3"/>
    <n v="2"/>
    <n v="1"/>
    <n v="3"/>
    <n v="6"/>
    <n v="8"/>
    <x v="0"/>
  </r>
  <r>
    <n v="10319"/>
    <n v="1971"/>
    <x v="1"/>
    <x v="0"/>
    <x v="2"/>
    <n v="66303"/>
    <x v="0"/>
    <n v="0"/>
    <n v="1"/>
    <x v="2"/>
    <x v="561"/>
    <n v="56"/>
    <x v="0"/>
    <n v="0"/>
    <n v="1090"/>
    <n v="12"/>
    <n v="96"/>
    <n v="16"/>
    <n v="12"/>
    <n v="60"/>
    <n v="1286"/>
    <n v="4"/>
    <n v="3"/>
    <n v="4"/>
    <n v="11"/>
    <n v="18"/>
    <n v="8"/>
    <x v="0"/>
  </r>
  <r>
    <n v="2296"/>
    <n v="1975"/>
    <x v="3"/>
    <x v="2"/>
    <x v="2"/>
    <n v="37368"/>
    <x v="1"/>
    <n v="1"/>
    <n v="0"/>
    <x v="2"/>
    <x v="419"/>
    <n v="4"/>
    <x v="1"/>
    <n v="0"/>
    <n v="3"/>
    <n v="2"/>
    <n v="11"/>
    <n v="2"/>
    <n v="2"/>
    <n v="10"/>
    <n v="30"/>
    <n v="1"/>
    <n v="1"/>
    <n v="0"/>
    <n v="2"/>
    <n v="3"/>
    <n v="6"/>
    <x v="0"/>
  </r>
  <r>
    <n v="10637"/>
    <n v="1964"/>
    <x v="1"/>
    <x v="0"/>
    <x v="2"/>
    <n v="40800"/>
    <x v="1"/>
    <n v="1"/>
    <n v="2"/>
    <x v="3"/>
    <x v="415"/>
    <n v="77"/>
    <x v="0"/>
    <n v="1"/>
    <n v="24"/>
    <n v="0"/>
    <n v="27"/>
    <n v="8"/>
    <n v="30"/>
    <n v="10"/>
    <n v="99"/>
    <n v="2"/>
    <n v="3"/>
    <n v="0"/>
    <n v="3"/>
    <n v="6"/>
    <n v="7"/>
    <x v="0"/>
  </r>
  <r>
    <n v="2931"/>
    <n v="1978"/>
    <x v="3"/>
    <x v="0"/>
    <x v="3"/>
    <n v="71847"/>
    <x v="2"/>
    <n v="0"/>
    <n v="0"/>
    <x v="0"/>
    <x v="402"/>
    <n v="95"/>
    <x v="0"/>
    <n v="0"/>
    <n v="737"/>
    <n v="21"/>
    <n v="106"/>
    <n v="55"/>
    <n v="63"/>
    <n v="210"/>
    <n v="1192"/>
    <n v="0"/>
    <n v="6"/>
    <n v="7"/>
    <n v="9"/>
    <n v="22"/>
    <n v="3"/>
    <x v="0"/>
  </r>
  <r>
    <n v="907"/>
    <n v="1975"/>
    <x v="3"/>
    <x v="0"/>
    <x v="2"/>
    <n v="46149"/>
    <x v="1"/>
    <n v="0"/>
    <n v="1"/>
    <x v="2"/>
    <x v="271"/>
    <n v="36"/>
    <x v="1"/>
    <n v="0"/>
    <n v="254"/>
    <n v="6"/>
    <n v="71"/>
    <n v="4"/>
    <n v="0"/>
    <n v="27"/>
    <n v="362"/>
    <n v="5"/>
    <n v="5"/>
    <n v="1"/>
    <n v="7"/>
    <n v="13"/>
    <n v="5"/>
    <x v="0"/>
  </r>
  <r>
    <n v="3698"/>
    <n v="1983"/>
    <x v="2"/>
    <x v="0"/>
    <x v="1"/>
    <n v="78687"/>
    <x v="2"/>
    <n v="0"/>
    <n v="0"/>
    <x v="0"/>
    <x v="445"/>
    <n v="13"/>
    <x v="1"/>
    <n v="0"/>
    <n v="817"/>
    <n v="185"/>
    <n v="687"/>
    <n v="145"/>
    <n v="55"/>
    <n v="241"/>
    <n v="2130"/>
    <n v="1"/>
    <n v="4"/>
    <n v="6"/>
    <n v="8"/>
    <n v="18"/>
    <n v="2"/>
    <x v="1"/>
  </r>
  <r>
    <n v="9516"/>
    <n v="1971"/>
    <x v="1"/>
    <x v="2"/>
    <x v="3"/>
    <n v="49118"/>
    <x v="1"/>
    <n v="0"/>
    <n v="0"/>
    <x v="0"/>
    <x v="283"/>
    <n v="90"/>
    <x v="0"/>
    <n v="0"/>
    <n v="620"/>
    <n v="54"/>
    <n v="239"/>
    <n v="99"/>
    <n v="98"/>
    <n v="119"/>
    <n v="1229"/>
    <n v="2"/>
    <n v="9"/>
    <n v="7"/>
    <n v="10"/>
    <n v="26"/>
    <n v="7"/>
    <x v="0"/>
  </r>
  <r>
    <n v="679"/>
    <n v="1957"/>
    <x v="0"/>
    <x v="1"/>
    <x v="2"/>
    <n v="37633"/>
    <x v="1"/>
    <n v="1"/>
    <n v="1"/>
    <x v="1"/>
    <x v="562"/>
    <n v="49"/>
    <x v="0"/>
    <n v="0"/>
    <n v="13"/>
    <n v="4"/>
    <n v="20"/>
    <n v="0"/>
    <n v="0"/>
    <n v="1"/>
    <n v="38"/>
    <n v="2"/>
    <n v="1"/>
    <n v="0"/>
    <n v="3"/>
    <n v="4"/>
    <n v="9"/>
    <x v="0"/>
  </r>
  <r>
    <n v="7384"/>
    <n v="1951"/>
    <x v="4"/>
    <x v="2"/>
    <x v="1"/>
    <n v="39767"/>
    <x v="1"/>
    <n v="0"/>
    <n v="0"/>
    <x v="0"/>
    <x v="545"/>
    <n v="18"/>
    <x v="1"/>
    <n v="0"/>
    <n v="113"/>
    <n v="61"/>
    <n v="204"/>
    <n v="34"/>
    <n v="26"/>
    <n v="47"/>
    <n v="485"/>
    <n v="2"/>
    <n v="7"/>
    <n v="1"/>
    <n v="7"/>
    <n v="15"/>
    <n v="8"/>
    <x v="0"/>
  </r>
  <r>
    <n v="5043"/>
    <n v="1951"/>
    <x v="4"/>
    <x v="3"/>
    <x v="2"/>
    <n v="26997"/>
    <x v="3"/>
    <n v="0"/>
    <n v="0"/>
    <x v="0"/>
    <x v="134"/>
    <n v="89"/>
    <x v="0"/>
    <n v="0"/>
    <n v="7"/>
    <n v="23"/>
    <n v="78"/>
    <n v="133"/>
    <n v="49"/>
    <n v="144"/>
    <n v="434"/>
    <n v="2"/>
    <n v="4"/>
    <n v="2"/>
    <n v="5"/>
    <n v="11"/>
    <n v="7"/>
    <x v="0"/>
  </r>
  <r>
    <n v="5267"/>
    <n v="1970"/>
    <x v="1"/>
    <x v="0"/>
    <x v="3"/>
    <n v="33986"/>
    <x v="3"/>
    <n v="1"/>
    <n v="0"/>
    <x v="2"/>
    <x v="212"/>
    <n v="43"/>
    <x v="1"/>
    <n v="0"/>
    <n v="16"/>
    <n v="2"/>
    <n v="18"/>
    <n v="2"/>
    <n v="1"/>
    <n v="5"/>
    <n v="44"/>
    <n v="1"/>
    <n v="1"/>
    <n v="0"/>
    <n v="3"/>
    <n v="4"/>
    <n v="7"/>
    <x v="0"/>
  </r>
  <r>
    <n v="339"/>
    <n v="1972"/>
    <x v="1"/>
    <x v="1"/>
    <x v="2"/>
    <n v="57091"/>
    <x v="0"/>
    <n v="0"/>
    <n v="1"/>
    <x v="2"/>
    <x v="210"/>
    <n v="82"/>
    <x v="0"/>
    <n v="0"/>
    <n v="462"/>
    <n v="0"/>
    <n v="24"/>
    <n v="6"/>
    <n v="0"/>
    <n v="4"/>
    <n v="496"/>
    <n v="2"/>
    <n v="9"/>
    <n v="2"/>
    <n v="5"/>
    <n v="16"/>
    <n v="7"/>
    <x v="0"/>
  </r>
  <r>
    <n v="2516"/>
    <n v="1969"/>
    <x v="1"/>
    <x v="2"/>
    <x v="2"/>
    <n v="46831"/>
    <x v="1"/>
    <n v="1"/>
    <n v="1"/>
    <x v="1"/>
    <x v="563"/>
    <n v="84"/>
    <x v="0"/>
    <n v="0"/>
    <n v="22"/>
    <n v="2"/>
    <n v="10"/>
    <n v="6"/>
    <n v="4"/>
    <n v="34"/>
    <n v="78"/>
    <n v="2"/>
    <n v="1"/>
    <n v="2"/>
    <n v="2"/>
    <n v="5"/>
    <n v="4"/>
    <x v="0"/>
  </r>
  <r>
    <n v="9010"/>
    <n v="1972"/>
    <x v="1"/>
    <x v="2"/>
    <x v="2"/>
    <n v="83151"/>
    <x v="2"/>
    <n v="0"/>
    <n v="0"/>
    <x v="0"/>
    <x v="508"/>
    <n v="80"/>
    <x v="0"/>
    <n v="0"/>
    <n v="968"/>
    <n v="147"/>
    <n v="842"/>
    <n v="137"/>
    <n v="42"/>
    <n v="210"/>
    <n v="2346"/>
    <n v="1"/>
    <n v="5"/>
    <n v="7"/>
    <n v="10"/>
    <n v="22"/>
    <n v="2"/>
    <x v="0"/>
  </r>
  <r>
    <n v="378"/>
    <n v="1971"/>
    <x v="1"/>
    <x v="0"/>
    <x v="2"/>
    <n v="52531"/>
    <x v="0"/>
    <n v="0"/>
    <n v="0"/>
    <x v="0"/>
    <x v="284"/>
    <n v="68"/>
    <x v="0"/>
    <n v="0"/>
    <n v="283"/>
    <n v="112"/>
    <n v="151"/>
    <n v="51"/>
    <n v="72"/>
    <n v="125"/>
    <n v="794"/>
    <n v="2"/>
    <n v="7"/>
    <n v="2"/>
    <n v="10"/>
    <n v="19"/>
    <n v="6"/>
    <x v="0"/>
  </r>
  <r>
    <n v="4808"/>
    <n v="1956"/>
    <x v="0"/>
    <x v="0"/>
    <x v="2"/>
    <n v="15759"/>
    <x v="3"/>
    <n v="0"/>
    <n v="0"/>
    <x v="0"/>
    <x v="564"/>
    <n v="12"/>
    <x v="1"/>
    <n v="0"/>
    <n v="1"/>
    <n v="2"/>
    <n v="5"/>
    <n v="6"/>
    <n v="0"/>
    <n v="3"/>
    <n v="17"/>
    <n v="1"/>
    <n v="1"/>
    <n v="0"/>
    <n v="2"/>
    <n v="3"/>
    <n v="7"/>
    <x v="0"/>
  </r>
  <r>
    <n v="7628"/>
    <n v="1973"/>
    <x v="3"/>
    <x v="2"/>
    <x v="2"/>
    <n v="43050"/>
    <x v="1"/>
    <n v="1"/>
    <n v="0"/>
    <x v="2"/>
    <x v="171"/>
    <n v="10"/>
    <x v="1"/>
    <n v="0"/>
    <n v="30"/>
    <n v="5"/>
    <n v="24"/>
    <n v="6"/>
    <n v="3"/>
    <n v="8"/>
    <n v="76"/>
    <n v="2"/>
    <n v="2"/>
    <n v="0"/>
    <n v="4"/>
    <n v="6"/>
    <n v="5"/>
    <x v="0"/>
  </r>
  <r>
    <n v="7128"/>
    <n v="1977"/>
    <x v="3"/>
    <x v="1"/>
    <x v="0"/>
    <n v="42997"/>
    <x v="1"/>
    <n v="1"/>
    <n v="1"/>
    <x v="1"/>
    <x v="263"/>
    <n v="91"/>
    <x v="0"/>
    <n v="0"/>
    <n v="4"/>
    <n v="0"/>
    <n v="5"/>
    <n v="0"/>
    <n v="1"/>
    <n v="5"/>
    <n v="15"/>
    <n v="1"/>
    <n v="1"/>
    <n v="0"/>
    <n v="2"/>
    <n v="3"/>
    <n v="7"/>
    <x v="0"/>
  </r>
  <r>
    <n v="2811"/>
    <n v="1963"/>
    <x v="1"/>
    <x v="1"/>
    <x v="0"/>
    <n v="48918"/>
    <x v="1"/>
    <n v="1"/>
    <n v="1"/>
    <x v="1"/>
    <x v="565"/>
    <n v="21"/>
    <x v="1"/>
    <n v="0"/>
    <n v="52"/>
    <n v="0"/>
    <n v="9"/>
    <n v="0"/>
    <n v="0"/>
    <n v="1"/>
    <n v="62"/>
    <n v="2"/>
    <n v="1"/>
    <n v="0"/>
    <n v="4"/>
    <n v="5"/>
    <n v="4"/>
    <x v="0"/>
  </r>
  <r>
    <n v="3551"/>
    <n v="1954"/>
    <x v="0"/>
    <x v="2"/>
    <x v="1"/>
    <n v="60033"/>
    <x v="0"/>
    <n v="0"/>
    <n v="1"/>
    <x v="2"/>
    <x v="370"/>
    <n v="28"/>
    <x v="1"/>
    <n v="0"/>
    <n v="62"/>
    <n v="1"/>
    <n v="57"/>
    <n v="19"/>
    <n v="11"/>
    <n v="48"/>
    <n v="198"/>
    <n v="2"/>
    <n v="2"/>
    <n v="1"/>
    <n v="5"/>
    <n v="8"/>
    <n v="2"/>
    <x v="0"/>
  </r>
  <r>
    <n v="1663"/>
    <n v="1978"/>
    <x v="3"/>
    <x v="1"/>
    <x v="1"/>
    <n v="34043"/>
    <x v="3"/>
    <n v="1"/>
    <n v="0"/>
    <x v="2"/>
    <x v="512"/>
    <n v="97"/>
    <x v="0"/>
    <n v="0"/>
    <n v="20"/>
    <n v="2"/>
    <n v="14"/>
    <n v="3"/>
    <n v="0"/>
    <n v="10"/>
    <n v="49"/>
    <n v="1"/>
    <n v="2"/>
    <n v="0"/>
    <n v="2"/>
    <n v="4"/>
    <n v="9"/>
    <x v="0"/>
  </r>
  <r>
    <n v="5543"/>
    <n v="1966"/>
    <x v="1"/>
    <x v="0"/>
    <x v="1"/>
    <n v="57811"/>
    <x v="0"/>
    <n v="0"/>
    <n v="1"/>
    <x v="2"/>
    <x v="566"/>
    <n v="49"/>
    <x v="0"/>
    <n v="0"/>
    <n v="545"/>
    <n v="7"/>
    <n v="114"/>
    <n v="37"/>
    <n v="21"/>
    <n v="78"/>
    <n v="802"/>
    <n v="5"/>
    <n v="7"/>
    <n v="2"/>
    <n v="11"/>
    <n v="20"/>
    <n v="5"/>
    <x v="0"/>
  </r>
  <r>
    <n v="1577"/>
    <n v="1946"/>
    <x v="4"/>
    <x v="0"/>
    <x v="2"/>
    <n v="78569"/>
    <x v="2"/>
    <n v="0"/>
    <n v="0"/>
    <x v="0"/>
    <x v="567"/>
    <n v="14"/>
    <x v="1"/>
    <n v="0"/>
    <n v="558"/>
    <n v="79"/>
    <n v="622"/>
    <n v="207"/>
    <n v="175"/>
    <n v="95"/>
    <n v="1736"/>
    <n v="1"/>
    <n v="4"/>
    <n v="6"/>
    <n v="4"/>
    <n v="14"/>
    <n v="1"/>
    <x v="1"/>
  </r>
  <r>
    <n v="10641"/>
    <n v="1978"/>
    <x v="3"/>
    <x v="0"/>
    <x v="0"/>
    <n v="7500"/>
    <x v="3"/>
    <n v="1"/>
    <n v="1"/>
    <x v="1"/>
    <x v="568"/>
    <n v="5"/>
    <x v="1"/>
    <n v="0"/>
    <n v="6"/>
    <n v="5"/>
    <n v="4"/>
    <n v="13"/>
    <n v="4"/>
    <n v="25"/>
    <n v="57"/>
    <n v="4"/>
    <n v="2"/>
    <n v="1"/>
    <n v="3"/>
    <n v="6"/>
    <n v="6"/>
    <x v="0"/>
  </r>
  <r>
    <n v="5336"/>
    <n v="1971"/>
    <x v="1"/>
    <x v="2"/>
    <x v="1"/>
    <n v="157733"/>
    <x v="2"/>
    <n v="1"/>
    <n v="0"/>
    <x v="2"/>
    <x v="207"/>
    <n v="37"/>
    <x v="1"/>
    <n v="0"/>
    <n v="39"/>
    <n v="1"/>
    <n v="9"/>
    <n v="2"/>
    <n v="0"/>
    <n v="8"/>
    <n v="59"/>
    <n v="0"/>
    <n v="1"/>
    <n v="0"/>
    <n v="1"/>
    <n v="2"/>
    <n v="1"/>
    <x v="0"/>
  </r>
  <r>
    <n v="1878"/>
    <n v="1985"/>
    <x v="2"/>
    <x v="2"/>
    <x v="2"/>
    <n v="23148"/>
    <x v="3"/>
    <n v="0"/>
    <n v="0"/>
    <x v="0"/>
    <x v="513"/>
    <n v="83"/>
    <x v="0"/>
    <n v="0"/>
    <n v="4"/>
    <n v="6"/>
    <n v="8"/>
    <n v="6"/>
    <n v="3"/>
    <n v="10"/>
    <n v="37"/>
    <n v="1"/>
    <n v="2"/>
    <n v="0"/>
    <n v="3"/>
    <n v="5"/>
    <n v="7"/>
    <x v="0"/>
  </r>
  <r>
    <n v="3099"/>
    <n v="1970"/>
    <x v="1"/>
    <x v="0"/>
    <x v="3"/>
    <n v="44267"/>
    <x v="1"/>
    <n v="1"/>
    <n v="1"/>
    <x v="1"/>
    <x v="536"/>
    <n v="48"/>
    <x v="1"/>
    <n v="0"/>
    <n v="183"/>
    <n v="5"/>
    <n v="65"/>
    <n v="3"/>
    <n v="5"/>
    <n v="49"/>
    <n v="310"/>
    <n v="5"/>
    <n v="5"/>
    <n v="2"/>
    <n v="4"/>
    <n v="11"/>
    <n v="9"/>
    <x v="0"/>
  </r>
  <r>
    <n v="6055"/>
    <n v="1979"/>
    <x v="3"/>
    <x v="0"/>
    <x v="2"/>
    <n v="71626"/>
    <x v="2"/>
    <n v="0"/>
    <n v="0"/>
    <x v="0"/>
    <x v="569"/>
    <n v="94"/>
    <x v="0"/>
    <n v="0"/>
    <n v="546"/>
    <n v="72"/>
    <n v="376"/>
    <n v="94"/>
    <n v="145"/>
    <n v="72"/>
    <n v="1305"/>
    <n v="1"/>
    <n v="5"/>
    <n v="5"/>
    <n v="8"/>
    <n v="18"/>
    <n v="3"/>
    <x v="0"/>
  </r>
  <r>
    <n v="5841"/>
    <n v="1966"/>
    <x v="1"/>
    <x v="0"/>
    <x v="1"/>
    <n v="60894"/>
    <x v="0"/>
    <n v="0"/>
    <n v="1"/>
    <x v="2"/>
    <x v="553"/>
    <n v="61"/>
    <x v="0"/>
    <n v="0"/>
    <n v="606"/>
    <n v="7"/>
    <n v="155"/>
    <n v="10"/>
    <n v="0"/>
    <n v="54"/>
    <n v="832"/>
    <n v="5"/>
    <n v="10"/>
    <n v="3"/>
    <n v="8"/>
    <n v="21"/>
    <n v="7"/>
    <x v="0"/>
  </r>
  <r>
    <n v="3972"/>
    <n v="1976"/>
    <x v="3"/>
    <x v="0"/>
    <x v="1"/>
    <n v="50200"/>
    <x v="1"/>
    <n v="1"/>
    <n v="1"/>
    <x v="1"/>
    <x v="256"/>
    <n v="70"/>
    <x v="0"/>
    <n v="0"/>
    <n v="266"/>
    <n v="6"/>
    <n v="51"/>
    <n v="8"/>
    <n v="6"/>
    <n v="64"/>
    <n v="401"/>
    <n v="6"/>
    <n v="7"/>
    <n v="1"/>
    <n v="5"/>
    <n v="13"/>
    <n v="8"/>
    <x v="0"/>
  </r>
  <r>
    <n v="4394"/>
    <n v="1965"/>
    <x v="1"/>
    <x v="1"/>
    <x v="2"/>
    <n v="81051"/>
    <x v="2"/>
    <n v="0"/>
    <n v="0"/>
    <x v="0"/>
    <x v="146"/>
    <n v="43"/>
    <x v="1"/>
    <n v="0"/>
    <n v="1142"/>
    <n v="29"/>
    <n v="249"/>
    <n v="38"/>
    <n v="29"/>
    <n v="14"/>
    <n v="1501"/>
    <n v="1"/>
    <n v="5"/>
    <n v="5"/>
    <n v="12"/>
    <n v="22"/>
    <n v="2"/>
    <x v="1"/>
  </r>
  <r>
    <n v="5758"/>
    <n v="1982"/>
    <x v="3"/>
    <x v="0"/>
    <x v="2"/>
    <n v="65169"/>
    <x v="0"/>
    <n v="0"/>
    <n v="0"/>
    <x v="0"/>
    <x v="493"/>
    <n v="23"/>
    <x v="1"/>
    <n v="0"/>
    <n v="1074"/>
    <n v="0"/>
    <n v="69"/>
    <n v="0"/>
    <n v="0"/>
    <n v="46"/>
    <n v="1189"/>
    <n v="1"/>
    <n v="10"/>
    <n v="4"/>
    <n v="13"/>
    <n v="27"/>
    <n v="6"/>
    <x v="1"/>
  </r>
  <r>
    <n v="6658"/>
    <n v="1972"/>
    <x v="1"/>
    <x v="0"/>
    <x v="1"/>
    <n v="59868"/>
    <x v="0"/>
    <n v="0"/>
    <n v="1"/>
    <x v="2"/>
    <x v="570"/>
    <n v="37"/>
    <x v="1"/>
    <n v="0"/>
    <n v="771"/>
    <n v="51"/>
    <n v="154"/>
    <n v="54"/>
    <n v="10"/>
    <n v="154"/>
    <n v="1194"/>
    <n v="7"/>
    <n v="11"/>
    <n v="2"/>
    <n v="12"/>
    <n v="25"/>
    <n v="6"/>
    <x v="1"/>
  </r>
  <r>
    <n v="4603"/>
    <n v="1960"/>
    <x v="0"/>
    <x v="1"/>
    <x v="2"/>
    <n v="65695"/>
    <x v="0"/>
    <n v="0"/>
    <n v="1"/>
    <x v="2"/>
    <x v="571"/>
    <n v="50"/>
    <x v="0"/>
    <n v="0"/>
    <n v="371"/>
    <n v="32"/>
    <n v="189"/>
    <n v="0"/>
    <n v="58"/>
    <n v="6"/>
    <n v="656"/>
    <n v="2"/>
    <n v="5"/>
    <n v="4"/>
    <n v="10"/>
    <n v="19"/>
    <n v="4"/>
    <x v="0"/>
  </r>
  <r>
    <n v="8427"/>
    <n v="1956"/>
    <x v="0"/>
    <x v="2"/>
    <x v="0"/>
    <n v="64857"/>
    <x v="0"/>
    <n v="0"/>
    <n v="0"/>
    <x v="0"/>
    <x v="210"/>
    <n v="78"/>
    <x v="0"/>
    <n v="0"/>
    <n v="556"/>
    <n v="14"/>
    <n v="717"/>
    <n v="210"/>
    <n v="0"/>
    <n v="43"/>
    <n v="1540"/>
    <n v="1"/>
    <n v="7"/>
    <n v="5"/>
    <n v="10"/>
    <n v="22"/>
    <n v="4"/>
    <x v="0"/>
  </r>
  <r>
    <n v="10260"/>
    <n v="1965"/>
    <x v="1"/>
    <x v="2"/>
    <x v="1"/>
    <n v="45143"/>
    <x v="1"/>
    <n v="0"/>
    <n v="1"/>
    <x v="2"/>
    <x v="572"/>
    <n v="74"/>
    <x v="0"/>
    <n v="0"/>
    <n v="202"/>
    <n v="5"/>
    <n v="74"/>
    <n v="11"/>
    <n v="5"/>
    <n v="14"/>
    <n v="311"/>
    <n v="3"/>
    <n v="6"/>
    <n v="1"/>
    <n v="5"/>
    <n v="12"/>
    <n v="7"/>
    <x v="0"/>
  </r>
  <r>
    <n v="7143"/>
    <n v="1955"/>
    <x v="0"/>
    <x v="2"/>
    <x v="1"/>
    <n v="74805"/>
    <x v="2"/>
    <n v="0"/>
    <n v="1"/>
    <x v="2"/>
    <x v="373"/>
    <n v="14"/>
    <x v="1"/>
    <n v="0"/>
    <n v="209"/>
    <n v="162"/>
    <n v="209"/>
    <n v="41"/>
    <n v="162"/>
    <n v="37"/>
    <n v="820"/>
    <n v="5"/>
    <n v="4"/>
    <n v="7"/>
    <n v="10"/>
    <n v="21"/>
    <n v="2"/>
    <x v="1"/>
  </r>
  <r>
    <n v="8789"/>
    <n v="1989"/>
    <x v="2"/>
    <x v="2"/>
    <x v="2"/>
    <n v="59060"/>
    <x v="0"/>
    <n v="1"/>
    <n v="0"/>
    <x v="2"/>
    <x v="20"/>
    <n v="77"/>
    <x v="0"/>
    <n v="0"/>
    <n v="35"/>
    <n v="40"/>
    <n v="111"/>
    <n v="36"/>
    <n v="40"/>
    <n v="12"/>
    <n v="274"/>
    <n v="3"/>
    <n v="3"/>
    <n v="1"/>
    <n v="7"/>
    <n v="11"/>
    <n v="4"/>
    <x v="0"/>
  </r>
  <r>
    <n v="6197"/>
    <n v="1962"/>
    <x v="0"/>
    <x v="1"/>
    <x v="0"/>
    <n v="27238"/>
    <x v="3"/>
    <n v="1"/>
    <n v="1"/>
    <x v="1"/>
    <x v="90"/>
    <n v="39"/>
    <x v="1"/>
    <n v="0"/>
    <n v="37"/>
    <n v="0"/>
    <n v="17"/>
    <n v="0"/>
    <n v="0"/>
    <n v="3"/>
    <n v="57"/>
    <n v="3"/>
    <n v="3"/>
    <n v="0"/>
    <n v="3"/>
    <n v="6"/>
    <n v="9"/>
    <x v="0"/>
  </r>
  <r>
    <n v="4554"/>
    <n v="1965"/>
    <x v="1"/>
    <x v="0"/>
    <x v="1"/>
    <n v="47009"/>
    <x v="1"/>
    <n v="0"/>
    <n v="1"/>
    <x v="2"/>
    <x v="573"/>
    <n v="89"/>
    <x v="0"/>
    <n v="0"/>
    <n v="171"/>
    <n v="45"/>
    <n v="73"/>
    <n v="59"/>
    <n v="10"/>
    <n v="90"/>
    <n v="448"/>
    <n v="4"/>
    <n v="3"/>
    <n v="2"/>
    <n v="8"/>
    <n v="13"/>
    <n v="4"/>
    <x v="0"/>
  </r>
  <r>
    <n v="4937"/>
    <n v="1973"/>
    <x v="3"/>
    <x v="2"/>
    <x v="2"/>
    <n v="46094"/>
    <x v="1"/>
    <n v="1"/>
    <n v="1"/>
    <x v="1"/>
    <x v="574"/>
    <n v="62"/>
    <x v="0"/>
    <n v="0"/>
    <n v="12"/>
    <n v="2"/>
    <n v="20"/>
    <n v="3"/>
    <n v="2"/>
    <n v="5"/>
    <n v="44"/>
    <n v="1"/>
    <n v="1"/>
    <n v="0"/>
    <n v="3"/>
    <n v="4"/>
    <n v="7"/>
    <x v="0"/>
  </r>
  <r>
    <n v="8749"/>
    <n v="1984"/>
    <x v="2"/>
    <x v="0"/>
    <x v="1"/>
    <n v="37235"/>
    <x v="1"/>
    <n v="1"/>
    <n v="0"/>
    <x v="2"/>
    <x v="575"/>
    <n v="68"/>
    <x v="0"/>
    <n v="0"/>
    <n v="20"/>
    <n v="2"/>
    <n v="9"/>
    <n v="4"/>
    <n v="6"/>
    <n v="20"/>
    <n v="61"/>
    <n v="1"/>
    <n v="1"/>
    <n v="1"/>
    <n v="2"/>
    <n v="4"/>
    <n v="4"/>
    <x v="0"/>
  </r>
  <r>
    <n v="1650"/>
    <n v="1960"/>
    <x v="0"/>
    <x v="2"/>
    <x v="2"/>
    <n v="81843"/>
    <x v="2"/>
    <n v="0"/>
    <n v="0"/>
    <x v="0"/>
    <x v="107"/>
    <n v="13"/>
    <x v="1"/>
    <n v="0"/>
    <n v="779"/>
    <n v="86"/>
    <n v="537"/>
    <n v="34"/>
    <n v="69"/>
    <n v="138"/>
    <n v="1643"/>
    <n v="1"/>
    <n v="5"/>
    <n v="9"/>
    <n v="12"/>
    <n v="26"/>
    <n v="3"/>
    <x v="1"/>
  </r>
  <r>
    <n v="10377"/>
    <n v="1958"/>
    <x v="0"/>
    <x v="2"/>
    <x v="1"/>
    <n v="46692"/>
    <x v="1"/>
    <n v="0"/>
    <n v="1"/>
    <x v="2"/>
    <x v="8"/>
    <n v="37"/>
    <x v="1"/>
    <n v="0"/>
    <n v="170"/>
    <n v="6"/>
    <n v="97"/>
    <n v="24"/>
    <n v="12"/>
    <n v="88"/>
    <n v="397"/>
    <n v="3"/>
    <n v="6"/>
    <n v="1"/>
    <n v="5"/>
    <n v="12"/>
    <n v="6"/>
    <x v="0"/>
  </r>
  <r>
    <n v="9206"/>
    <n v="1968"/>
    <x v="1"/>
    <x v="0"/>
    <x v="1"/>
    <n v="77382"/>
    <x v="2"/>
    <n v="0"/>
    <n v="1"/>
    <x v="2"/>
    <x v="368"/>
    <n v="36"/>
    <x v="1"/>
    <n v="0"/>
    <n v="491"/>
    <n v="48"/>
    <n v="231"/>
    <n v="112"/>
    <n v="105"/>
    <n v="134"/>
    <n v="1121"/>
    <n v="2"/>
    <n v="5"/>
    <n v="7"/>
    <n v="12"/>
    <n v="24"/>
    <n v="1"/>
    <x v="1"/>
  </r>
  <r>
    <n v="10971"/>
    <n v="1977"/>
    <x v="3"/>
    <x v="0"/>
    <x v="0"/>
    <n v="37774"/>
    <x v="1"/>
    <n v="2"/>
    <n v="0"/>
    <x v="1"/>
    <x v="576"/>
    <n v="28"/>
    <x v="1"/>
    <n v="1"/>
    <n v="173"/>
    <n v="8"/>
    <n v="107"/>
    <n v="7"/>
    <n v="2"/>
    <n v="176"/>
    <n v="473"/>
    <n v="4"/>
    <n v="7"/>
    <n v="2"/>
    <n v="3"/>
    <n v="12"/>
    <n v="9"/>
    <x v="0"/>
  </r>
  <r>
    <n v="6398"/>
    <n v="1974"/>
    <x v="3"/>
    <x v="3"/>
    <x v="2"/>
    <n v="18393"/>
    <x v="3"/>
    <n v="1"/>
    <n v="0"/>
    <x v="2"/>
    <x v="370"/>
    <n v="2"/>
    <x v="1"/>
    <n v="0"/>
    <n v="7"/>
    <n v="10"/>
    <n v="13"/>
    <n v="16"/>
    <n v="0"/>
    <n v="4"/>
    <n v="50"/>
    <n v="2"/>
    <n v="3"/>
    <n v="0"/>
    <n v="3"/>
    <n v="6"/>
    <n v="8"/>
    <x v="0"/>
  </r>
  <r>
    <n v="9212"/>
    <n v="1962"/>
    <x v="0"/>
    <x v="2"/>
    <x v="2"/>
    <n v="72828"/>
    <x v="2"/>
    <n v="0"/>
    <n v="1"/>
    <x v="2"/>
    <x v="477"/>
    <n v="17"/>
    <x v="1"/>
    <n v="0"/>
    <n v="1205"/>
    <n v="0"/>
    <n v="235"/>
    <n v="19"/>
    <n v="14"/>
    <n v="205"/>
    <n v="1678"/>
    <n v="6"/>
    <n v="6"/>
    <n v="3"/>
    <n v="13"/>
    <n v="22"/>
    <n v="7"/>
    <x v="1"/>
  </r>
  <r>
    <n v="7937"/>
    <n v="1982"/>
    <x v="3"/>
    <x v="0"/>
    <x v="2"/>
    <n v="24711"/>
    <x v="3"/>
    <n v="0"/>
    <n v="0"/>
    <x v="0"/>
    <x v="384"/>
    <n v="86"/>
    <x v="0"/>
    <n v="0"/>
    <n v="10"/>
    <n v="7"/>
    <n v="25"/>
    <n v="6"/>
    <n v="3"/>
    <n v="7"/>
    <n v="58"/>
    <n v="1"/>
    <n v="3"/>
    <n v="0"/>
    <n v="3"/>
    <n v="6"/>
    <n v="7"/>
    <x v="0"/>
  </r>
  <r>
    <n v="839"/>
    <n v="1975"/>
    <x v="3"/>
    <x v="1"/>
    <x v="2"/>
    <n v="45503"/>
    <x v="1"/>
    <n v="1"/>
    <n v="0"/>
    <x v="2"/>
    <x v="417"/>
    <n v="54"/>
    <x v="0"/>
    <n v="0"/>
    <n v="97"/>
    <n v="4"/>
    <n v="44"/>
    <n v="6"/>
    <n v="1"/>
    <n v="18"/>
    <n v="170"/>
    <n v="1"/>
    <n v="3"/>
    <n v="1"/>
    <n v="4"/>
    <n v="8"/>
    <n v="5"/>
    <x v="0"/>
  </r>
  <r>
    <n v="4246"/>
    <n v="1982"/>
    <x v="3"/>
    <x v="2"/>
    <x v="0"/>
    <n v="6560"/>
    <x v="3"/>
    <n v="0"/>
    <n v="0"/>
    <x v="0"/>
    <x v="460"/>
    <n v="2"/>
    <x v="1"/>
    <n v="0"/>
    <n v="67"/>
    <n v="11"/>
    <n v="26"/>
    <n v="4"/>
    <n v="3"/>
    <n v="262"/>
    <n v="373"/>
    <n v="0"/>
    <n v="1"/>
    <n v="0"/>
    <n v="1"/>
    <n v="2"/>
    <n v="17"/>
    <x v="0"/>
  </r>
  <r>
    <n v="158"/>
    <n v="1945"/>
    <x v="4"/>
    <x v="1"/>
    <x v="1"/>
    <n v="71604"/>
    <x v="2"/>
    <n v="0"/>
    <n v="0"/>
    <x v="0"/>
    <x v="498"/>
    <n v="3"/>
    <x v="1"/>
    <n v="0"/>
    <n v="345"/>
    <n v="53"/>
    <n v="528"/>
    <n v="98"/>
    <n v="75"/>
    <n v="97"/>
    <n v="1196"/>
    <n v="1"/>
    <n v="8"/>
    <n v="3"/>
    <n v="5"/>
    <n v="16"/>
    <n v="4"/>
    <x v="1"/>
  </r>
  <r>
    <n v="4832"/>
    <n v="1979"/>
    <x v="3"/>
    <x v="0"/>
    <x v="2"/>
    <n v="27244"/>
    <x v="3"/>
    <n v="1"/>
    <n v="0"/>
    <x v="2"/>
    <x v="126"/>
    <n v="84"/>
    <x v="0"/>
    <n v="0"/>
    <n v="6"/>
    <n v="5"/>
    <n v="17"/>
    <n v="3"/>
    <n v="24"/>
    <n v="46"/>
    <n v="101"/>
    <n v="2"/>
    <n v="2"/>
    <n v="2"/>
    <n v="2"/>
    <n v="6"/>
    <n v="7"/>
    <x v="0"/>
  </r>
  <r>
    <n v="5621"/>
    <n v="1969"/>
    <x v="1"/>
    <x v="0"/>
    <x v="2"/>
    <n v="48752"/>
    <x v="1"/>
    <n v="1"/>
    <n v="1"/>
    <x v="1"/>
    <x v="100"/>
    <n v="8"/>
    <x v="1"/>
    <n v="0"/>
    <n v="73"/>
    <n v="57"/>
    <n v="100"/>
    <n v="71"/>
    <n v="15"/>
    <n v="0"/>
    <n v="316"/>
    <n v="5"/>
    <n v="6"/>
    <n v="1"/>
    <n v="5"/>
    <n v="12"/>
    <n v="9"/>
    <x v="0"/>
  </r>
  <r>
    <n v="1945"/>
    <n v="1962"/>
    <x v="0"/>
    <x v="0"/>
    <x v="2"/>
    <n v="71434"/>
    <x v="2"/>
    <n v="0"/>
    <n v="1"/>
    <x v="2"/>
    <x v="360"/>
    <n v="4"/>
    <x v="1"/>
    <n v="0"/>
    <n v="711"/>
    <n v="36"/>
    <n v="217"/>
    <n v="172"/>
    <n v="96"/>
    <n v="168"/>
    <n v="1400"/>
    <n v="3"/>
    <n v="7"/>
    <n v="4"/>
    <n v="7"/>
    <n v="18"/>
    <n v="4"/>
    <x v="1"/>
  </r>
  <r>
    <n v="5147"/>
    <n v="1948"/>
    <x v="4"/>
    <x v="0"/>
    <x v="0"/>
    <n v="90842"/>
    <x v="2"/>
    <n v="0"/>
    <n v="0"/>
    <x v="0"/>
    <x v="243"/>
    <n v="57"/>
    <x v="0"/>
    <n v="0"/>
    <n v="774"/>
    <n v="70"/>
    <n v="118"/>
    <n v="182"/>
    <n v="187"/>
    <n v="93"/>
    <n v="1424"/>
    <n v="1"/>
    <n v="4"/>
    <n v="9"/>
    <n v="13"/>
    <n v="26"/>
    <n v="1"/>
    <x v="0"/>
  </r>
  <r>
    <n v="2535"/>
    <n v="1978"/>
    <x v="3"/>
    <x v="2"/>
    <x v="2"/>
    <n v="88097"/>
    <x v="2"/>
    <n v="1"/>
    <n v="0"/>
    <x v="2"/>
    <x v="283"/>
    <n v="24"/>
    <x v="1"/>
    <n v="0"/>
    <n v="163"/>
    <n v="0"/>
    <n v="480"/>
    <n v="0"/>
    <n v="126"/>
    <n v="75"/>
    <n v="844"/>
    <n v="1"/>
    <n v="6"/>
    <n v="5"/>
    <n v="8"/>
    <n v="19"/>
    <n v="9"/>
    <x v="1"/>
  </r>
  <r>
    <n v="11039"/>
    <n v="1975"/>
    <x v="3"/>
    <x v="0"/>
    <x v="2"/>
    <n v="51948"/>
    <x v="0"/>
    <n v="0"/>
    <n v="1"/>
    <x v="2"/>
    <x v="390"/>
    <n v="51"/>
    <x v="0"/>
    <n v="0"/>
    <n v="82"/>
    <n v="33"/>
    <n v="54"/>
    <n v="71"/>
    <n v="30"/>
    <n v="41"/>
    <n v="311"/>
    <n v="2"/>
    <n v="5"/>
    <n v="2"/>
    <n v="4"/>
    <n v="11"/>
    <n v="5"/>
    <x v="0"/>
  </r>
  <r>
    <n v="9495"/>
    <n v="1982"/>
    <x v="3"/>
    <x v="0"/>
    <x v="1"/>
    <n v="71853"/>
    <x v="2"/>
    <n v="0"/>
    <n v="0"/>
    <x v="0"/>
    <x v="7"/>
    <n v="29"/>
    <x v="1"/>
    <n v="0"/>
    <n v="358"/>
    <n v="108"/>
    <n v="413"/>
    <n v="141"/>
    <n v="97"/>
    <n v="32"/>
    <n v="1149"/>
    <n v="1"/>
    <n v="2"/>
    <n v="8"/>
    <n v="6"/>
    <n v="16"/>
    <n v="1"/>
    <x v="1"/>
  </r>
  <r>
    <n v="9635"/>
    <n v="1983"/>
    <x v="2"/>
    <x v="2"/>
    <x v="2"/>
    <n v="35876"/>
    <x v="1"/>
    <n v="0"/>
    <n v="0"/>
    <x v="0"/>
    <x v="552"/>
    <n v="13"/>
    <x v="1"/>
    <n v="0"/>
    <n v="66"/>
    <n v="2"/>
    <n v="40"/>
    <n v="4"/>
    <n v="3"/>
    <n v="14"/>
    <n v="129"/>
    <n v="1"/>
    <n v="3"/>
    <n v="1"/>
    <n v="3"/>
    <n v="7"/>
    <n v="6"/>
    <x v="0"/>
  </r>
  <r>
    <n v="2173"/>
    <n v="1952"/>
    <x v="4"/>
    <x v="0"/>
    <x v="4"/>
    <n v="40049"/>
    <x v="1"/>
    <n v="0"/>
    <n v="1"/>
    <x v="2"/>
    <x v="286"/>
    <n v="23"/>
    <x v="1"/>
    <n v="0"/>
    <n v="13"/>
    <n v="6"/>
    <n v="7"/>
    <n v="0"/>
    <n v="3"/>
    <n v="3"/>
    <n v="32"/>
    <n v="1"/>
    <n v="1"/>
    <n v="0"/>
    <n v="3"/>
    <n v="4"/>
    <n v="6"/>
    <x v="0"/>
  </r>
  <r>
    <n v="942"/>
    <n v="1982"/>
    <x v="3"/>
    <x v="0"/>
    <x v="0"/>
    <n v="39660"/>
    <x v="1"/>
    <n v="1"/>
    <n v="0"/>
    <x v="2"/>
    <x v="17"/>
    <n v="36"/>
    <x v="1"/>
    <n v="0"/>
    <n v="139"/>
    <n v="13"/>
    <n v="78"/>
    <n v="20"/>
    <n v="13"/>
    <n v="36"/>
    <n v="299"/>
    <n v="3"/>
    <n v="7"/>
    <n v="1"/>
    <n v="3"/>
    <n v="11"/>
    <n v="9"/>
    <x v="0"/>
  </r>
  <r>
    <n v="9386"/>
    <n v="1962"/>
    <x v="0"/>
    <x v="0"/>
    <x v="1"/>
    <n v="50127"/>
    <x v="1"/>
    <n v="0"/>
    <n v="1"/>
    <x v="2"/>
    <x v="465"/>
    <n v="88"/>
    <x v="0"/>
    <n v="0"/>
    <n v="274"/>
    <n v="0"/>
    <n v="21"/>
    <n v="4"/>
    <n v="6"/>
    <n v="15"/>
    <n v="320"/>
    <n v="1"/>
    <n v="5"/>
    <n v="1"/>
    <n v="6"/>
    <n v="12"/>
    <n v="6"/>
    <x v="0"/>
  </r>
  <r>
    <n v="5510"/>
    <n v="1977"/>
    <x v="3"/>
    <x v="2"/>
    <x v="2"/>
    <n v="43263"/>
    <x v="1"/>
    <n v="0"/>
    <n v="1"/>
    <x v="2"/>
    <x v="560"/>
    <n v="2"/>
    <x v="1"/>
    <n v="0"/>
    <n v="262"/>
    <n v="6"/>
    <n v="61"/>
    <n v="0"/>
    <n v="10"/>
    <n v="102"/>
    <n v="441"/>
    <n v="3"/>
    <n v="5"/>
    <n v="2"/>
    <n v="6"/>
    <n v="13"/>
    <n v="5"/>
    <x v="0"/>
  </r>
  <r>
    <n v="873"/>
    <n v="1949"/>
    <x v="4"/>
    <x v="2"/>
    <x v="2"/>
    <n v="62845"/>
    <x v="0"/>
    <n v="1"/>
    <n v="1"/>
    <x v="1"/>
    <x v="507"/>
    <n v="3"/>
    <x v="1"/>
    <n v="0"/>
    <n v="1099"/>
    <n v="0"/>
    <n v="45"/>
    <n v="0"/>
    <n v="0"/>
    <n v="34"/>
    <n v="1178"/>
    <n v="11"/>
    <n v="3"/>
    <n v="4"/>
    <n v="10"/>
    <n v="17"/>
    <n v="8"/>
    <x v="1"/>
  </r>
  <r>
    <n v="2253"/>
    <n v="1990"/>
    <x v="2"/>
    <x v="0"/>
    <x v="2"/>
    <n v="18929"/>
    <x v="3"/>
    <n v="0"/>
    <n v="0"/>
    <x v="0"/>
    <x v="320"/>
    <n v="15"/>
    <x v="1"/>
    <n v="0"/>
    <n v="32"/>
    <n v="0"/>
    <n v="8"/>
    <n v="23"/>
    <n v="4"/>
    <n v="18"/>
    <n v="85"/>
    <n v="1"/>
    <n v="1"/>
    <n v="0"/>
    <n v="4"/>
    <n v="5"/>
    <n v="6"/>
    <x v="0"/>
  </r>
  <r>
    <n v="5181"/>
    <n v="1982"/>
    <x v="3"/>
    <x v="3"/>
    <x v="0"/>
    <n v="24367"/>
    <x v="3"/>
    <n v="1"/>
    <n v="0"/>
    <x v="2"/>
    <x v="186"/>
    <n v="58"/>
    <x v="0"/>
    <n v="0"/>
    <n v="2"/>
    <n v="4"/>
    <n v="2"/>
    <n v="0"/>
    <n v="11"/>
    <n v="5"/>
    <n v="24"/>
    <n v="1"/>
    <n v="1"/>
    <n v="0"/>
    <n v="2"/>
    <n v="3"/>
    <n v="9"/>
    <x v="0"/>
  </r>
  <r>
    <n v="10390"/>
    <n v="1959"/>
    <x v="0"/>
    <x v="2"/>
    <x v="2"/>
    <n v="26887"/>
    <x v="3"/>
    <n v="0"/>
    <n v="1"/>
    <x v="2"/>
    <x v="508"/>
    <n v="27"/>
    <x v="1"/>
    <n v="0"/>
    <n v="6"/>
    <n v="7"/>
    <n v="4"/>
    <n v="3"/>
    <n v="4"/>
    <n v="6"/>
    <n v="30"/>
    <n v="1"/>
    <n v="1"/>
    <n v="0"/>
    <n v="3"/>
    <n v="4"/>
    <n v="6"/>
    <x v="0"/>
  </r>
  <r>
    <n v="7793"/>
    <n v="1976"/>
    <x v="3"/>
    <x v="0"/>
    <x v="1"/>
    <n v="62061"/>
    <x v="0"/>
    <n v="0"/>
    <n v="1"/>
    <x v="2"/>
    <x v="176"/>
    <n v="12"/>
    <x v="1"/>
    <n v="0"/>
    <n v="641"/>
    <n v="7"/>
    <n v="84"/>
    <n v="0"/>
    <n v="30"/>
    <n v="38"/>
    <n v="800"/>
    <n v="3"/>
    <n v="10"/>
    <n v="4"/>
    <n v="7"/>
    <n v="21"/>
    <n v="6"/>
    <x v="1"/>
  </r>
  <r>
    <n v="10590"/>
    <n v="1956"/>
    <x v="0"/>
    <x v="1"/>
    <x v="1"/>
    <n v="76542"/>
    <x v="2"/>
    <n v="0"/>
    <n v="0"/>
    <x v="0"/>
    <x v="298"/>
    <n v="91"/>
    <x v="0"/>
    <n v="0"/>
    <n v="794"/>
    <n v="73"/>
    <n v="573"/>
    <n v="0"/>
    <n v="29"/>
    <n v="14"/>
    <n v="1483"/>
    <n v="1"/>
    <n v="4"/>
    <n v="8"/>
    <n v="10"/>
    <n v="22"/>
    <n v="2"/>
    <x v="0"/>
  </r>
  <r>
    <n v="5080"/>
    <n v="1993"/>
    <x v="2"/>
    <x v="0"/>
    <x v="0"/>
    <n v="70515"/>
    <x v="2"/>
    <n v="0"/>
    <n v="0"/>
    <x v="0"/>
    <x v="413"/>
    <n v="12"/>
    <x v="1"/>
    <n v="0"/>
    <n v="420"/>
    <n v="0"/>
    <n v="452"/>
    <n v="182"/>
    <n v="64"/>
    <n v="140"/>
    <n v="1258"/>
    <n v="1"/>
    <n v="6"/>
    <n v="6"/>
    <n v="4"/>
    <n v="16"/>
    <n v="2"/>
    <x v="1"/>
  </r>
  <r>
    <n v="8369"/>
    <n v="1987"/>
    <x v="2"/>
    <x v="0"/>
    <x v="1"/>
    <n v="18227"/>
    <x v="3"/>
    <n v="1"/>
    <n v="0"/>
    <x v="2"/>
    <x v="43"/>
    <n v="21"/>
    <x v="1"/>
    <n v="0"/>
    <n v="1"/>
    <n v="2"/>
    <n v="7"/>
    <n v="4"/>
    <n v="3"/>
    <n v="11"/>
    <n v="28"/>
    <n v="1"/>
    <n v="0"/>
    <n v="1"/>
    <n v="2"/>
    <n v="3"/>
    <n v="8"/>
    <x v="0"/>
  </r>
  <r>
    <n v="5232"/>
    <n v="1965"/>
    <x v="1"/>
    <x v="0"/>
    <x v="2"/>
    <n v="69139"/>
    <x v="2"/>
    <n v="0"/>
    <n v="1"/>
    <x v="2"/>
    <x v="353"/>
    <n v="23"/>
    <x v="1"/>
    <n v="0"/>
    <n v="86"/>
    <n v="12"/>
    <n v="75"/>
    <n v="33"/>
    <n v="15"/>
    <n v="6"/>
    <n v="227"/>
    <n v="1"/>
    <n v="4"/>
    <n v="1"/>
    <n v="5"/>
    <n v="10"/>
    <n v="4"/>
    <x v="0"/>
  </r>
  <r>
    <n v="2407"/>
    <n v="1982"/>
    <x v="3"/>
    <x v="0"/>
    <x v="2"/>
    <n v="69109"/>
    <x v="2"/>
    <n v="0"/>
    <n v="0"/>
    <x v="0"/>
    <x v="40"/>
    <n v="10"/>
    <x v="1"/>
    <n v="0"/>
    <n v="823"/>
    <n v="25"/>
    <n v="459"/>
    <n v="124"/>
    <n v="29"/>
    <n v="95"/>
    <n v="1555"/>
    <n v="1"/>
    <n v="6"/>
    <n v="6"/>
    <n v="7"/>
    <n v="19"/>
    <n v="4"/>
    <x v="1"/>
  </r>
  <r>
    <n v="3834"/>
    <n v="1962"/>
    <x v="0"/>
    <x v="0"/>
    <x v="0"/>
    <n v="69627"/>
    <x v="2"/>
    <n v="0"/>
    <n v="1"/>
    <x v="2"/>
    <x v="65"/>
    <n v="35"/>
    <x v="1"/>
    <n v="0"/>
    <n v="231"/>
    <n v="161"/>
    <n v="215"/>
    <n v="171"/>
    <n v="30"/>
    <n v="53"/>
    <n v="861"/>
    <n v="2"/>
    <n v="8"/>
    <n v="2"/>
    <n v="11"/>
    <n v="21"/>
    <n v="5"/>
    <x v="1"/>
  </r>
  <r>
    <n v="7912"/>
    <n v="1978"/>
    <x v="3"/>
    <x v="0"/>
    <x v="2"/>
    <n v="38136"/>
    <x v="1"/>
    <n v="1"/>
    <n v="0"/>
    <x v="2"/>
    <x v="107"/>
    <n v="69"/>
    <x v="0"/>
    <n v="0"/>
    <n v="8"/>
    <n v="15"/>
    <n v="27"/>
    <n v="0"/>
    <n v="20"/>
    <n v="33"/>
    <n v="103"/>
    <n v="2"/>
    <n v="3"/>
    <n v="1"/>
    <n v="2"/>
    <n v="6"/>
    <n v="8"/>
    <x v="0"/>
  </r>
  <r>
    <n v="7712"/>
    <n v="1946"/>
    <x v="4"/>
    <x v="1"/>
    <x v="0"/>
    <n v="62159"/>
    <x v="0"/>
    <n v="0"/>
    <n v="0"/>
    <x v="0"/>
    <x v="50"/>
    <n v="68"/>
    <x v="0"/>
    <n v="0"/>
    <n v="182"/>
    <n v="17"/>
    <n v="259"/>
    <n v="77"/>
    <n v="70"/>
    <n v="29"/>
    <n v="634"/>
    <n v="1"/>
    <n v="6"/>
    <n v="2"/>
    <n v="10"/>
    <n v="18"/>
    <n v="4"/>
    <x v="0"/>
  </r>
  <r>
    <n v="1065"/>
    <n v="1963"/>
    <x v="1"/>
    <x v="0"/>
    <x v="0"/>
    <n v="80695"/>
    <x v="2"/>
    <n v="0"/>
    <n v="0"/>
    <x v="0"/>
    <x v="157"/>
    <n v="85"/>
    <x v="0"/>
    <n v="0"/>
    <n v="557"/>
    <n v="129"/>
    <n v="984"/>
    <n v="193"/>
    <n v="37"/>
    <n v="18"/>
    <n v="1918"/>
    <n v="1"/>
    <n v="5"/>
    <n v="8"/>
    <n v="5"/>
    <n v="18"/>
    <n v="2"/>
    <x v="0"/>
  </r>
  <r>
    <n v="7275"/>
    <n v="1971"/>
    <x v="1"/>
    <x v="2"/>
    <x v="0"/>
    <n v="33316"/>
    <x v="3"/>
    <n v="1"/>
    <n v="1"/>
    <x v="1"/>
    <x v="191"/>
    <n v="34"/>
    <x v="1"/>
    <n v="0"/>
    <n v="79"/>
    <n v="1"/>
    <n v="31"/>
    <n v="4"/>
    <n v="4"/>
    <n v="12"/>
    <n v="131"/>
    <n v="3"/>
    <n v="2"/>
    <n v="1"/>
    <n v="4"/>
    <n v="7"/>
    <n v="6"/>
    <x v="0"/>
  </r>
  <r>
    <n v="1343"/>
    <n v="1968"/>
    <x v="1"/>
    <x v="0"/>
    <x v="1"/>
    <n v="58554"/>
    <x v="0"/>
    <n v="1"/>
    <n v="1"/>
    <x v="1"/>
    <x v="577"/>
    <n v="55"/>
    <x v="0"/>
    <n v="0"/>
    <n v="368"/>
    <n v="24"/>
    <n v="68"/>
    <n v="38"/>
    <n v="0"/>
    <n v="88"/>
    <n v="586"/>
    <n v="6"/>
    <n v="8"/>
    <n v="2"/>
    <n v="6"/>
    <n v="16"/>
    <n v="7"/>
    <x v="0"/>
  </r>
  <r>
    <n v="1384"/>
    <n v="1992"/>
    <x v="2"/>
    <x v="3"/>
    <x v="2"/>
    <n v="17256"/>
    <x v="3"/>
    <n v="1"/>
    <n v="0"/>
    <x v="2"/>
    <x v="81"/>
    <n v="10"/>
    <x v="1"/>
    <n v="0"/>
    <n v="6"/>
    <n v="4"/>
    <n v="14"/>
    <n v="8"/>
    <n v="8"/>
    <n v="22"/>
    <n v="62"/>
    <n v="2"/>
    <n v="2"/>
    <n v="1"/>
    <n v="2"/>
    <n v="5"/>
    <n v="8"/>
    <x v="0"/>
  </r>
  <r>
    <n v="9967"/>
    <n v="1974"/>
    <x v="3"/>
    <x v="0"/>
    <x v="3"/>
    <n v="53034"/>
    <x v="0"/>
    <n v="1"/>
    <n v="1"/>
    <x v="1"/>
    <x v="156"/>
    <n v="30"/>
    <x v="1"/>
    <n v="0"/>
    <n v="160"/>
    <n v="15"/>
    <n v="196"/>
    <n v="15"/>
    <n v="11"/>
    <n v="50"/>
    <n v="447"/>
    <n v="8"/>
    <n v="6"/>
    <n v="1"/>
    <n v="7"/>
    <n v="14"/>
    <n v="8"/>
    <x v="0"/>
  </r>
  <r>
    <n v="6181"/>
    <n v="1950"/>
    <x v="4"/>
    <x v="2"/>
    <x v="1"/>
    <n v="52203"/>
    <x v="0"/>
    <n v="0"/>
    <n v="0"/>
    <x v="0"/>
    <x v="578"/>
    <n v="36"/>
    <x v="1"/>
    <n v="0"/>
    <n v="488"/>
    <n v="21"/>
    <n v="238"/>
    <n v="56"/>
    <n v="108"/>
    <n v="28"/>
    <n v="939"/>
    <n v="1"/>
    <n v="8"/>
    <n v="7"/>
    <n v="11"/>
    <n v="26"/>
    <n v="6"/>
    <x v="0"/>
  </r>
  <r>
    <n v="10507"/>
    <n v="1977"/>
    <x v="3"/>
    <x v="2"/>
    <x v="3"/>
    <n v="59601"/>
    <x v="0"/>
    <n v="0"/>
    <n v="1"/>
    <x v="2"/>
    <x v="423"/>
    <n v="14"/>
    <x v="1"/>
    <n v="0"/>
    <n v="691"/>
    <n v="7"/>
    <n v="69"/>
    <n v="0"/>
    <n v="7"/>
    <n v="23"/>
    <n v="797"/>
    <n v="4"/>
    <n v="2"/>
    <n v="2"/>
    <n v="7"/>
    <n v="11"/>
    <n v="8"/>
    <x v="0"/>
  </r>
  <r>
    <n v="2674"/>
    <n v="1958"/>
    <x v="0"/>
    <x v="2"/>
    <x v="0"/>
    <n v="75154"/>
    <x v="2"/>
    <n v="0"/>
    <n v="1"/>
    <x v="2"/>
    <x v="0"/>
    <n v="79"/>
    <x v="0"/>
    <n v="0"/>
    <n v="543"/>
    <n v="10"/>
    <n v="205"/>
    <n v="160"/>
    <n v="143"/>
    <n v="82"/>
    <n v="1143"/>
    <n v="1"/>
    <n v="6"/>
    <n v="3"/>
    <n v="6"/>
    <n v="15"/>
    <n v="3"/>
    <x v="0"/>
  </r>
  <r>
    <n v="2698"/>
    <n v="1976"/>
    <x v="3"/>
    <x v="0"/>
    <x v="0"/>
    <n v="47025"/>
    <x v="1"/>
    <n v="0"/>
    <n v="1"/>
    <x v="2"/>
    <x v="251"/>
    <n v="52"/>
    <x v="0"/>
    <n v="0"/>
    <n v="254"/>
    <n v="7"/>
    <n v="108"/>
    <n v="20"/>
    <n v="0"/>
    <n v="26"/>
    <n v="415"/>
    <n v="3"/>
    <n v="6"/>
    <n v="3"/>
    <n v="5"/>
    <n v="14"/>
    <n v="6"/>
    <x v="0"/>
  </r>
  <r>
    <n v="3231"/>
    <n v="1973"/>
    <x v="3"/>
    <x v="0"/>
    <x v="2"/>
    <n v="37971"/>
    <x v="1"/>
    <n v="1"/>
    <n v="0"/>
    <x v="2"/>
    <x v="308"/>
    <n v="97"/>
    <x v="0"/>
    <n v="0"/>
    <n v="5"/>
    <n v="4"/>
    <n v="10"/>
    <n v="2"/>
    <n v="2"/>
    <n v="7"/>
    <n v="30"/>
    <n v="1"/>
    <n v="1"/>
    <n v="0"/>
    <n v="3"/>
    <n v="4"/>
    <n v="8"/>
    <x v="0"/>
  </r>
  <r>
    <n v="10476"/>
    <n v="1958"/>
    <x v="0"/>
    <x v="0"/>
    <x v="2"/>
    <n v="67267"/>
    <x v="0"/>
    <n v="0"/>
    <n v="1"/>
    <x v="2"/>
    <x v="158"/>
    <n v="0"/>
    <x v="1"/>
    <n v="0"/>
    <n v="134"/>
    <n v="11"/>
    <n v="59"/>
    <n v="15"/>
    <n v="2"/>
    <n v="30"/>
    <n v="251"/>
    <n v="1"/>
    <n v="3"/>
    <n v="2"/>
    <n v="5"/>
    <n v="10"/>
    <n v="2"/>
    <x v="0"/>
  </r>
  <r>
    <n v="5948"/>
    <n v="1975"/>
    <x v="3"/>
    <x v="0"/>
    <x v="0"/>
    <n v="57338"/>
    <x v="0"/>
    <n v="0"/>
    <n v="1"/>
    <x v="2"/>
    <x v="433"/>
    <n v="96"/>
    <x v="0"/>
    <n v="0"/>
    <n v="143"/>
    <n v="6"/>
    <n v="52"/>
    <n v="11"/>
    <n v="8"/>
    <n v="17"/>
    <n v="237"/>
    <n v="2"/>
    <n v="4"/>
    <n v="1"/>
    <n v="5"/>
    <n v="10"/>
    <n v="5"/>
    <x v="0"/>
  </r>
  <r>
    <n v="9140"/>
    <n v="1960"/>
    <x v="0"/>
    <x v="2"/>
    <x v="1"/>
    <n v="50523"/>
    <x v="1"/>
    <n v="1"/>
    <n v="1"/>
    <x v="1"/>
    <x v="414"/>
    <n v="89"/>
    <x v="0"/>
    <n v="0"/>
    <n v="51"/>
    <n v="4"/>
    <n v="24"/>
    <n v="4"/>
    <n v="7"/>
    <n v="1"/>
    <n v="91"/>
    <n v="2"/>
    <n v="2"/>
    <n v="0"/>
    <n v="4"/>
    <n v="6"/>
    <n v="6"/>
    <x v="0"/>
  </r>
  <r>
    <n v="5675"/>
    <n v="1960"/>
    <x v="0"/>
    <x v="1"/>
    <x v="3"/>
    <n v="50611"/>
    <x v="1"/>
    <n v="0"/>
    <n v="1"/>
    <x v="2"/>
    <x v="427"/>
    <n v="98"/>
    <x v="0"/>
    <n v="0"/>
    <n v="459"/>
    <n v="0"/>
    <n v="24"/>
    <n v="6"/>
    <n v="0"/>
    <n v="4"/>
    <n v="493"/>
    <n v="6"/>
    <n v="4"/>
    <n v="5"/>
    <n v="7"/>
    <n v="16"/>
    <n v="6"/>
    <x v="0"/>
  </r>
  <r>
    <n v="4743"/>
    <n v="1969"/>
    <x v="1"/>
    <x v="1"/>
    <x v="2"/>
    <n v="56242"/>
    <x v="0"/>
    <n v="0"/>
    <n v="1"/>
    <x v="2"/>
    <x v="261"/>
    <n v="72"/>
    <x v="0"/>
    <n v="0"/>
    <n v="689"/>
    <n v="8"/>
    <n v="167"/>
    <n v="11"/>
    <n v="8"/>
    <n v="88"/>
    <n v="971"/>
    <n v="5"/>
    <n v="8"/>
    <n v="4"/>
    <n v="11"/>
    <n v="23"/>
    <n v="6"/>
    <x v="0"/>
  </r>
  <r>
    <n v="8805"/>
    <n v="1960"/>
    <x v="0"/>
    <x v="0"/>
    <x v="0"/>
    <n v="48904"/>
    <x v="1"/>
    <n v="0"/>
    <n v="1"/>
    <x v="2"/>
    <x v="579"/>
    <n v="1"/>
    <x v="1"/>
    <n v="0"/>
    <n v="283"/>
    <n v="10"/>
    <n v="38"/>
    <n v="0"/>
    <n v="13"/>
    <n v="27"/>
    <n v="371"/>
    <n v="4"/>
    <n v="7"/>
    <n v="2"/>
    <n v="4"/>
    <n v="13"/>
    <n v="8"/>
    <x v="0"/>
  </r>
  <r>
    <n v="1542"/>
    <n v="1975"/>
    <x v="3"/>
    <x v="0"/>
    <x v="0"/>
    <n v="56243"/>
    <x v="0"/>
    <n v="1"/>
    <n v="2"/>
    <x v="3"/>
    <x v="336"/>
    <n v="26"/>
    <x v="1"/>
    <n v="0"/>
    <n v="347"/>
    <n v="0"/>
    <n v="35"/>
    <n v="4"/>
    <n v="3"/>
    <n v="7"/>
    <n v="396"/>
    <n v="6"/>
    <n v="4"/>
    <n v="2"/>
    <n v="8"/>
    <n v="14"/>
    <n v="5"/>
    <x v="0"/>
  </r>
  <r>
    <n v="6770"/>
    <n v="1985"/>
    <x v="2"/>
    <x v="0"/>
    <x v="2"/>
    <n v="21355"/>
    <x v="3"/>
    <n v="1"/>
    <n v="0"/>
    <x v="2"/>
    <x v="132"/>
    <n v="5"/>
    <x v="1"/>
    <n v="0"/>
    <n v="5"/>
    <n v="13"/>
    <n v="14"/>
    <n v="0"/>
    <n v="5"/>
    <n v="31"/>
    <n v="68"/>
    <n v="2"/>
    <n v="2"/>
    <n v="1"/>
    <n v="2"/>
    <n v="5"/>
    <n v="6"/>
    <x v="0"/>
  </r>
  <r>
    <n v="8773"/>
    <n v="1971"/>
    <x v="1"/>
    <x v="2"/>
    <x v="1"/>
    <n v="57420"/>
    <x v="0"/>
    <n v="0"/>
    <n v="1"/>
    <x v="2"/>
    <x v="377"/>
    <n v="22"/>
    <x v="1"/>
    <n v="0"/>
    <n v="280"/>
    <n v="0"/>
    <n v="18"/>
    <n v="0"/>
    <n v="0"/>
    <n v="24"/>
    <n v="322"/>
    <n v="3"/>
    <n v="5"/>
    <n v="1"/>
    <n v="6"/>
    <n v="12"/>
    <n v="7"/>
    <x v="0"/>
  </r>
  <r>
    <n v="10475"/>
    <n v="1970"/>
    <x v="1"/>
    <x v="2"/>
    <x v="1"/>
    <m/>
    <x v="3"/>
    <n v="0"/>
    <n v="1"/>
    <x v="2"/>
    <x v="322"/>
    <n v="39"/>
    <x v="1"/>
    <n v="0"/>
    <n v="187"/>
    <n v="5"/>
    <n v="65"/>
    <n v="26"/>
    <n v="20"/>
    <n v="14"/>
    <n v="317"/>
    <n v="2"/>
    <n v="4"/>
    <n v="2"/>
    <n v="6"/>
    <n v="12"/>
    <n v="5"/>
    <x v="0"/>
  </r>
  <r>
    <n v="10420"/>
    <n v="1955"/>
    <x v="0"/>
    <x v="2"/>
    <x v="3"/>
    <n v="46390"/>
    <x v="1"/>
    <n v="0"/>
    <n v="1"/>
    <x v="2"/>
    <x v="580"/>
    <n v="56"/>
    <x v="0"/>
    <n v="0"/>
    <n v="95"/>
    <n v="14"/>
    <n v="64"/>
    <n v="2"/>
    <n v="9"/>
    <n v="38"/>
    <n v="222"/>
    <n v="1"/>
    <n v="4"/>
    <n v="2"/>
    <n v="3"/>
    <n v="9"/>
    <n v="7"/>
    <x v="0"/>
  </r>
  <r>
    <n v="7514"/>
    <n v="1956"/>
    <x v="0"/>
    <x v="2"/>
    <x v="1"/>
    <n v="54342"/>
    <x v="0"/>
    <n v="1"/>
    <n v="1"/>
    <x v="1"/>
    <x v="74"/>
    <n v="74"/>
    <x v="0"/>
    <n v="0"/>
    <n v="84"/>
    <n v="10"/>
    <n v="34"/>
    <n v="11"/>
    <n v="10"/>
    <n v="28"/>
    <n v="177"/>
    <n v="4"/>
    <n v="3"/>
    <n v="1"/>
    <n v="4"/>
    <n v="8"/>
    <n v="6"/>
    <x v="0"/>
  </r>
  <r>
    <n v="2902"/>
    <n v="1958"/>
    <x v="0"/>
    <x v="0"/>
    <x v="1"/>
    <m/>
    <x v="3"/>
    <n v="1"/>
    <n v="1"/>
    <x v="1"/>
    <x v="576"/>
    <n v="87"/>
    <x v="0"/>
    <n v="0"/>
    <n v="19"/>
    <n v="4"/>
    <n v="12"/>
    <n v="2"/>
    <n v="2"/>
    <n v="6"/>
    <n v="45"/>
    <n v="1"/>
    <n v="1"/>
    <n v="0"/>
    <n v="3"/>
    <n v="4"/>
    <n v="5"/>
    <x v="0"/>
  </r>
  <r>
    <n v="4345"/>
    <n v="1964"/>
    <x v="1"/>
    <x v="2"/>
    <x v="0"/>
    <m/>
    <x v="3"/>
    <n v="1"/>
    <n v="1"/>
    <x v="1"/>
    <x v="549"/>
    <n v="49"/>
    <x v="0"/>
    <n v="0"/>
    <n v="5"/>
    <n v="1"/>
    <n v="9"/>
    <n v="2"/>
    <n v="0"/>
    <n v="4"/>
    <n v="21"/>
    <n v="1"/>
    <n v="1"/>
    <n v="0"/>
    <n v="2"/>
    <n v="3"/>
    <n v="7"/>
    <x v="0"/>
  </r>
  <r>
    <n v="793"/>
    <n v="1973"/>
    <x v="3"/>
    <x v="0"/>
    <x v="2"/>
    <n v="20895"/>
    <x v="3"/>
    <n v="1"/>
    <n v="0"/>
    <x v="2"/>
    <x v="581"/>
    <n v="24"/>
    <x v="1"/>
    <n v="0"/>
    <n v="18"/>
    <n v="3"/>
    <n v="17"/>
    <n v="3"/>
    <n v="0"/>
    <n v="4"/>
    <n v="45"/>
    <n v="1"/>
    <n v="2"/>
    <n v="0"/>
    <n v="3"/>
    <n v="5"/>
    <n v="9"/>
    <x v="0"/>
  </r>
  <r>
    <n v="10909"/>
    <n v="1948"/>
    <x v="4"/>
    <x v="0"/>
    <x v="2"/>
    <n v="92344"/>
    <x v="2"/>
    <n v="0"/>
    <n v="0"/>
    <x v="0"/>
    <x v="228"/>
    <n v="9"/>
    <x v="1"/>
    <n v="0"/>
    <n v="992"/>
    <n v="24"/>
    <n v="694"/>
    <n v="51"/>
    <n v="19"/>
    <n v="119"/>
    <n v="1899"/>
    <n v="0"/>
    <n v="5"/>
    <n v="10"/>
    <n v="5"/>
    <n v="20"/>
    <n v="1"/>
    <x v="1"/>
  </r>
  <r>
    <n v="3769"/>
    <n v="1972"/>
    <x v="1"/>
    <x v="1"/>
    <x v="1"/>
    <m/>
    <x v="3"/>
    <n v="1"/>
    <n v="0"/>
    <x v="2"/>
    <x v="582"/>
    <n v="17"/>
    <x v="1"/>
    <n v="0"/>
    <n v="25"/>
    <n v="1"/>
    <n v="13"/>
    <n v="0"/>
    <n v="0"/>
    <n v="3"/>
    <n v="42"/>
    <n v="1"/>
    <n v="1"/>
    <n v="0"/>
    <n v="3"/>
    <n v="4"/>
    <n v="7"/>
    <x v="0"/>
  </r>
  <r>
    <n v="4791"/>
    <n v="1980"/>
    <x v="3"/>
    <x v="0"/>
    <x v="1"/>
    <n v="44964"/>
    <x v="1"/>
    <n v="1"/>
    <n v="1"/>
    <x v="1"/>
    <x v="145"/>
    <n v="35"/>
    <x v="1"/>
    <n v="0"/>
    <n v="19"/>
    <n v="1"/>
    <n v="17"/>
    <n v="2"/>
    <n v="0"/>
    <n v="2"/>
    <n v="41"/>
    <n v="1"/>
    <n v="1"/>
    <n v="0"/>
    <n v="3"/>
    <n v="4"/>
    <n v="8"/>
    <x v="0"/>
  </r>
  <r>
    <n v="8216"/>
    <n v="1972"/>
    <x v="1"/>
    <x v="2"/>
    <x v="2"/>
    <n v="53761"/>
    <x v="0"/>
    <n v="1"/>
    <n v="1"/>
    <x v="1"/>
    <x v="441"/>
    <n v="7"/>
    <x v="1"/>
    <n v="0"/>
    <n v="158"/>
    <n v="0"/>
    <n v="76"/>
    <n v="13"/>
    <n v="7"/>
    <n v="71"/>
    <n v="325"/>
    <n v="6"/>
    <n v="4"/>
    <n v="4"/>
    <n v="3"/>
    <n v="11"/>
    <n v="5"/>
    <x v="0"/>
  </r>
  <r>
    <n v="8140"/>
    <n v="1973"/>
    <x v="3"/>
    <x v="0"/>
    <x v="1"/>
    <n v="22682"/>
    <x v="3"/>
    <n v="1"/>
    <n v="0"/>
    <x v="2"/>
    <x v="451"/>
    <n v="51"/>
    <x v="0"/>
    <n v="0"/>
    <n v="10"/>
    <n v="14"/>
    <n v="29"/>
    <n v="4"/>
    <n v="2"/>
    <n v="36"/>
    <n v="95"/>
    <n v="3"/>
    <n v="2"/>
    <n v="1"/>
    <n v="4"/>
    <n v="7"/>
    <n v="4"/>
    <x v="0"/>
  </r>
  <r>
    <n v="10146"/>
    <n v="1972"/>
    <x v="1"/>
    <x v="1"/>
    <x v="1"/>
    <n v="38887"/>
    <x v="1"/>
    <n v="1"/>
    <n v="0"/>
    <x v="2"/>
    <x v="582"/>
    <n v="17"/>
    <x v="1"/>
    <n v="0"/>
    <n v="25"/>
    <n v="1"/>
    <n v="13"/>
    <n v="0"/>
    <n v="0"/>
    <n v="3"/>
    <n v="42"/>
    <n v="1"/>
    <n v="1"/>
    <n v="0"/>
    <n v="3"/>
    <n v="4"/>
    <n v="7"/>
    <x v="0"/>
  </r>
  <r>
    <n v="5289"/>
    <n v="1975"/>
    <x v="3"/>
    <x v="2"/>
    <x v="0"/>
    <n v="41658"/>
    <x v="1"/>
    <n v="1"/>
    <n v="1"/>
    <x v="1"/>
    <x v="40"/>
    <n v="30"/>
    <x v="1"/>
    <n v="0"/>
    <n v="8"/>
    <n v="4"/>
    <n v="12"/>
    <n v="15"/>
    <n v="4"/>
    <n v="29"/>
    <n v="72"/>
    <n v="2"/>
    <n v="1"/>
    <n v="1"/>
    <n v="2"/>
    <n v="4"/>
    <n v="4"/>
    <x v="0"/>
  </r>
  <r>
    <n v="2587"/>
    <n v="1972"/>
    <x v="1"/>
    <x v="1"/>
    <x v="2"/>
    <n v="29791"/>
    <x v="3"/>
    <n v="1"/>
    <n v="0"/>
    <x v="2"/>
    <x v="583"/>
    <n v="21"/>
    <x v="1"/>
    <n v="0"/>
    <n v="14"/>
    <n v="0"/>
    <n v="6"/>
    <n v="0"/>
    <n v="0"/>
    <n v="0"/>
    <n v="20"/>
    <n v="2"/>
    <n v="2"/>
    <n v="0"/>
    <n v="3"/>
    <n v="5"/>
    <n v="5"/>
    <x v="0"/>
  </r>
  <r>
    <n v="4405"/>
    <n v="1956"/>
    <x v="0"/>
    <x v="2"/>
    <x v="2"/>
    <n v="63915"/>
    <x v="0"/>
    <n v="0"/>
    <n v="2"/>
    <x v="1"/>
    <x v="524"/>
    <n v="2"/>
    <x v="1"/>
    <n v="0"/>
    <n v="622"/>
    <n v="7"/>
    <n v="115"/>
    <n v="30"/>
    <n v="0"/>
    <n v="15"/>
    <n v="789"/>
    <n v="2"/>
    <n v="6"/>
    <n v="3"/>
    <n v="12"/>
    <n v="21"/>
    <n v="5"/>
    <x v="1"/>
  </r>
  <r>
    <n v="8663"/>
    <n v="1974"/>
    <x v="3"/>
    <x v="0"/>
    <x v="3"/>
    <n v="39996"/>
    <x v="1"/>
    <n v="1"/>
    <n v="1"/>
    <x v="1"/>
    <x v="27"/>
    <n v="85"/>
    <x v="0"/>
    <n v="0"/>
    <n v="11"/>
    <n v="0"/>
    <n v="3"/>
    <n v="0"/>
    <n v="0"/>
    <n v="1"/>
    <n v="15"/>
    <n v="1"/>
    <n v="1"/>
    <n v="0"/>
    <n v="2"/>
    <n v="3"/>
    <n v="6"/>
    <x v="0"/>
  </r>
  <r>
    <n v="2589"/>
    <n v="1972"/>
    <x v="1"/>
    <x v="0"/>
    <x v="3"/>
    <n v="26759"/>
    <x v="3"/>
    <n v="1"/>
    <n v="0"/>
    <x v="2"/>
    <x v="372"/>
    <n v="65"/>
    <x v="0"/>
    <n v="0"/>
    <n v="25"/>
    <n v="3"/>
    <n v="16"/>
    <n v="8"/>
    <n v="5"/>
    <n v="2"/>
    <n v="59"/>
    <n v="2"/>
    <n v="2"/>
    <n v="1"/>
    <n v="3"/>
    <n v="6"/>
    <n v="6"/>
    <x v="0"/>
  </r>
  <r>
    <n v="10490"/>
    <n v="1969"/>
    <x v="1"/>
    <x v="1"/>
    <x v="2"/>
    <n v="51039"/>
    <x v="1"/>
    <n v="1"/>
    <n v="1"/>
    <x v="1"/>
    <x v="584"/>
    <n v="11"/>
    <x v="1"/>
    <n v="0"/>
    <n v="100"/>
    <n v="64"/>
    <n v="79"/>
    <n v="65"/>
    <n v="0"/>
    <n v="109"/>
    <n v="417"/>
    <n v="2"/>
    <n v="6"/>
    <n v="2"/>
    <n v="4"/>
    <n v="12"/>
    <n v="7"/>
    <x v="0"/>
  </r>
  <r>
    <n v="4094"/>
    <n v="1961"/>
    <x v="0"/>
    <x v="0"/>
    <x v="2"/>
    <n v="60544"/>
    <x v="0"/>
    <n v="1"/>
    <n v="1"/>
    <x v="1"/>
    <x v="516"/>
    <n v="92"/>
    <x v="0"/>
    <n v="0"/>
    <n v="201"/>
    <n v="2"/>
    <n v="43"/>
    <n v="3"/>
    <n v="5"/>
    <n v="35"/>
    <n v="289"/>
    <n v="4"/>
    <n v="5"/>
    <n v="1"/>
    <n v="5"/>
    <n v="11"/>
    <n v="6"/>
    <x v="0"/>
  </r>
  <r>
    <n v="2534"/>
    <n v="1953"/>
    <x v="0"/>
    <x v="0"/>
    <x v="2"/>
    <n v="37716"/>
    <x v="1"/>
    <n v="0"/>
    <n v="1"/>
    <x v="2"/>
    <x v="140"/>
    <n v="4"/>
    <x v="1"/>
    <n v="0"/>
    <n v="97"/>
    <n v="1"/>
    <n v="41"/>
    <n v="6"/>
    <n v="2"/>
    <n v="41"/>
    <n v="188"/>
    <n v="2"/>
    <n v="4"/>
    <n v="1"/>
    <n v="3"/>
    <n v="8"/>
    <n v="7"/>
    <x v="0"/>
  </r>
  <r>
    <n v="4188"/>
    <n v="1957"/>
    <x v="0"/>
    <x v="0"/>
    <x v="0"/>
    <n v="36864"/>
    <x v="1"/>
    <n v="0"/>
    <n v="1"/>
    <x v="2"/>
    <x v="585"/>
    <n v="53"/>
    <x v="0"/>
    <n v="0"/>
    <n v="204"/>
    <n v="5"/>
    <n v="39"/>
    <n v="17"/>
    <n v="0"/>
    <n v="89"/>
    <n v="354"/>
    <n v="3"/>
    <n v="5"/>
    <n v="2"/>
    <n v="4"/>
    <n v="11"/>
    <n v="8"/>
    <x v="0"/>
  </r>
  <r>
    <n v="6613"/>
    <n v="1970"/>
    <x v="1"/>
    <x v="2"/>
    <x v="2"/>
    <n v="44511"/>
    <x v="1"/>
    <n v="1"/>
    <n v="0"/>
    <x v="2"/>
    <x v="70"/>
    <n v="39"/>
    <x v="1"/>
    <n v="0"/>
    <n v="513"/>
    <n v="7"/>
    <n v="133"/>
    <n v="46"/>
    <n v="14"/>
    <n v="14"/>
    <n v="727"/>
    <n v="6"/>
    <n v="8"/>
    <n v="4"/>
    <n v="8"/>
    <n v="20"/>
    <n v="8"/>
    <x v="0"/>
  </r>
  <r>
    <n v="10827"/>
    <n v="1967"/>
    <x v="1"/>
    <x v="1"/>
    <x v="2"/>
    <n v="36947"/>
    <x v="1"/>
    <n v="1"/>
    <n v="1"/>
    <x v="1"/>
    <x v="442"/>
    <n v="49"/>
    <x v="0"/>
    <n v="0"/>
    <n v="88"/>
    <n v="3"/>
    <n v="21"/>
    <n v="4"/>
    <n v="1"/>
    <n v="29"/>
    <n v="146"/>
    <n v="4"/>
    <n v="3"/>
    <n v="0"/>
    <n v="4"/>
    <n v="7"/>
    <n v="9"/>
    <x v="0"/>
  </r>
  <r>
    <n v="8402"/>
    <n v="1953"/>
    <x v="0"/>
    <x v="2"/>
    <x v="2"/>
    <n v="67087"/>
    <x v="0"/>
    <n v="0"/>
    <n v="1"/>
    <x v="2"/>
    <x v="241"/>
    <n v="40"/>
    <x v="1"/>
    <n v="0"/>
    <n v="329"/>
    <n v="35"/>
    <n v="222"/>
    <n v="130"/>
    <n v="35"/>
    <n v="43"/>
    <n v="794"/>
    <n v="2"/>
    <n v="7"/>
    <n v="5"/>
    <n v="8"/>
    <n v="20"/>
    <n v="4"/>
    <x v="1"/>
  </r>
  <r>
    <n v="8783"/>
    <n v="1950"/>
    <x v="4"/>
    <x v="0"/>
    <x v="2"/>
    <n v="57045"/>
    <x v="0"/>
    <n v="0"/>
    <n v="1"/>
    <x v="2"/>
    <x v="181"/>
    <n v="40"/>
    <x v="1"/>
    <n v="0"/>
    <n v="296"/>
    <n v="13"/>
    <n v="104"/>
    <n v="11"/>
    <n v="13"/>
    <n v="17"/>
    <n v="454"/>
    <n v="3"/>
    <n v="4"/>
    <n v="2"/>
    <n v="9"/>
    <n v="15"/>
    <n v="3"/>
    <x v="0"/>
  </r>
  <r>
    <n v="10010"/>
    <n v="1953"/>
    <x v="0"/>
    <x v="1"/>
    <x v="3"/>
    <n v="36957"/>
    <x v="1"/>
    <n v="1"/>
    <n v="1"/>
    <x v="1"/>
    <x v="403"/>
    <n v="43"/>
    <x v="1"/>
    <n v="0"/>
    <n v="100"/>
    <n v="2"/>
    <n v="16"/>
    <n v="2"/>
    <n v="1"/>
    <n v="31"/>
    <n v="152"/>
    <n v="4"/>
    <n v="3"/>
    <n v="2"/>
    <n v="2"/>
    <n v="7"/>
    <n v="9"/>
    <x v="0"/>
  </r>
  <r>
    <n v="618"/>
    <n v="1977"/>
    <x v="3"/>
    <x v="1"/>
    <x v="2"/>
    <n v="69389"/>
    <x v="2"/>
    <n v="0"/>
    <n v="1"/>
    <x v="2"/>
    <x v="273"/>
    <n v="17"/>
    <x v="1"/>
    <n v="0"/>
    <n v="422"/>
    <n v="7"/>
    <n v="238"/>
    <n v="69"/>
    <n v="46"/>
    <n v="15"/>
    <n v="797"/>
    <n v="1"/>
    <n v="7"/>
    <n v="2"/>
    <n v="12"/>
    <n v="21"/>
    <n v="4"/>
    <x v="1"/>
  </r>
  <r>
    <n v="361"/>
    <n v="1969"/>
    <x v="1"/>
    <x v="2"/>
    <x v="2"/>
    <n v="43142"/>
    <x v="1"/>
    <n v="1"/>
    <n v="1"/>
    <x v="1"/>
    <x v="513"/>
    <n v="84"/>
    <x v="0"/>
    <n v="0"/>
    <n v="5"/>
    <n v="1"/>
    <n v="7"/>
    <n v="2"/>
    <n v="1"/>
    <n v="4"/>
    <n v="20"/>
    <n v="1"/>
    <n v="1"/>
    <n v="0"/>
    <n v="2"/>
    <n v="3"/>
    <n v="7"/>
    <x v="0"/>
  </r>
  <r>
    <n v="4310"/>
    <n v="1944"/>
    <x v="4"/>
    <x v="0"/>
    <x v="2"/>
    <n v="80589"/>
    <x v="2"/>
    <n v="0"/>
    <n v="0"/>
    <x v="0"/>
    <x v="149"/>
    <n v="25"/>
    <x v="1"/>
    <n v="0"/>
    <n v="507"/>
    <n v="93"/>
    <n v="520"/>
    <n v="242"/>
    <n v="40"/>
    <n v="26"/>
    <n v="1428"/>
    <n v="1"/>
    <n v="5"/>
    <n v="10"/>
    <n v="5"/>
    <n v="20"/>
    <n v="1"/>
    <x v="1"/>
  </r>
  <r>
    <n v="2678"/>
    <n v="1990"/>
    <x v="2"/>
    <x v="0"/>
    <x v="0"/>
    <n v="34412"/>
    <x v="3"/>
    <n v="1"/>
    <n v="0"/>
    <x v="2"/>
    <x v="253"/>
    <n v="62"/>
    <x v="0"/>
    <n v="0"/>
    <n v="52"/>
    <n v="12"/>
    <n v="50"/>
    <n v="4"/>
    <n v="36"/>
    <n v="55"/>
    <n v="209"/>
    <n v="3"/>
    <n v="5"/>
    <n v="0"/>
    <n v="3"/>
    <n v="8"/>
    <n v="9"/>
    <x v="0"/>
  </r>
  <r>
    <n v="6376"/>
    <n v="1979"/>
    <x v="3"/>
    <x v="0"/>
    <x v="0"/>
    <n v="57537"/>
    <x v="0"/>
    <n v="1"/>
    <n v="0"/>
    <x v="2"/>
    <x v="503"/>
    <n v="83"/>
    <x v="0"/>
    <n v="0"/>
    <n v="191"/>
    <n v="56"/>
    <n v="139"/>
    <n v="51"/>
    <n v="8"/>
    <n v="100"/>
    <n v="545"/>
    <n v="4"/>
    <n v="4"/>
    <n v="3"/>
    <n v="8"/>
    <n v="15"/>
    <n v="4"/>
    <x v="0"/>
  </r>
  <r>
    <n v="10341"/>
    <n v="1948"/>
    <x v="4"/>
    <x v="0"/>
    <x v="1"/>
    <n v="51315"/>
    <x v="1"/>
    <n v="0"/>
    <n v="0"/>
    <x v="0"/>
    <x v="586"/>
    <n v="45"/>
    <x v="1"/>
    <n v="0"/>
    <n v="68"/>
    <n v="28"/>
    <n v="39"/>
    <n v="16"/>
    <n v="30"/>
    <n v="41"/>
    <n v="222"/>
    <n v="1"/>
    <n v="2"/>
    <n v="2"/>
    <n v="5"/>
    <n v="9"/>
    <n v="2"/>
    <x v="0"/>
  </r>
  <r>
    <n v="5654"/>
    <n v="1972"/>
    <x v="1"/>
    <x v="0"/>
    <x v="2"/>
    <n v="36026"/>
    <x v="1"/>
    <n v="2"/>
    <n v="1"/>
    <x v="3"/>
    <x v="587"/>
    <n v="34"/>
    <x v="1"/>
    <n v="0"/>
    <n v="20"/>
    <n v="4"/>
    <n v="10"/>
    <n v="6"/>
    <n v="4"/>
    <n v="17"/>
    <n v="61"/>
    <n v="2"/>
    <n v="2"/>
    <n v="0"/>
    <n v="3"/>
    <n v="5"/>
    <n v="6"/>
    <x v="0"/>
  </r>
  <r>
    <n v="4098"/>
    <n v="1973"/>
    <x v="3"/>
    <x v="0"/>
    <x v="2"/>
    <n v="24639"/>
    <x v="3"/>
    <n v="1"/>
    <n v="1"/>
    <x v="1"/>
    <x v="326"/>
    <n v="3"/>
    <x v="1"/>
    <n v="0"/>
    <n v="20"/>
    <n v="3"/>
    <n v="16"/>
    <n v="0"/>
    <n v="4"/>
    <n v="1"/>
    <n v="44"/>
    <n v="3"/>
    <n v="2"/>
    <n v="0"/>
    <n v="4"/>
    <n v="6"/>
    <n v="6"/>
    <x v="0"/>
  </r>
  <r>
    <n v="5824"/>
    <n v="1972"/>
    <x v="1"/>
    <x v="1"/>
    <x v="1"/>
    <n v="34578"/>
    <x v="3"/>
    <n v="2"/>
    <n v="1"/>
    <x v="3"/>
    <x v="178"/>
    <n v="1"/>
    <x v="1"/>
    <n v="0"/>
    <n v="7"/>
    <n v="0"/>
    <n v="1"/>
    <n v="0"/>
    <n v="0"/>
    <n v="0"/>
    <n v="8"/>
    <n v="1"/>
    <n v="1"/>
    <n v="0"/>
    <n v="2"/>
    <n v="3"/>
    <n v="6"/>
    <x v="0"/>
  </r>
  <r>
    <n v="7000"/>
    <n v="1972"/>
    <x v="1"/>
    <x v="2"/>
    <x v="0"/>
    <n v="65704"/>
    <x v="0"/>
    <n v="0"/>
    <n v="0"/>
    <x v="0"/>
    <x v="525"/>
    <n v="18"/>
    <x v="1"/>
    <n v="0"/>
    <n v="279"/>
    <n v="172"/>
    <n v="74"/>
    <n v="38"/>
    <n v="8"/>
    <n v="246"/>
    <n v="817"/>
    <n v="1"/>
    <n v="2"/>
    <n v="10"/>
    <n v="10"/>
    <n v="22"/>
    <n v="1"/>
    <x v="1"/>
  </r>
  <r>
    <n v="5229"/>
    <n v="1969"/>
    <x v="1"/>
    <x v="1"/>
    <x v="1"/>
    <n v="54132"/>
    <x v="0"/>
    <n v="0"/>
    <n v="1"/>
    <x v="2"/>
    <x v="185"/>
    <n v="81"/>
    <x v="0"/>
    <n v="0"/>
    <n v="30"/>
    <n v="1"/>
    <n v="8"/>
    <n v="0"/>
    <n v="0"/>
    <n v="3"/>
    <n v="42"/>
    <n v="1"/>
    <n v="1"/>
    <n v="0"/>
    <n v="3"/>
    <n v="4"/>
    <n v="7"/>
    <x v="0"/>
  </r>
  <r>
    <n v="2428"/>
    <n v="1970"/>
    <x v="1"/>
    <x v="0"/>
    <x v="2"/>
    <n v="28164"/>
    <x v="3"/>
    <n v="1"/>
    <n v="0"/>
    <x v="2"/>
    <x v="174"/>
    <n v="23"/>
    <x v="1"/>
    <n v="0"/>
    <n v="3"/>
    <n v="18"/>
    <n v="26"/>
    <n v="11"/>
    <n v="8"/>
    <n v="12"/>
    <n v="78"/>
    <n v="3"/>
    <n v="2"/>
    <n v="0"/>
    <n v="4"/>
    <n v="6"/>
    <n v="7"/>
    <x v="0"/>
  </r>
  <r>
    <n v="8254"/>
    <n v="1974"/>
    <x v="3"/>
    <x v="1"/>
    <x v="2"/>
    <n v="34596"/>
    <x v="3"/>
    <n v="1"/>
    <n v="0"/>
    <x v="2"/>
    <x v="305"/>
    <n v="48"/>
    <x v="1"/>
    <n v="0"/>
    <n v="14"/>
    <n v="0"/>
    <n v="2"/>
    <n v="0"/>
    <n v="0"/>
    <n v="7"/>
    <n v="23"/>
    <n v="1"/>
    <n v="1"/>
    <n v="0"/>
    <n v="2"/>
    <n v="3"/>
    <n v="8"/>
    <x v="0"/>
  </r>
  <r>
    <n v="2836"/>
    <n v="1972"/>
    <x v="1"/>
    <x v="1"/>
    <x v="2"/>
    <n v="43269"/>
    <x v="1"/>
    <n v="1"/>
    <n v="0"/>
    <x v="2"/>
    <x v="201"/>
    <n v="61"/>
    <x v="0"/>
    <n v="0"/>
    <n v="10"/>
    <n v="1"/>
    <n v="7"/>
    <n v="0"/>
    <n v="0"/>
    <n v="1"/>
    <n v="19"/>
    <n v="1"/>
    <n v="1"/>
    <n v="0"/>
    <n v="2"/>
    <n v="3"/>
    <n v="8"/>
    <x v="0"/>
  </r>
  <r>
    <n v="8418"/>
    <n v="1958"/>
    <x v="0"/>
    <x v="2"/>
    <x v="0"/>
    <n v="38741"/>
    <x v="1"/>
    <n v="1"/>
    <n v="1"/>
    <x v="1"/>
    <x v="89"/>
    <n v="60"/>
    <x v="0"/>
    <n v="0"/>
    <n v="7"/>
    <n v="10"/>
    <n v="17"/>
    <n v="8"/>
    <n v="6"/>
    <n v="13"/>
    <n v="61"/>
    <n v="2"/>
    <n v="2"/>
    <n v="0"/>
    <n v="3"/>
    <n v="5"/>
    <n v="7"/>
    <x v="0"/>
  </r>
  <r>
    <n v="1362"/>
    <n v="1972"/>
    <x v="1"/>
    <x v="0"/>
    <x v="0"/>
    <n v="31907"/>
    <x v="3"/>
    <n v="0"/>
    <n v="0"/>
    <x v="0"/>
    <x v="506"/>
    <n v="75"/>
    <x v="0"/>
    <n v="0"/>
    <n v="33"/>
    <n v="87"/>
    <n v="64"/>
    <n v="175"/>
    <n v="16"/>
    <n v="74"/>
    <n v="449"/>
    <n v="1"/>
    <n v="6"/>
    <n v="1"/>
    <n v="6"/>
    <n v="13"/>
    <n v="7"/>
    <x v="0"/>
  </r>
  <r>
    <n v="10033"/>
    <n v="1973"/>
    <x v="3"/>
    <x v="2"/>
    <x v="3"/>
    <n v="31163"/>
    <x v="3"/>
    <n v="1"/>
    <n v="0"/>
    <x v="2"/>
    <x v="550"/>
    <n v="54"/>
    <x v="0"/>
    <n v="0"/>
    <n v="2"/>
    <n v="3"/>
    <n v="10"/>
    <n v="11"/>
    <n v="2"/>
    <n v="10"/>
    <n v="38"/>
    <n v="1"/>
    <n v="1"/>
    <n v="0"/>
    <n v="3"/>
    <n v="4"/>
    <n v="6"/>
    <x v="0"/>
  </r>
  <r>
    <n v="9349"/>
    <n v="1985"/>
    <x v="2"/>
    <x v="0"/>
    <x v="2"/>
    <n v="92533"/>
    <x v="2"/>
    <n v="0"/>
    <n v="0"/>
    <x v="0"/>
    <x v="425"/>
    <n v="84"/>
    <x v="0"/>
    <n v="0"/>
    <n v="693"/>
    <n v="21"/>
    <n v="118"/>
    <n v="110"/>
    <n v="147"/>
    <n v="42"/>
    <n v="1131"/>
    <n v="1"/>
    <n v="6"/>
    <n v="5"/>
    <n v="11"/>
    <n v="22"/>
    <n v="2"/>
    <x v="0"/>
  </r>
  <r>
    <n v="274"/>
    <n v="1973"/>
    <x v="3"/>
    <x v="0"/>
    <x v="0"/>
    <n v="34853"/>
    <x v="3"/>
    <n v="1"/>
    <n v="1"/>
    <x v="1"/>
    <x v="365"/>
    <n v="75"/>
    <x v="0"/>
    <n v="0"/>
    <n v="9"/>
    <n v="3"/>
    <n v="15"/>
    <n v="2"/>
    <n v="3"/>
    <n v="2"/>
    <n v="34"/>
    <n v="2"/>
    <n v="2"/>
    <n v="0"/>
    <n v="3"/>
    <n v="5"/>
    <n v="6"/>
    <x v="0"/>
  </r>
  <r>
    <n v="3388"/>
    <n v="1967"/>
    <x v="1"/>
    <x v="0"/>
    <x v="3"/>
    <n v="70844"/>
    <x v="2"/>
    <n v="1"/>
    <n v="1"/>
    <x v="1"/>
    <x v="338"/>
    <n v="16"/>
    <x v="1"/>
    <n v="0"/>
    <n v="129"/>
    <n v="26"/>
    <n v="67"/>
    <n v="3"/>
    <n v="67"/>
    <n v="2"/>
    <n v="294"/>
    <n v="5"/>
    <n v="6"/>
    <n v="1"/>
    <n v="5"/>
    <n v="12"/>
    <n v="7"/>
    <x v="0"/>
  </r>
  <r>
    <n v="922"/>
    <n v="1979"/>
    <x v="3"/>
    <x v="2"/>
    <x v="2"/>
    <n v="31086"/>
    <x v="3"/>
    <n v="1"/>
    <n v="1"/>
    <x v="1"/>
    <x v="174"/>
    <n v="79"/>
    <x v="0"/>
    <n v="0"/>
    <n v="16"/>
    <n v="2"/>
    <n v="11"/>
    <n v="3"/>
    <n v="0"/>
    <n v="16"/>
    <n v="48"/>
    <n v="2"/>
    <n v="1"/>
    <n v="1"/>
    <n v="2"/>
    <n v="4"/>
    <n v="8"/>
    <x v="0"/>
  </r>
  <r>
    <n v="2518"/>
    <n v="1986"/>
    <x v="2"/>
    <x v="2"/>
    <x v="1"/>
    <n v="20491"/>
    <x v="3"/>
    <n v="0"/>
    <n v="0"/>
    <x v="0"/>
    <x v="497"/>
    <n v="16"/>
    <x v="1"/>
    <n v="0"/>
    <n v="5"/>
    <n v="4"/>
    <n v="5"/>
    <n v="4"/>
    <n v="2"/>
    <n v="10"/>
    <n v="30"/>
    <n v="1"/>
    <n v="0"/>
    <n v="1"/>
    <n v="2"/>
    <n v="3"/>
    <n v="7"/>
    <x v="0"/>
  </r>
  <r>
    <n v="574"/>
    <n v="1964"/>
    <x v="1"/>
    <x v="0"/>
    <x v="2"/>
    <n v="42523"/>
    <x v="1"/>
    <n v="0"/>
    <n v="0"/>
    <x v="0"/>
    <x v="523"/>
    <n v="96"/>
    <x v="0"/>
    <n v="0"/>
    <n v="14"/>
    <n v="36"/>
    <n v="11"/>
    <n v="3"/>
    <n v="26"/>
    <n v="35"/>
    <n v="125"/>
    <n v="1"/>
    <n v="1"/>
    <n v="1"/>
    <n v="4"/>
    <n v="6"/>
    <n v="2"/>
    <x v="0"/>
  </r>
  <r>
    <n v="5967"/>
    <n v="1952"/>
    <x v="4"/>
    <x v="0"/>
    <x v="1"/>
    <n v="33402"/>
    <x v="3"/>
    <n v="1"/>
    <n v="1"/>
    <x v="1"/>
    <x v="394"/>
    <n v="60"/>
    <x v="0"/>
    <n v="0"/>
    <n v="26"/>
    <n v="2"/>
    <n v="19"/>
    <n v="10"/>
    <n v="5"/>
    <n v="8"/>
    <n v="70"/>
    <n v="3"/>
    <n v="2"/>
    <n v="1"/>
    <n v="3"/>
    <n v="6"/>
    <n v="8"/>
    <x v="0"/>
  </r>
  <r>
    <n v="1183"/>
    <n v="1949"/>
    <x v="4"/>
    <x v="2"/>
    <x v="2"/>
    <n v="36408"/>
    <x v="1"/>
    <n v="1"/>
    <n v="1"/>
    <x v="1"/>
    <x v="588"/>
    <n v="11"/>
    <x v="1"/>
    <n v="0"/>
    <n v="9"/>
    <n v="1"/>
    <n v="4"/>
    <n v="3"/>
    <n v="2"/>
    <n v="3"/>
    <n v="22"/>
    <n v="1"/>
    <n v="1"/>
    <n v="0"/>
    <n v="2"/>
    <n v="3"/>
    <n v="6"/>
    <x v="0"/>
  </r>
  <r>
    <n v="6856"/>
    <n v="1979"/>
    <x v="3"/>
    <x v="0"/>
    <x v="1"/>
    <n v="21645"/>
    <x v="3"/>
    <n v="1"/>
    <n v="0"/>
    <x v="2"/>
    <x v="576"/>
    <n v="75"/>
    <x v="0"/>
    <n v="0"/>
    <n v="14"/>
    <n v="0"/>
    <n v="23"/>
    <n v="4"/>
    <n v="5"/>
    <n v="19"/>
    <n v="65"/>
    <n v="3"/>
    <n v="3"/>
    <n v="0"/>
    <n v="3"/>
    <n v="6"/>
    <n v="9"/>
    <x v="0"/>
  </r>
  <r>
    <n v="4530"/>
    <n v="1948"/>
    <x v="4"/>
    <x v="2"/>
    <x v="4"/>
    <n v="78427"/>
    <x v="2"/>
    <n v="0"/>
    <n v="0"/>
    <x v="0"/>
    <x v="589"/>
    <n v="36"/>
    <x v="1"/>
    <n v="0"/>
    <n v="972"/>
    <n v="19"/>
    <n v="595"/>
    <n v="180"/>
    <n v="26"/>
    <n v="138"/>
    <n v="1930"/>
    <n v="3"/>
    <n v="3"/>
    <n v="7"/>
    <n v="10"/>
    <n v="20"/>
    <n v="3"/>
    <x v="1"/>
  </r>
  <r>
    <n v="1553"/>
    <n v="1946"/>
    <x v="4"/>
    <x v="0"/>
    <x v="1"/>
    <n v="82657"/>
    <x v="2"/>
    <n v="0"/>
    <n v="0"/>
    <x v="0"/>
    <x v="61"/>
    <n v="71"/>
    <x v="0"/>
    <n v="0"/>
    <n v="966"/>
    <n v="168"/>
    <n v="672"/>
    <n v="246"/>
    <n v="105"/>
    <n v="126"/>
    <n v="2283"/>
    <n v="1"/>
    <n v="7"/>
    <n v="5"/>
    <n v="10"/>
    <n v="22"/>
    <n v="4"/>
    <x v="0"/>
  </r>
  <r>
    <n v="4682"/>
    <n v="1958"/>
    <x v="0"/>
    <x v="0"/>
    <x v="2"/>
    <n v="51876"/>
    <x v="0"/>
    <n v="0"/>
    <n v="0"/>
    <x v="0"/>
    <x v="590"/>
    <n v="88"/>
    <x v="0"/>
    <n v="0"/>
    <n v="99"/>
    <n v="27"/>
    <n v="102"/>
    <n v="28"/>
    <n v="48"/>
    <n v="6"/>
    <n v="310"/>
    <n v="1"/>
    <n v="2"/>
    <n v="2"/>
    <n v="8"/>
    <n v="12"/>
    <n v="1"/>
    <x v="0"/>
  </r>
  <r>
    <n v="8204"/>
    <n v="1971"/>
    <x v="1"/>
    <x v="2"/>
    <x v="2"/>
    <n v="78041"/>
    <x v="2"/>
    <n v="0"/>
    <n v="0"/>
    <x v="0"/>
    <x v="145"/>
    <n v="93"/>
    <x v="0"/>
    <n v="0"/>
    <n v="482"/>
    <n v="35"/>
    <n v="553"/>
    <n v="72"/>
    <n v="160"/>
    <n v="17"/>
    <n v="1319"/>
    <n v="1"/>
    <n v="4"/>
    <n v="4"/>
    <n v="9"/>
    <n v="17"/>
    <n v="2"/>
    <x v="0"/>
  </r>
  <r>
    <n v="5221"/>
    <n v="1957"/>
    <x v="0"/>
    <x v="0"/>
    <x v="2"/>
    <n v="52852"/>
    <x v="0"/>
    <n v="0"/>
    <n v="1"/>
    <x v="2"/>
    <x v="279"/>
    <n v="93"/>
    <x v="0"/>
    <n v="0"/>
    <n v="714"/>
    <n v="8"/>
    <n v="99"/>
    <n v="11"/>
    <n v="0"/>
    <n v="47"/>
    <n v="879"/>
    <n v="4"/>
    <n v="10"/>
    <n v="7"/>
    <n v="5"/>
    <n v="22"/>
    <n v="8"/>
    <x v="0"/>
  </r>
  <r>
    <n v="1232"/>
    <n v="1982"/>
    <x v="3"/>
    <x v="1"/>
    <x v="1"/>
    <n v="70038"/>
    <x v="2"/>
    <n v="0"/>
    <n v="0"/>
    <x v="0"/>
    <x v="512"/>
    <n v="54"/>
    <x v="0"/>
    <n v="0"/>
    <n v="587"/>
    <n v="54"/>
    <n v="348"/>
    <n v="71"/>
    <n v="54"/>
    <n v="130"/>
    <n v="1244"/>
    <n v="1"/>
    <n v="4"/>
    <n v="4"/>
    <n v="8"/>
    <n v="16"/>
    <n v="2"/>
    <x v="0"/>
  </r>
  <r>
    <n v="1927"/>
    <n v="1973"/>
    <x v="3"/>
    <x v="2"/>
    <x v="1"/>
    <n v="69401"/>
    <x v="2"/>
    <n v="0"/>
    <n v="1"/>
    <x v="2"/>
    <x v="82"/>
    <n v="41"/>
    <x v="1"/>
    <n v="0"/>
    <n v="399"/>
    <n v="27"/>
    <n v="159"/>
    <n v="58"/>
    <n v="8"/>
    <n v="39"/>
    <n v="690"/>
    <n v="4"/>
    <n v="4"/>
    <n v="4"/>
    <n v="5"/>
    <n v="13"/>
    <n v="2"/>
    <x v="1"/>
  </r>
  <r>
    <n v="5788"/>
    <n v="1972"/>
    <x v="1"/>
    <x v="0"/>
    <x v="1"/>
    <n v="46053"/>
    <x v="1"/>
    <n v="1"/>
    <n v="0"/>
    <x v="2"/>
    <x v="591"/>
    <n v="46"/>
    <x v="1"/>
    <n v="0"/>
    <n v="56"/>
    <n v="10"/>
    <n v="92"/>
    <n v="19"/>
    <n v="7"/>
    <n v="25"/>
    <n v="209"/>
    <n v="3"/>
    <n v="3"/>
    <n v="2"/>
    <n v="4"/>
    <n v="9"/>
    <n v="5"/>
    <x v="0"/>
  </r>
  <r>
    <n v="6652"/>
    <n v="1965"/>
    <x v="1"/>
    <x v="0"/>
    <x v="2"/>
    <n v="77343"/>
    <x v="2"/>
    <n v="0"/>
    <n v="0"/>
    <x v="0"/>
    <x v="295"/>
    <n v="28"/>
    <x v="1"/>
    <n v="0"/>
    <n v="227"/>
    <n v="151"/>
    <n v="573"/>
    <n v="98"/>
    <n v="54"/>
    <n v="31"/>
    <n v="1134"/>
    <n v="1"/>
    <n v="3"/>
    <n v="4"/>
    <n v="9"/>
    <n v="16"/>
    <n v="1"/>
    <x v="1"/>
  </r>
  <r>
    <n v="6246"/>
    <n v="1953"/>
    <x v="0"/>
    <x v="0"/>
    <x v="0"/>
    <n v="73892"/>
    <x v="2"/>
    <n v="0"/>
    <n v="0"/>
    <x v="0"/>
    <x v="138"/>
    <n v="40"/>
    <x v="1"/>
    <n v="0"/>
    <n v="703"/>
    <n v="102"/>
    <n v="601"/>
    <n v="0"/>
    <n v="58"/>
    <n v="43"/>
    <n v="1507"/>
    <n v="1"/>
    <n v="3"/>
    <n v="11"/>
    <n v="8"/>
    <n v="22"/>
    <n v="1"/>
    <x v="1"/>
  </r>
  <r>
    <n v="5975"/>
    <n v="1967"/>
    <x v="1"/>
    <x v="1"/>
    <x v="0"/>
    <n v="40304"/>
    <x v="1"/>
    <n v="1"/>
    <n v="0"/>
    <x v="2"/>
    <x v="111"/>
    <n v="82"/>
    <x v="0"/>
    <n v="0"/>
    <n v="37"/>
    <n v="0"/>
    <n v="17"/>
    <n v="0"/>
    <n v="0"/>
    <n v="3"/>
    <n v="57"/>
    <n v="1"/>
    <n v="2"/>
    <n v="0"/>
    <n v="3"/>
    <n v="5"/>
    <n v="7"/>
    <x v="0"/>
  </r>
  <r>
    <n v="6875"/>
    <n v="1965"/>
    <x v="1"/>
    <x v="1"/>
    <x v="1"/>
    <n v="32727"/>
    <x v="3"/>
    <n v="0"/>
    <n v="0"/>
    <x v="0"/>
    <x v="592"/>
    <n v="38"/>
    <x v="1"/>
    <n v="0"/>
    <n v="167"/>
    <n v="13"/>
    <n v="180"/>
    <n v="86"/>
    <n v="13"/>
    <n v="70"/>
    <n v="529"/>
    <n v="2"/>
    <n v="7"/>
    <n v="3"/>
    <n v="5"/>
    <n v="15"/>
    <n v="8"/>
    <x v="0"/>
  </r>
  <r>
    <n v="4042"/>
    <n v="1971"/>
    <x v="1"/>
    <x v="0"/>
    <x v="3"/>
    <n v="43300"/>
    <x v="1"/>
    <n v="0"/>
    <n v="1"/>
    <x v="2"/>
    <x v="204"/>
    <n v="87"/>
    <x v="0"/>
    <n v="0"/>
    <n v="91"/>
    <n v="3"/>
    <n v="52"/>
    <n v="2"/>
    <n v="1"/>
    <n v="31"/>
    <n v="180"/>
    <n v="3"/>
    <n v="4"/>
    <n v="0"/>
    <n v="4"/>
    <n v="8"/>
    <n v="8"/>
    <x v="0"/>
  </r>
  <r>
    <n v="2157"/>
    <n v="1972"/>
    <x v="1"/>
    <x v="0"/>
    <x v="1"/>
    <n v="26290"/>
    <x v="3"/>
    <n v="1"/>
    <n v="1"/>
    <x v="1"/>
    <x v="232"/>
    <n v="49"/>
    <x v="0"/>
    <n v="0"/>
    <n v="15"/>
    <n v="8"/>
    <n v="16"/>
    <n v="11"/>
    <n v="5"/>
    <n v="22"/>
    <n v="77"/>
    <n v="4"/>
    <n v="2"/>
    <n v="0"/>
    <n v="4"/>
    <n v="6"/>
    <n v="6"/>
    <x v="0"/>
  </r>
  <r>
    <n v="10133"/>
    <n v="1970"/>
    <x v="1"/>
    <x v="0"/>
    <x v="0"/>
    <n v="93790"/>
    <x v="2"/>
    <n v="0"/>
    <n v="0"/>
    <x v="0"/>
    <x v="593"/>
    <n v="16"/>
    <x v="1"/>
    <n v="0"/>
    <n v="1302"/>
    <n v="68"/>
    <n v="731"/>
    <n v="89"/>
    <n v="114"/>
    <n v="45"/>
    <n v="2349"/>
    <n v="0"/>
    <n v="6"/>
    <n v="7"/>
    <n v="12"/>
    <n v="25"/>
    <n v="2"/>
    <x v="1"/>
  </r>
  <r>
    <n v="2525"/>
    <n v="1974"/>
    <x v="3"/>
    <x v="1"/>
    <x v="2"/>
    <n v="38410"/>
    <x v="1"/>
    <n v="0"/>
    <n v="0"/>
    <x v="0"/>
    <x v="64"/>
    <n v="65"/>
    <x v="0"/>
    <n v="0"/>
    <n v="153"/>
    <n v="64"/>
    <n v="123"/>
    <n v="116"/>
    <n v="64"/>
    <n v="14"/>
    <n v="534"/>
    <n v="2"/>
    <n v="5"/>
    <n v="2"/>
    <n v="9"/>
    <n v="16"/>
    <n v="6"/>
    <x v="0"/>
  </r>
  <r>
    <n v="8233"/>
    <n v="1950"/>
    <x v="4"/>
    <x v="2"/>
    <x v="4"/>
    <n v="64866"/>
    <x v="0"/>
    <n v="0"/>
    <n v="1"/>
    <x v="2"/>
    <x v="340"/>
    <n v="9"/>
    <x v="1"/>
    <n v="0"/>
    <n v="508"/>
    <n v="5"/>
    <n v="21"/>
    <n v="7"/>
    <n v="5"/>
    <n v="10"/>
    <n v="556"/>
    <n v="4"/>
    <n v="7"/>
    <n v="3"/>
    <n v="7"/>
    <n v="17"/>
    <n v="5"/>
    <x v="0"/>
  </r>
  <r>
    <n v="9483"/>
    <n v="1959"/>
    <x v="0"/>
    <x v="0"/>
    <x v="1"/>
    <n v="57957"/>
    <x v="0"/>
    <n v="0"/>
    <n v="1"/>
    <x v="2"/>
    <x v="393"/>
    <n v="24"/>
    <x v="1"/>
    <n v="1"/>
    <n v="290"/>
    <n v="59"/>
    <n v="177"/>
    <n v="77"/>
    <n v="5"/>
    <n v="29"/>
    <n v="637"/>
    <n v="7"/>
    <n v="4"/>
    <n v="6"/>
    <n v="8"/>
    <n v="18"/>
    <n v="3"/>
    <x v="0"/>
  </r>
  <r>
    <n v="10403"/>
    <n v="1978"/>
    <x v="3"/>
    <x v="0"/>
    <x v="1"/>
    <n v="16531"/>
    <x v="3"/>
    <n v="1"/>
    <n v="0"/>
    <x v="2"/>
    <x v="361"/>
    <n v="43"/>
    <x v="1"/>
    <n v="0"/>
    <n v="2"/>
    <n v="13"/>
    <n v="6"/>
    <n v="7"/>
    <n v="5"/>
    <n v="11"/>
    <n v="44"/>
    <n v="3"/>
    <n v="3"/>
    <n v="0"/>
    <n v="3"/>
    <n v="6"/>
    <n v="7"/>
    <x v="0"/>
  </r>
  <r>
    <n v="5074"/>
    <n v="1986"/>
    <x v="2"/>
    <x v="2"/>
    <x v="2"/>
    <n v="28072"/>
    <x v="3"/>
    <n v="1"/>
    <n v="0"/>
    <x v="2"/>
    <x v="129"/>
    <n v="10"/>
    <x v="1"/>
    <n v="0"/>
    <n v="30"/>
    <n v="0"/>
    <n v="10"/>
    <n v="2"/>
    <n v="0"/>
    <n v="5"/>
    <n v="47"/>
    <n v="1"/>
    <n v="1"/>
    <n v="0"/>
    <n v="3"/>
    <n v="4"/>
    <n v="7"/>
    <x v="0"/>
  </r>
  <r>
    <n v="10524"/>
    <n v="1963"/>
    <x v="1"/>
    <x v="2"/>
    <x v="3"/>
    <n v="49476"/>
    <x v="1"/>
    <n v="0"/>
    <n v="1"/>
    <x v="2"/>
    <x v="87"/>
    <n v="29"/>
    <x v="1"/>
    <n v="0"/>
    <n v="386"/>
    <n v="23"/>
    <n v="95"/>
    <n v="54"/>
    <n v="41"/>
    <n v="196"/>
    <n v="795"/>
    <n v="4"/>
    <n v="2"/>
    <n v="11"/>
    <n v="5"/>
    <n v="18"/>
    <n v="2"/>
    <x v="0"/>
  </r>
  <r>
    <n v="4690"/>
    <n v="1953"/>
    <x v="0"/>
    <x v="0"/>
    <x v="2"/>
    <n v="50725"/>
    <x v="1"/>
    <n v="0"/>
    <n v="1"/>
    <x v="2"/>
    <x v="253"/>
    <n v="45"/>
    <x v="1"/>
    <n v="0"/>
    <n v="443"/>
    <n v="10"/>
    <n v="75"/>
    <n v="0"/>
    <n v="10"/>
    <n v="48"/>
    <n v="586"/>
    <n v="4"/>
    <n v="8"/>
    <n v="1"/>
    <n v="8"/>
    <n v="17"/>
    <n v="8"/>
    <x v="0"/>
  </r>
  <r>
    <n v="7196"/>
    <n v="1950"/>
    <x v="4"/>
    <x v="1"/>
    <x v="2"/>
    <n v="41145"/>
    <x v="1"/>
    <n v="1"/>
    <n v="1"/>
    <x v="1"/>
    <x v="594"/>
    <n v="20"/>
    <x v="1"/>
    <n v="0"/>
    <n v="9"/>
    <n v="0"/>
    <n v="3"/>
    <n v="0"/>
    <n v="0"/>
    <n v="1"/>
    <n v="13"/>
    <n v="1"/>
    <n v="0"/>
    <n v="0"/>
    <n v="3"/>
    <n v="3"/>
    <n v="3"/>
    <x v="0"/>
  </r>
  <r>
    <n v="4406"/>
    <n v="1970"/>
    <x v="1"/>
    <x v="0"/>
    <x v="1"/>
    <n v="67419"/>
    <x v="0"/>
    <n v="0"/>
    <n v="1"/>
    <x v="2"/>
    <x v="538"/>
    <n v="29"/>
    <x v="1"/>
    <n v="0"/>
    <n v="846"/>
    <n v="84"/>
    <n v="352"/>
    <n v="91"/>
    <n v="56"/>
    <n v="42"/>
    <n v="1471"/>
    <n v="4"/>
    <n v="9"/>
    <n v="4"/>
    <n v="8"/>
    <n v="21"/>
    <n v="5"/>
    <x v="1"/>
  </r>
  <r>
    <n v="9672"/>
    <n v="1970"/>
    <x v="1"/>
    <x v="2"/>
    <x v="2"/>
    <n v="23162"/>
    <x v="3"/>
    <n v="1"/>
    <n v="1"/>
    <x v="1"/>
    <x v="311"/>
    <n v="82"/>
    <x v="0"/>
    <n v="0"/>
    <n v="8"/>
    <n v="3"/>
    <n v="9"/>
    <n v="19"/>
    <n v="4"/>
    <n v="22"/>
    <n v="65"/>
    <n v="3"/>
    <n v="1"/>
    <n v="1"/>
    <n v="3"/>
    <n v="5"/>
    <n v="6"/>
    <x v="0"/>
  </r>
  <r>
    <n v="4864"/>
    <n v="1977"/>
    <x v="3"/>
    <x v="0"/>
    <x v="2"/>
    <n v="34380"/>
    <x v="3"/>
    <n v="1"/>
    <n v="0"/>
    <x v="2"/>
    <x v="319"/>
    <n v="68"/>
    <x v="0"/>
    <n v="0"/>
    <n v="72"/>
    <n v="7"/>
    <n v="58"/>
    <n v="13"/>
    <n v="1"/>
    <n v="24"/>
    <n v="175"/>
    <n v="4"/>
    <n v="4"/>
    <n v="1"/>
    <n v="3"/>
    <n v="8"/>
    <n v="8"/>
    <x v="0"/>
  </r>
  <r>
    <n v="4706"/>
    <n v="1966"/>
    <x v="1"/>
    <x v="0"/>
    <x v="0"/>
    <n v="34704"/>
    <x v="3"/>
    <n v="0"/>
    <n v="1"/>
    <x v="2"/>
    <x v="238"/>
    <n v="65"/>
    <x v="0"/>
    <n v="0"/>
    <n v="29"/>
    <n v="0"/>
    <n v="5"/>
    <n v="0"/>
    <n v="1"/>
    <n v="5"/>
    <n v="40"/>
    <n v="1"/>
    <n v="1"/>
    <n v="0"/>
    <n v="3"/>
    <n v="4"/>
    <n v="5"/>
    <x v="0"/>
  </r>
  <r>
    <n v="4070"/>
    <n v="1969"/>
    <x v="1"/>
    <x v="1"/>
    <x v="2"/>
    <n v="94871"/>
    <x v="2"/>
    <n v="0"/>
    <n v="2"/>
    <x v="1"/>
    <x v="595"/>
    <n v="99"/>
    <x v="0"/>
    <n v="0"/>
    <n v="169"/>
    <n v="24"/>
    <n v="553"/>
    <n v="188"/>
    <n v="0"/>
    <n v="144"/>
    <n v="1078"/>
    <n v="1"/>
    <n v="8"/>
    <n v="5"/>
    <n v="4"/>
    <n v="17"/>
    <n v="7"/>
    <x v="0"/>
  </r>
  <r>
    <n v="25"/>
    <n v="1958"/>
    <x v="5"/>
    <x v="0"/>
    <x v="2"/>
    <n v="65148"/>
    <x v="0"/>
    <n v="0"/>
    <n v="1"/>
    <x v="2"/>
    <x v="596"/>
    <n v="9"/>
    <x v="1"/>
    <n v="0"/>
    <n v="460"/>
    <n v="35"/>
    <n v="422"/>
    <n v="33"/>
    <n v="12"/>
    <n v="153"/>
    <n v="1115"/>
    <n v="2"/>
    <n v="6"/>
    <n v="6"/>
    <n v="7"/>
    <n v="19"/>
    <n v="4"/>
    <x v="1"/>
  </r>
  <r>
    <n v="3697"/>
    <n v="1954"/>
    <x v="0"/>
    <x v="0"/>
    <x v="1"/>
    <n v="39898"/>
    <x v="1"/>
    <n v="0"/>
    <n v="1"/>
    <x v="2"/>
    <x v="597"/>
    <n v="20"/>
    <x v="1"/>
    <n v="0"/>
    <n v="69"/>
    <n v="8"/>
    <n v="26"/>
    <n v="12"/>
    <n v="7"/>
    <n v="12"/>
    <n v="134"/>
    <n v="2"/>
    <n v="3"/>
    <n v="0"/>
    <n v="4"/>
    <n v="7"/>
    <n v="7"/>
    <x v="0"/>
  </r>
  <r>
    <n v="4220"/>
    <n v="1970"/>
    <x v="1"/>
    <x v="1"/>
    <x v="2"/>
    <n v="59892"/>
    <x v="0"/>
    <n v="0"/>
    <n v="1"/>
    <x v="2"/>
    <x v="97"/>
    <n v="26"/>
    <x v="1"/>
    <n v="0"/>
    <n v="73"/>
    <n v="0"/>
    <n v="13"/>
    <n v="0"/>
    <n v="1"/>
    <n v="0"/>
    <n v="87"/>
    <n v="1"/>
    <n v="2"/>
    <n v="1"/>
    <n v="3"/>
    <n v="6"/>
    <n v="3"/>
    <x v="0"/>
  </r>
  <r>
    <n v="5286"/>
    <n v="1987"/>
    <x v="2"/>
    <x v="2"/>
    <x v="0"/>
    <n v="41020"/>
    <x v="1"/>
    <n v="0"/>
    <n v="0"/>
    <x v="0"/>
    <x v="194"/>
    <n v="68"/>
    <x v="0"/>
    <n v="0"/>
    <n v="112"/>
    <n v="1"/>
    <n v="54"/>
    <n v="7"/>
    <n v="7"/>
    <n v="36"/>
    <n v="217"/>
    <n v="1"/>
    <n v="3"/>
    <n v="2"/>
    <n v="4"/>
    <n v="9"/>
    <n v="3"/>
    <x v="0"/>
  </r>
  <r>
    <n v="9559"/>
    <n v="1961"/>
    <x v="0"/>
    <x v="1"/>
    <x v="2"/>
    <n v="57072"/>
    <x v="0"/>
    <n v="0"/>
    <n v="1"/>
    <x v="2"/>
    <x v="102"/>
    <n v="79"/>
    <x v="0"/>
    <n v="0"/>
    <n v="944"/>
    <n v="0"/>
    <n v="60"/>
    <n v="0"/>
    <n v="0"/>
    <n v="30"/>
    <n v="1034"/>
    <n v="2"/>
    <n v="7"/>
    <n v="5"/>
    <n v="13"/>
    <n v="25"/>
    <n v="5"/>
    <x v="0"/>
  </r>
  <r>
    <n v="3102"/>
    <n v="1981"/>
    <x v="3"/>
    <x v="2"/>
    <x v="1"/>
    <n v="19414"/>
    <x v="3"/>
    <n v="1"/>
    <n v="0"/>
    <x v="2"/>
    <x v="286"/>
    <n v="32"/>
    <x v="1"/>
    <n v="0"/>
    <n v="2"/>
    <n v="3"/>
    <n v="12"/>
    <n v="3"/>
    <n v="5"/>
    <n v="7"/>
    <n v="32"/>
    <n v="1"/>
    <n v="1"/>
    <n v="0"/>
    <n v="3"/>
    <n v="4"/>
    <n v="8"/>
    <x v="0"/>
  </r>
  <r>
    <n v="5868"/>
    <n v="1980"/>
    <x v="3"/>
    <x v="0"/>
    <x v="2"/>
    <n v="19107"/>
    <x v="3"/>
    <n v="1"/>
    <n v="0"/>
    <x v="2"/>
    <x v="313"/>
    <n v="49"/>
    <x v="0"/>
    <n v="0"/>
    <n v="2"/>
    <n v="4"/>
    <n v="9"/>
    <n v="10"/>
    <n v="5"/>
    <n v="16"/>
    <n v="46"/>
    <n v="2"/>
    <n v="1"/>
    <n v="0"/>
    <n v="3"/>
    <n v="4"/>
    <n v="7"/>
    <x v="0"/>
  </r>
  <r>
    <n v="8370"/>
    <n v="1976"/>
    <x v="3"/>
    <x v="2"/>
    <x v="1"/>
    <n v="75484"/>
    <x v="2"/>
    <n v="0"/>
    <n v="1"/>
    <x v="2"/>
    <x v="598"/>
    <n v="50"/>
    <x v="0"/>
    <n v="0"/>
    <n v="378"/>
    <n v="97"/>
    <n v="259"/>
    <n v="197"/>
    <n v="194"/>
    <n v="34"/>
    <n v="1159"/>
    <n v="2"/>
    <n v="7"/>
    <n v="3"/>
    <n v="6"/>
    <n v="16"/>
    <n v="4"/>
    <x v="0"/>
  </r>
  <r>
    <n v="9988"/>
    <n v="1976"/>
    <x v="3"/>
    <x v="2"/>
    <x v="0"/>
    <n v="70379"/>
    <x v="2"/>
    <n v="0"/>
    <n v="1"/>
    <x v="2"/>
    <x v="261"/>
    <n v="84"/>
    <x v="0"/>
    <n v="0"/>
    <n v="553"/>
    <n v="25"/>
    <n v="142"/>
    <n v="65"/>
    <n v="67"/>
    <n v="8"/>
    <n v="860"/>
    <n v="3"/>
    <n v="6"/>
    <n v="3"/>
    <n v="13"/>
    <n v="22"/>
    <n v="4"/>
    <x v="0"/>
  </r>
  <r>
    <n v="2939"/>
    <n v="1970"/>
    <x v="1"/>
    <x v="2"/>
    <x v="1"/>
    <n v="79419"/>
    <x v="2"/>
    <n v="0"/>
    <n v="0"/>
    <x v="0"/>
    <x v="511"/>
    <n v="96"/>
    <x v="0"/>
    <n v="0"/>
    <n v="751"/>
    <n v="127"/>
    <n v="687"/>
    <n v="20"/>
    <n v="15"/>
    <n v="31"/>
    <n v="1631"/>
    <n v="1"/>
    <n v="4"/>
    <n v="6"/>
    <n v="4"/>
    <n v="14"/>
    <n v="2"/>
    <x v="0"/>
  </r>
  <r>
    <n v="5529"/>
    <n v="1946"/>
    <x v="4"/>
    <x v="1"/>
    <x v="1"/>
    <n v="64014"/>
    <x v="0"/>
    <n v="2"/>
    <n v="1"/>
    <x v="3"/>
    <x v="574"/>
    <n v="56"/>
    <x v="0"/>
    <n v="0"/>
    <n v="406"/>
    <n v="0"/>
    <n v="30"/>
    <n v="0"/>
    <n v="0"/>
    <n v="8"/>
    <n v="444"/>
    <n v="7"/>
    <n v="8"/>
    <n v="2"/>
    <n v="5"/>
    <n v="15"/>
    <n v="7"/>
    <x v="0"/>
  </r>
  <r>
    <n v="9743"/>
    <n v="1955"/>
    <x v="0"/>
    <x v="0"/>
    <x v="2"/>
    <n v="76998"/>
    <x v="2"/>
    <n v="0"/>
    <n v="1"/>
    <x v="2"/>
    <x v="248"/>
    <n v="85"/>
    <x v="0"/>
    <n v="0"/>
    <n v="1449"/>
    <n v="89"/>
    <n v="161"/>
    <n v="69"/>
    <n v="35"/>
    <n v="107"/>
    <n v="1910"/>
    <n v="2"/>
    <n v="11"/>
    <n v="8"/>
    <n v="8"/>
    <n v="27"/>
    <n v="6"/>
    <x v="0"/>
  </r>
  <r>
    <n v="5763"/>
    <n v="1972"/>
    <x v="1"/>
    <x v="2"/>
    <x v="1"/>
    <n v="49854"/>
    <x v="1"/>
    <n v="1"/>
    <n v="0"/>
    <x v="2"/>
    <x v="265"/>
    <n v="63"/>
    <x v="0"/>
    <n v="0"/>
    <n v="123"/>
    <n v="17"/>
    <n v="171"/>
    <n v="39"/>
    <n v="0"/>
    <n v="30"/>
    <n v="380"/>
    <n v="5"/>
    <n v="6"/>
    <n v="2"/>
    <n v="5"/>
    <n v="13"/>
    <n v="6"/>
    <x v="0"/>
  </r>
  <r>
    <n v="3478"/>
    <n v="1971"/>
    <x v="1"/>
    <x v="1"/>
    <x v="2"/>
    <n v="60585"/>
    <x v="0"/>
    <n v="1"/>
    <n v="1"/>
    <x v="1"/>
    <x v="566"/>
    <n v="17"/>
    <x v="1"/>
    <n v="0"/>
    <n v="267"/>
    <n v="42"/>
    <n v="309"/>
    <n v="55"/>
    <n v="42"/>
    <n v="21"/>
    <n v="736"/>
    <n v="10"/>
    <n v="7"/>
    <n v="4"/>
    <n v="9"/>
    <n v="20"/>
    <n v="5"/>
    <x v="1"/>
  </r>
  <r>
    <n v="7494"/>
    <n v="1950"/>
    <x v="4"/>
    <x v="1"/>
    <x v="3"/>
    <n v="42873"/>
    <x v="1"/>
    <n v="1"/>
    <n v="1"/>
    <x v="1"/>
    <x v="173"/>
    <n v="11"/>
    <x v="1"/>
    <n v="0"/>
    <n v="209"/>
    <n v="0"/>
    <n v="40"/>
    <n v="3"/>
    <n v="2"/>
    <n v="15"/>
    <n v="269"/>
    <n v="4"/>
    <n v="6"/>
    <n v="1"/>
    <n v="4"/>
    <n v="11"/>
    <n v="8"/>
    <x v="0"/>
  </r>
  <r>
    <n v="1763"/>
    <n v="1988"/>
    <x v="2"/>
    <x v="0"/>
    <x v="1"/>
    <n v="87679"/>
    <x v="2"/>
    <n v="0"/>
    <n v="0"/>
    <x v="0"/>
    <x v="481"/>
    <n v="62"/>
    <x v="0"/>
    <n v="0"/>
    <n v="1259"/>
    <n v="172"/>
    <n v="815"/>
    <n v="97"/>
    <n v="148"/>
    <n v="33"/>
    <n v="2524"/>
    <n v="1"/>
    <n v="7"/>
    <n v="11"/>
    <n v="10"/>
    <n v="28"/>
    <n v="4"/>
    <x v="0"/>
  </r>
  <r>
    <n v="7250"/>
    <n v="1978"/>
    <x v="3"/>
    <x v="0"/>
    <x v="1"/>
    <n v="57867"/>
    <x v="0"/>
    <n v="1"/>
    <n v="0"/>
    <x v="2"/>
    <x v="573"/>
    <n v="48"/>
    <x v="1"/>
    <n v="0"/>
    <n v="344"/>
    <n v="35"/>
    <n v="178"/>
    <n v="15"/>
    <n v="23"/>
    <n v="17"/>
    <n v="612"/>
    <n v="7"/>
    <n v="7"/>
    <n v="2"/>
    <n v="9"/>
    <n v="18"/>
    <n v="6"/>
    <x v="1"/>
  </r>
  <r>
    <n v="2005"/>
    <n v="1990"/>
    <x v="2"/>
    <x v="0"/>
    <x v="2"/>
    <n v="35765"/>
    <x v="1"/>
    <n v="1"/>
    <n v="0"/>
    <x v="2"/>
    <x v="492"/>
    <n v="86"/>
    <x v="0"/>
    <n v="0"/>
    <n v="22"/>
    <n v="3"/>
    <n v="30"/>
    <n v="0"/>
    <n v="5"/>
    <n v="15"/>
    <n v="75"/>
    <n v="2"/>
    <n v="2"/>
    <n v="0"/>
    <n v="4"/>
    <n v="6"/>
    <n v="6"/>
    <x v="0"/>
  </r>
  <r>
    <n v="10770"/>
    <n v="1959"/>
    <x v="0"/>
    <x v="0"/>
    <x v="2"/>
    <n v="65492"/>
    <x v="0"/>
    <n v="0"/>
    <n v="0"/>
    <x v="0"/>
    <x v="340"/>
    <n v="73"/>
    <x v="0"/>
    <n v="0"/>
    <n v="247"/>
    <n v="161"/>
    <n v="295"/>
    <n v="210"/>
    <n v="85"/>
    <n v="47"/>
    <n v="1045"/>
    <n v="2"/>
    <n v="4"/>
    <n v="7"/>
    <n v="13"/>
    <n v="24"/>
    <n v="2"/>
    <x v="0"/>
  </r>
  <r>
    <n v="6885"/>
    <n v="1977"/>
    <x v="3"/>
    <x v="0"/>
    <x v="3"/>
    <n v="32952"/>
    <x v="3"/>
    <n v="1"/>
    <n v="0"/>
    <x v="2"/>
    <x v="86"/>
    <n v="36"/>
    <x v="1"/>
    <n v="0"/>
    <n v="38"/>
    <n v="0"/>
    <n v="12"/>
    <n v="3"/>
    <n v="1"/>
    <n v="1"/>
    <n v="55"/>
    <n v="1"/>
    <n v="2"/>
    <n v="0"/>
    <n v="3"/>
    <n v="5"/>
    <n v="7"/>
    <x v="0"/>
  </r>
  <r>
    <n v="2072"/>
    <n v="1969"/>
    <x v="1"/>
    <x v="1"/>
    <x v="1"/>
    <n v="53374"/>
    <x v="0"/>
    <n v="0"/>
    <n v="1"/>
    <x v="2"/>
    <x v="599"/>
    <n v="34"/>
    <x v="1"/>
    <n v="0"/>
    <n v="896"/>
    <n v="10"/>
    <n v="101"/>
    <n v="13"/>
    <n v="10"/>
    <n v="34"/>
    <n v="1064"/>
    <n v="6"/>
    <n v="4"/>
    <n v="2"/>
    <n v="9"/>
    <n v="15"/>
    <n v="9"/>
    <x v="1"/>
  </r>
  <r>
    <n v="9463"/>
    <n v="1959"/>
    <x v="0"/>
    <x v="0"/>
    <x v="1"/>
    <n v="71706"/>
    <x v="2"/>
    <n v="0"/>
    <n v="1"/>
    <x v="2"/>
    <x v="6"/>
    <n v="16"/>
    <x v="1"/>
    <n v="0"/>
    <n v="931"/>
    <n v="56"/>
    <n v="253"/>
    <n v="91"/>
    <n v="98"/>
    <n v="14"/>
    <n v="1443"/>
    <n v="4"/>
    <n v="9"/>
    <n v="5"/>
    <n v="7"/>
    <n v="21"/>
    <n v="5"/>
    <x v="1"/>
  </r>
  <r>
    <n v="6318"/>
    <n v="1988"/>
    <x v="2"/>
    <x v="0"/>
    <x v="2"/>
    <n v="68487"/>
    <x v="0"/>
    <n v="0"/>
    <n v="0"/>
    <x v="0"/>
    <x v="231"/>
    <n v="48"/>
    <x v="1"/>
    <n v="0"/>
    <n v="758"/>
    <n v="12"/>
    <n v="385"/>
    <n v="33"/>
    <n v="89"/>
    <n v="89"/>
    <n v="1366"/>
    <n v="1"/>
    <n v="9"/>
    <n v="7"/>
    <n v="13"/>
    <n v="29"/>
    <n v="4"/>
    <x v="1"/>
  </r>
  <r>
    <n v="4093"/>
    <n v="1975"/>
    <x v="3"/>
    <x v="2"/>
    <x v="1"/>
    <n v="53253"/>
    <x v="0"/>
    <n v="1"/>
    <n v="1"/>
    <x v="1"/>
    <x v="220"/>
    <n v="61"/>
    <x v="0"/>
    <n v="0"/>
    <n v="216"/>
    <n v="9"/>
    <n v="57"/>
    <n v="20"/>
    <n v="9"/>
    <n v="125"/>
    <n v="436"/>
    <n v="7"/>
    <n v="4"/>
    <n v="3"/>
    <n v="5"/>
    <n v="12"/>
    <n v="5"/>
    <x v="0"/>
  </r>
  <r>
    <n v="3340"/>
    <n v="1977"/>
    <x v="3"/>
    <x v="0"/>
    <x v="2"/>
    <n v="42014"/>
    <x v="1"/>
    <n v="1"/>
    <n v="0"/>
    <x v="2"/>
    <x v="197"/>
    <n v="56"/>
    <x v="0"/>
    <n v="0"/>
    <n v="244"/>
    <n v="15"/>
    <n v="108"/>
    <n v="4"/>
    <n v="15"/>
    <n v="50"/>
    <n v="436"/>
    <n v="6"/>
    <n v="7"/>
    <n v="1"/>
    <n v="6"/>
    <n v="14"/>
    <n v="8"/>
    <x v="0"/>
  </r>
  <r>
    <n v="3594"/>
    <n v="1973"/>
    <x v="3"/>
    <x v="2"/>
    <x v="2"/>
    <n v="54108"/>
    <x v="0"/>
    <n v="1"/>
    <n v="1"/>
    <x v="1"/>
    <x v="134"/>
    <n v="74"/>
    <x v="0"/>
    <n v="0"/>
    <n v="539"/>
    <n v="6"/>
    <n v="91"/>
    <n v="8"/>
    <n v="6"/>
    <n v="97"/>
    <n v="747"/>
    <n v="13"/>
    <n v="8"/>
    <n v="2"/>
    <n v="9"/>
    <n v="19"/>
    <n v="8"/>
    <x v="0"/>
  </r>
  <r>
    <n v="3584"/>
    <n v="1955"/>
    <x v="0"/>
    <x v="1"/>
    <x v="0"/>
    <n v="49667"/>
    <x v="1"/>
    <n v="0"/>
    <n v="0"/>
    <x v="0"/>
    <x v="321"/>
    <n v="35"/>
    <x v="1"/>
    <n v="0"/>
    <n v="1181"/>
    <n v="26"/>
    <n v="120"/>
    <n v="17"/>
    <n v="13"/>
    <n v="39"/>
    <n v="1396"/>
    <n v="2"/>
    <n v="5"/>
    <n v="10"/>
    <n v="5"/>
    <n v="20"/>
    <n v="8"/>
    <x v="0"/>
  </r>
  <r>
    <n v="3643"/>
    <n v="1974"/>
    <x v="3"/>
    <x v="2"/>
    <x v="2"/>
    <n v="63206"/>
    <x v="0"/>
    <n v="0"/>
    <n v="0"/>
    <x v="0"/>
    <x v="216"/>
    <n v="65"/>
    <x v="0"/>
    <n v="0"/>
    <n v="750"/>
    <n v="8"/>
    <n v="125"/>
    <n v="11"/>
    <n v="8"/>
    <n v="26"/>
    <n v="928"/>
    <n v="1"/>
    <n v="4"/>
    <n v="3"/>
    <n v="6"/>
    <n v="13"/>
    <n v="2"/>
    <x v="0"/>
  </r>
  <r>
    <n v="851"/>
    <n v="1972"/>
    <x v="1"/>
    <x v="2"/>
    <x v="2"/>
    <n v="57136"/>
    <x v="0"/>
    <n v="1"/>
    <n v="1"/>
    <x v="1"/>
    <x v="381"/>
    <n v="48"/>
    <x v="1"/>
    <n v="0"/>
    <n v="306"/>
    <n v="5"/>
    <n v="109"/>
    <n v="21"/>
    <n v="109"/>
    <n v="92"/>
    <n v="642"/>
    <n v="9"/>
    <n v="5"/>
    <n v="2"/>
    <n v="10"/>
    <n v="17"/>
    <n v="6"/>
    <x v="1"/>
  </r>
  <r>
    <n v="7706"/>
    <n v="1975"/>
    <x v="3"/>
    <x v="2"/>
    <x v="1"/>
    <n v="46772"/>
    <x v="1"/>
    <n v="0"/>
    <n v="1"/>
    <x v="2"/>
    <x v="347"/>
    <n v="88"/>
    <x v="0"/>
    <n v="0"/>
    <n v="350"/>
    <n v="104"/>
    <n v="189"/>
    <n v="197"/>
    <n v="151"/>
    <n v="57"/>
    <n v="1048"/>
    <n v="6"/>
    <n v="11"/>
    <n v="8"/>
    <n v="5"/>
    <n v="24"/>
    <n v="8"/>
    <x v="0"/>
  </r>
  <r>
    <n v="3967"/>
    <n v="1971"/>
    <x v="1"/>
    <x v="1"/>
    <x v="2"/>
    <n v="78931"/>
    <x v="2"/>
    <n v="0"/>
    <n v="0"/>
    <x v="0"/>
    <x v="512"/>
    <n v="19"/>
    <x v="1"/>
    <n v="0"/>
    <n v="331"/>
    <n v="197"/>
    <n v="170"/>
    <n v="58"/>
    <n v="152"/>
    <n v="35"/>
    <n v="943"/>
    <n v="1"/>
    <n v="2"/>
    <n v="8"/>
    <n v="13"/>
    <n v="23"/>
    <n v="1"/>
    <x v="1"/>
  </r>
  <r>
    <n v="10128"/>
    <n v="1958"/>
    <x v="0"/>
    <x v="0"/>
    <x v="1"/>
    <n v="53977"/>
    <x v="0"/>
    <n v="0"/>
    <n v="1"/>
    <x v="2"/>
    <x v="563"/>
    <n v="21"/>
    <x v="1"/>
    <n v="0"/>
    <n v="620"/>
    <n v="16"/>
    <n v="165"/>
    <n v="0"/>
    <n v="24"/>
    <n v="82"/>
    <n v="907"/>
    <n v="5"/>
    <n v="5"/>
    <n v="5"/>
    <n v="12"/>
    <n v="22"/>
    <n v="5"/>
    <x v="1"/>
  </r>
  <r>
    <n v="9451"/>
    <n v="1965"/>
    <x v="1"/>
    <x v="0"/>
    <x v="2"/>
    <n v="73538"/>
    <x v="2"/>
    <n v="0"/>
    <n v="1"/>
    <x v="2"/>
    <x v="600"/>
    <n v="92"/>
    <x v="0"/>
    <n v="0"/>
    <n v="811"/>
    <n v="76"/>
    <n v="428"/>
    <n v="99"/>
    <n v="137"/>
    <n v="107"/>
    <n v="1658"/>
    <n v="3"/>
    <n v="10"/>
    <n v="4"/>
    <n v="9"/>
    <n v="23"/>
    <n v="7"/>
    <x v="0"/>
  </r>
  <r>
    <n v="9264"/>
    <n v="1986"/>
    <x v="2"/>
    <x v="0"/>
    <x v="2"/>
    <n v="79529"/>
    <x v="2"/>
    <n v="0"/>
    <n v="0"/>
    <x v="0"/>
    <x v="601"/>
    <n v="1"/>
    <x v="1"/>
    <n v="0"/>
    <n v="423"/>
    <n v="42"/>
    <n v="706"/>
    <n v="73"/>
    <n v="197"/>
    <n v="197"/>
    <n v="1638"/>
    <n v="1"/>
    <n v="4"/>
    <n v="8"/>
    <n v="9"/>
    <n v="21"/>
    <n v="2"/>
    <x v="1"/>
  </r>
  <r>
    <n v="3865"/>
    <n v="1977"/>
    <x v="3"/>
    <x v="2"/>
    <x v="1"/>
    <n v="20981"/>
    <x v="3"/>
    <n v="0"/>
    <n v="0"/>
    <x v="0"/>
    <x v="602"/>
    <n v="14"/>
    <x v="1"/>
    <n v="0"/>
    <n v="2"/>
    <n v="12"/>
    <n v="10"/>
    <n v="6"/>
    <n v="13"/>
    <n v="30"/>
    <n v="73"/>
    <n v="1"/>
    <n v="3"/>
    <n v="1"/>
    <n v="2"/>
    <n v="6"/>
    <n v="8"/>
    <x v="0"/>
  </r>
  <r>
    <n v="2853"/>
    <n v="1980"/>
    <x v="3"/>
    <x v="0"/>
    <x v="0"/>
    <n v="51766"/>
    <x v="0"/>
    <n v="1"/>
    <n v="0"/>
    <x v="2"/>
    <x v="242"/>
    <n v="74"/>
    <x v="0"/>
    <n v="0"/>
    <n v="60"/>
    <n v="51"/>
    <n v="87"/>
    <n v="6"/>
    <n v="20"/>
    <n v="51"/>
    <n v="275"/>
    <n v="2"/>
    <n v="4"/>
    <n v="2"/>
    <n v="4"/>
    <n v="10"/>
    <n v="5"/>
    <x v="0"/>
  </r>
  <r>
    <n v="1490"/>
    <n v="1962"/>
    <x v="0"/>
    <x v="0"/>
    <x v="2"/>
    <n v="55759"/>
    <x v="0"/>
    <n v="0"/>
    <n v="1"/>
    <x v="2"/>
    <x v="366"/>
    <n v="84"/>
    <x v="0"/>
    <n v="0"/>
    <n v="675"/>
    <n v="0"/>
    <n v="85"/>
    <n v="10"/>
    <n v="7"/>
    <n v="77"/>
    <n v="854"/>
    <n v="5"/>
    <n v="10"/>
    <n v="3"/>
    <n v="8"/>
    <n v="21"/>
    <n v="8"/>
    <x v="0"/>
  </r>
  <r>
    <n v="10380"/>
    <n v="1972"/>
    <x v="1"/>
    <x v="2"/>
    <x v="2"/>
    <n v="37787"/>
    <x v="1"/>
    <n v="1"/>
    <n v="0"/>
    <x v="2"/>
    <x v="537"/>
    <n v="50"/>
    <x v="0"/>
    <n v="0"/>
    <n v="40"/>
    <n v="1"/>
    <n v="40"/>
    <n v="4"/>
    <n v="3"/>
    <n v="18"/>
    <n v="106"/>
    <n v="1"/>
    <n v="3"/>
    <n v="0"/>
    <n v="3"/>
    <n v="6"/>
    <n v="8"/>
    <x v="0"/>
  </r>
  <r>
    <n v="3887"/>
    <n v="1970"/>
    <x v="1"/>
    <x v="0"/>
    <x v="0"/>
    <n v="27242"/>
    <x v="3"/>
    <n v="1"/>
    <n v="0"/>
    <x v="2"/>
    <x v="281"/>
    <n v="2"/>
    <x v="1"/>
    <n v="0"/>
    <n v="3"/>
    <n v="17"/>
    <n v="26"/>
    <n v="20"/>
    <n v="1"/>
    <n v="39"/>
    <n v="106"/>
    <n v="2"/>
    <n v="2"/>
    <n v="0"/>
    <n v="3"/>
    <n v="5"/>
    <n v="9"/>
    <x v="0"/>
  </r>
  <r>
    <n v="4278"/>
    <n v="1983"/>
    <x v="2"/>
    <x v="1"/>
    <x v="0"/>
    <n v="87188"/>
    <x v="2"/>
    <n v="0"/>
    <n v="0"/>
    <x v="0"/>
    <x v="240"/>
    <n v="73"/>
    <x v="0"/>
    <n v="0"/>
    <n v="910"/>
    <n v="111"/>
    <n v="724"/>
    <n v="49"/>
    <n v="74"/>
    <n v="55"/>
    <n v="1923"/>
    <n v="1"/>
    <n v="10"/>
    <n v="2"/>
    <n v="6"/>
    <n v="18"/>
    <n v="3"/>
    <x v="0"/>
  </r>
  <r>
    <n v="8643"/>
    <n v="1971"/>
    <x v="1"/>
    <x v="0"/>
    <x v="1"/>
    <n v="69930"/>
    <x v="2"/>
    <n v="0"/>
    <n v="0"/>
    <x v="0"/>
    <x v="459"/>
    <n v="21"/>
    <x v="1"/>
    <n v="0"/>
    <n v="252"/>
    <n v="98"/>
    <n v="827"/>
    <n v="219"/>
    <n v="70"/>
    <n v="196"/>
    <n v="1662"/>
    <n v="1"/>
    <n v="4"/>
    <n v="5"/>
    <n v="12"/>
    <n v="21"/>
    <n v="3"/>
    <x v="1"/>
  </r>
  <r>
    <n v="1998"/>
    <n v="1976"/>
    <x v="3"/>
    <x v="0"/>
    <x v="0"/>
    <n v="37697"/>
    <x v="1"/>
    <n v="1"/>
    <n v="0"/>
    <x v="2"/>
    <x v="372"/>
    <n v="82"/>
    <x v="0"/>
    <n v="0"/>
    <n v="34"/>
    <n v="6"/>
    <n v="21"/>
    <n v="11"/>
    <n v="4"/>
    <n v="8"/>
    <n v="84"/>
    <n v="1"/>
    <n v="2"/>
    <n v="1"/>
    <n v="3"/>
    <n v="6"/>
    <n v="6"/>
    <x v="0"/>
  </r>
  <r>
    <n v="11110"/>
    <n v="1973"/>
    <x v="3"/>
    <x v="0"/>
    <x v="0"/>
    <n v="3502"/>
    <x v="3"/>
    <n v="1"/>
    <n v="0"/>
    <x v="2"/>
    <x v="305"/>
    <n v="56"/>
    <x v="0"/>
    <n v="0"/>
    <n v="2"/>
    <n v="1"/>
    <n v="1"/>
    <n v="0"/>
    <n v="0"/>
    <n v="1"/>
    <n v="5"/>
    <n v="0"/>
    <n v="0"/>
    <n v="0"/>
    <n v="0"/>
    <n v="0"/>
    <n v="14"/>
    <x v="0"/>
  </r>
  <r>
    <n v="2408"/>
    <n v="1976"/>
    <x v="3"/>
    <x v="0"/>
    <x v="2"/>
    <n v="58597"/>
    <x v="0"/>
    <n v="1"/>
    <n v="1"/>
    <x v="1"/>
    <x v="603"/>
    <n v="20"/>
    <x v="1"/>
    <n v="0"/>
    <n v="490"/>
    <n v="0"/>
    <n v="184"/>
    <n v="10"/>
    <n v="28"/>
    <n v="21"/>
    <n v="733"/>
    <n v="12"/>
    <n v="7"/>
    <n v="4"/>
    <n v="9"/>
    <n v="20"/>
    <n v="7"/>
    <x v="1"/>
  </r>
  <r>
    <n v="202"/>
    <n v="1948"/>
    <x v="4"/>
    <x v="1"/>
    <x v="4"/>
    <n v="82032"/>
    <x v="2"/>
    <n v="0"/>
    <n v="0"/>
    <x v="0"/>
    <x v="306"/>
    <n v="54"/>
    <x v="0"/>
    <n v="0"/>
    <n v="332"/>
    <n v="194"/>
    <n v="377"/>
    <n v="149"/>
    <n v="125"/>
    <n v="57"/>
    <n v="1234"/>
    <n v="0"/>
    <n v="4"/>
    <n v="6"/>
    <n v="7"/>
    <n v="17"/>
    <n v="1"/>
    <x v="0"/>
  </r>
  <r>
    <n v="7998"/>
    <n v="1958"/>
    <x v="0"/>
    <x v="0"/>
    <x v="1"/>
    <n v="28087"/>
    <x v="3"/>
    <n v="1"/>
    <n v="1"/>
    <x v="1"/>
    <x v="395"/>
    <n v="77"/>
    <x v="0"/>
    <n v="0"/>
    <n v="53"/>
    <n v="8"/>
    <n v="17"/>
    <n v="13"/>
    <n v="0"/>
    <n v="21"/>
    <n v="112"/>
    <n v="3"/>
    <n v="2"/>
    <n v="2"/>
    <n v="2"/>
    <n v="6"/>
    <n v="7"/>
    <x v="0"/>
  </r>
  <r>
    <n v="830"/>
    <n v="1987"/>
    <x v="2"/>
    <x v="1"/>
    <x v="0"/>
    <n v="74004"/>
    <x v="2"/>
    <n v="0"/>
    <n v="0"/>
    <x v="0"/>
    <x v="106"/>
    <n v="5"/>
    <x v="1"/>
    <n v="0"/>
    <n v="784"/>
    <n v="48"/>
    <n v="560"/>
    <n v="42"/>
    <n v="176"/>
    <n v="48"/>
    <n v="1658"/>
    <n v="1"/>
    <n v="4"/>
    <n v="6"/>
    <n v="4"/>
    <n v="14"/>
    <n v="3"/>
    <x v="1"/>
  </r>
  <r>
    <n v="3536"/>
    <n v="1960"/>
    <x v="0"/>
    <x v="0"/>
    <x v="1"/>
    <n v="19740"/>
    <x v="3"/>
    <n v="0"/>
    <n v="1"/>
    <x v="2"/>
    <x v="495"/>
    <n v="65"/>
    <x v="0"/>
    <n v="0"/>
    <n v="7"/>
    <n v="11"/>
    <n v="3"/>
    <n v="10"/>
    <n v="4"/>
    <n v="20"/>
    <n v="55"/>
    <n v="2"/>
    <n v="1"/>
    <n v="1"/>
    <n v="3"/>
    <n v="5"/>
    <n v="5"/>
    <x v="0"/>
  </r>
  <r>
    <n v="6050"/>
    <n v="1975"/>
    <x v="3"/>
    <x v="2"/>
    <x v="2"/>
    <n v="57036"/>
    <x v="0"/>
    <n v="0"/>
    <n v="1"/>
    <x v="2"/>
    <x v="395"/>
    <n v="33"/>
    <x v="1"/>
    <n v="0"/>
    <n v="1171"/>
    <n v="43"/>
    <n v="219"/>
    <n v="19"/>
    <n v="14"/>
    <n v="47"/>
    <n v="1513"/>
    <n v="4"/>
    <n v="6"/>
    <n v="3"/>
    <n v="13"/>
    <n v="22"/>
    <n v="9"/>
    <x v="1"/>
  </r>
  <r>
    <n v="125"/>
    <n v="1958"/>
    <x v="0"/>
    <x v="2"/>
    <x v="1"/>
    <n v="53083"/>
    <x v="0"/>
    <n v="1"/>
    <n v="1"/>
    <x v="1"/>
    <x v="187"/>
    <n v="65"/>
    <x v="0"/>
    <n v="0"/>
    <n v="215"/>
    <n v="7"/>
    <n v="33"/>
    <n v="3"/>
    <n v="0"/>
    <n v="13"/>
    <n v="271"/>
    <n v="6"/>
    <n v="5"/>
    <n v="1"/>
    <n v="5"/>
    <n v="11"/>
    <n v="7"/>
    <x v="0"/>
  </r>
  <r>
    <n v="3463"/>
    <n v="1975"/>
    <x v="3"/>
    <x v="1"/>
    <x v="2"/>
    <n v="69283"/>
    <x v="2"/>
    <n v="0"/>
    <n v="1"/>
    <x v="2"/>
    <x v="604"/>
    <n v="41"/>
    <x v="1"/>
    <n v="0"/>
    <n v="674"/>
    <n v="62"/>
    <n v="134"/>
    <n v="0"/>
    <n v="26"/>
    <n v="8"/>
    <n v="904"/>
    <n v="4"/>
    <n v="7"/>
    <n v="3"/>
    <n v="13"/>
    <n v="23"/>
    <n v="5"/>
    <x v="1"/>
  </r>
  <r>
    <n v="2804"/>
    <n v="1975"/>
    <x v="3"/>
    <x v="2"/>
    <x v="0"/>
    <n v="46098"/>
    <x v="1"/>
    <n v="1"/>
    <n v="1"/>
    <x v="1"/>
    <x v="283"/>
    <n v="86"/>
    <x v="0"/>
    <n v="0"/>
    <n v="57"/>
    <n v="0"/>
    <n v="27"/>
    <n v="0"/>
    <n v="0"/>
    <n v="36"/>
    <n v="120"/>
    <n v="4"/>
    <n v="3"/>
    <n v="2"/>
    <n v="2"/>
    <n v="7"/>
    <n v="8"/>
    <x v="0"/>
  </r>
  <r>
    <n v="3745"/>
    <n v="1988"/>
    <x v="2"/>
    <x v="2"/>
    <x v="2"/>
    <n v="23331"/>
    <x v="3"/>
    <n v="1"/>
    <n v="0"/>
    <x v="2"/>
    <x v="0"/>
    <n v="92"/>
    <x v="0"/>
    <n v="0"/>
    <n v="5"/>
    <n v="36"/>
    <n v="7"/>
    <n v="0"/>
    <n v="10"/>
    <n v="45"/>
    <n v="103"/>
    <n v="2"/>
    <n v="3"/>
    <n v="0"/>
    <n v="3"/>
    <n v="6"/>
    <n v="8"/>
    <x v="0"/>
  </r>
  <r>
    <n v="9771"/>
    <n v="1988"/>
    <x v="2"/>
    <x v="2"/>
    <x v="0"/>
    <n v="23331"/>
    <x v="3"/>
    <n v="1"/>
    <n v="0"/>
    <x v="2"/>
    <x v="172"/>
    <n v="97"/>
    <x v="0"/>
    <n v="0"/>
    <n v="104"/>
    <n v="20"/>
    <n v="101"/>
    <n v="24"/>
    <n v="15"/>
    <n v="5"/>
    <n v="269"/>
    <n v="6"/>
    <n v="5"/>
    <n v="1"/>
    <n v="5"/>
    <n v="11"/>
    <n v="9"/>
    <x v="0"/>
  </r>
  <r>
    <n v="451"/>
    <n v="1989"/>
    <x v="2"/>
    <x v="0"/>
    <x v="0"/>
    <n v="9255"/>
    <x v="3"/>
    <n v="1"/>
    <n v="0"/>
    <x v="2"/>
    <x v="314"/>
    <n v="91"/>
    <x v="0"/>
    <n v="0"/>
    <n v="9"/>
    <n v="0"/>
    <n v="7"/>
    <n v="2"/>
    <n v="0"/>
    <n v="4"/>
    <n v="22"/>
    <n v="1"/>
    <n v="1"/>
    <n v="1"/>
    <n v="2"/>
    <n v="4"/>
    <n v="8"/>
    <x v="0"/>
  </r>
  <r>
    <n v="10530"/>
    <n v="1959"/>
    <x v="0"/>
    <x v="1"/>
    <x v="4"/>
    <n v="67786"/>
    <x v="0"/>
    <n v="0"/>
    <n v="0"/>
    <x v="0"/>
    <x v="263"/>
    <n v="0"/>
    <x v="1"/>
    <n v="0"/>
    <n v="431"/>
    <n v="82"/>
    <n v="441"/>
    <n v="80"/>
    <n v="20"/>
    <n v="102"/>
    <n v="1156"/>
    <n v="1"/>
    <n v="3"/>
    <n v="6"/>
    <n v="6"/>
    <n v="15"/>
    <n v="1"/>
    <x v="1"/>
  </r>
  <r>
    <n v="1079"/>
    <n v="1971"/>
    <x v="1"/>
    <x v="1"/>
    <x v="2"/>
    <n v="71969"/>
    <x v="2"/>
    <n v="0"/>
    <n v="1"/>
    <x v="2"/>
    <x v="205"/>
    <n v="59"/>
    <x v="0"/>
    <n v="0"/>
    <n v="1000"/>
    <n v="0"/>
    <n v="76"/>
    <n v="0"/>
    <n v="0"/>
    <n v="10"/>
    <n v="1086"/>
    <n v="3"/>
    <n v="3"/>
    <n v="4"/>
    <n v="9"/>
    <n v="16"/>
    <n v="8"/>
    <x v="0"/>
  </r>
  <r>
    <n v="8920"/>
    <n v="1967"/>
    <x v="1"/>
    <x v="2"/>
    <x v="0"/>
    <n v="59235"/>
    <x v="0"/>
    <n v="1"/>
    <n v="0"/>
    <x v="2"/>
    <x v="232"/>
    <n v="4"/>
    <x v="1"/>
    <n v="0"/>
    <n v="448"/>
    <n v="40"/>
    <n v="469"/>
    <n v="80"/>
    <n v="0"/>
    <n v="91"/>
    <n v="1128"/>
    <n v="3"/>
    <n v="11"/>
    <n v="2"/>
    <n v="12"/>
    <n v="25"/>
    <n v="7"/>
    <x v="1"/>
  </r>
  <r>
    <n v="6678"/>
    <n v="1989"/>
    <x v="2"/>
    <x v="0"/>
    <x v="1"/>
    <n v="31928"/>
    <x v="3"/>
    <n v="1"/>
    <n v="0"/>
    <x v="2"/>
    <x v="605"/>
    <n v="5"/>
    <x v="1"/>
    <n v="0"/>
    <n v="33"/>
    <n v="4"/>
    <n v="24"/>
    <n v="4"/>
    <n v="2"/>
    <n v="5"/>
    <n v="72"/>
    <n v="2"/>
    <n v="3"/>
    <n v="0"/>
    <n v="4"/>
    <n v="7"/>
    <n v="7"/>
    <x v="0"/>
  </r>
  <r>
    <n v="3852"/>
    <n v="1961"/>
    <x v="0"/>
    <x v="2"/>
    <x v="1"/>
    <n v="74881"/>
    <x v="2"/>
    <n v="1"/>
    <n v="1"/>
    <x v="1"/>
    <x v="606"/>
    <n v="48"/>
    <x v="1"/>
    <n v="0"/>
    <n v="505"/>
    <n v="72"/>
    <n v="270"/>
    <n v="36"/>
    <n v="27"/>
    <n v="54"/>
    <n v="964"/>
    <n v="4"/>
    <n v="9"/>
    <n v="2"/>
    <n v="12"/>
    <n v="23"/>
    <n v="5"/>
    <x v="1"/>
  </r>
  <r>
    <n v="528"/>
    <n v="1978"/>
    <x v="3"/>
    <x v="0"/>
    <x v="2"/>
    <n v="65819"/>
    <x v="0"/>
    <n v="0"/>
    <n v="0"/>
    <x v="0"/>
    <x v="480"/>
    <n v="99"/>
    <x v="0"/>
    <n v="0"/>
    <n v="267"/>
    <n v="38"/>
    <n v="701"/>
    <n v="149"/>
    <n v="165"/>
    <n v="63"/>
    <n v="1383"/>
    <n v="1"/>
    <n v="5"/>
    <n v="4"/>
    <n v="10"/>
    <n v="19"/>
    <n v="3"/>
    <x v="0"/>
  </r>
  <r>
    <n v="73"/>
    <n v="1953"/>
    <x v="0"/>
    <x v="1"/>
    <x v="0"/>
    <n v="51411"/>
    <x v="1"/>
    <n v="1"/>
    <n v="2"/>
    <x v="3"/>
    <x v="459"/>
    <n v="81"/>
    <x v="0"/>
    <n v="0"/>
    <n v="14"/>
    <n v="0"/>
    <n v="3"/>
    <n v="0"/>
    <n v="0"/>
    <n v="1"/>
    <n v="18"/>
    <n v="1"/>
    <n v="0"/>
    <n v="0"/>
    <n v="3"/>
    <n v="3"/>
    <n v="5"/>
    <x v="0"/>
  </r>
  <r>
    <n v="5589"/>
    <n v="1964"/>
    <x v="1"/>
    <x v="0"/>
    <x v="3"/>
    <n v="51983"/>
    <x v="0"/>
    <n v="0"/>
    <n v="1"/>
    <x v="2"/>
    <x v="14"/>
    <n v="95"/>
    <x v="0"/>
    <n v="0"/>
    <n v="631"/>
    <n v="0"/>
    <n v="115"/>
    <n v="10"/>
    <n v="7"/>
    <n v="30"/>
    <n v="793"/>
    <n v="3"/>
    <n v="9"/>
    <n v="2"/>
    <n v="10"/>
    <n v="21"/>
    <n v="7"/>
    <x v="0"/>
  </r>
  <r>
    <n v="6365"/>
    <n v="1987"/>
    <x v="2"/>
    <x v="2"/>
    <x v="2"/>
    <n v="30390"/>
    <x v="3"/>
    <n v="0"/>
    <n v="0"/>
    <x v="0"/>
    <x v="32"/>
    <n v="5"/>
    <x v="1"/>
    <n v="0"/>
    <n v="10"/>
    <n v="12"/>
    <n v="12"/>
    <n v="25"/>
    <n v="1"/>
    <n v="20"/>
    <n v="80"/>
    <n v="1"/>
    <n v="2"/>
    <n v="0"/>
    <n v="3"/>
    <n v="5"/>
    <n v="6"/>
    <x v="0"/>
  </r>
  <r>
    <n v="5636"/>
    <n v="1963"/>
    <x v="1"/>
    <x v="0"/>
    <x v="0"/>
    <n v="30983"/>
    <x v="3"/>
    <n v="0"/>
    <n v="0"/>
    <x v="0"/>
    <x v="40"/>
    <n v="50"/>
    <x v="0"/>
    <n v="0"/>
    <n v="51"/>
    <n v="4"/>
    <n v="50"/>
    <n v="12"/>
    <n v="1"/>
    <n v="49"/>
    <n v="167"/>
    <n v="1"/>
    <n v="4"/>
    <n v="0"/>
    <n v="3"/>
    <n v="7"/>
    <n v="8"/>
    <x v="0"/>
  </r>
  <r>
    <n v="591"/>
    <n v="1957"/>
    <x v="0"/>
    <x v="0"/>
    <x v="4"/>
    <n v="66033"/>
    <x v="0"/>
    <n v="0"/>
    <n v="1"/>
    <x v="2"/>
    <x v="401"/>
    <n v="76"/>
    <x v="0"/>
    <n v="0"/>
    <n v="293"/>
    <n v="35"/>
    <n v="179"/>
    <n v="46"/>
    <n v="59"/>
    <n v="65"/>
    <n v="677"/>
    <n v="2"/>
    <n v="8"/>
    <n v="3"/>
    <n v="7"/>
    <n v="18"/>
    <n v="7"/>
    <x v="0"/>
  </r>
  <r>
    <n v="2217"/>
    <n v="1975"/>
    <x v="3"/>
    <x v="2"/>
    <x v="2"/>
    <n v="37284"/>
    <x v="1"/>
    <n v="1"/>
    <n v="1"/>
    <x v="1"/>
    <x v="443"/>
    <n v="46"/>
    <x v="1"/>
    <n v="0"/>
    <n v="11"/>
    <n v="1"/>
    <n v="2"/>
    <n v="2"/>
    <n v="1"/>
    <n v="6"/>
    <n v="23"/>
    <n v="1"/>
    <n v="0"/>
    <n v="0"/>
    <n v="3"/>
    <n v="3"/>
    <n v="6"/>
    <x v="0"/>
  </r>
  <r>
    <n v="2544"/>
    <n v="1951"/>
    <x v="4"/>
    <x v="2"/>
    <x v="3"/>
    <n v="57530"/>
    <x v="0"/>
    <n v="0"/>
    <n v="1"/>
    <x v="2"/>
    <x v="234"/>
    <n v="68"/>
    <x v="0"/>
    <n v="0"/>
    <n v="50"/>
    <n v="1"/>
    <n v="27"/>
    <n v="6"/>
    <n v="7"/>
    <n v="1"/>
    <n v="92"/>
    <n v="1"/>
    <n v="1"/>
    <n v="1"/>
    <n v="4"/>
    <n v="6"/>
    <n v="1"/>
    <x v="0"/>
  </r>
  <r>
    <n v="7725"/>
    <n v="1965"/>
    <x v="1"/>
    <x v="2"/>
    <x v="2"/>
    <n v="76800"/>
    <x v="2"/>
    <n v="0"/>
    <n v="0"/>
    <x v="0"/>
    <x v="1"/>
    <n v="33"/>
    <x v="1"/>
    <n v="0"/>
    <n v="173"/>
    <n v="26"/>
    <n v="255"/>
    <n v="35"/>
    <n v="71"/>
    <n v="81"/>
    <n v="641"/>
    <n v="1"/>
    <n v="4"/>
    <n v="4"/>
    <n v="7"/>
    <n v="15"/>
    <n v="1"/>
    <x v="1"/>
  </r>
  <r>
    <n v="8091"/>
    <n v="1956"/>
    <x v="0"/>
    <x v="0"/>
    <x v="2"/>
    <n v="63943"/>
    <x v="0"/>
    <n v="0"/>
    <n v="1"/>
    <x v="2"/>
    <x v="607"/>
    <n v="50"/>
    <x v="0"/>
    <n v="0"/>
    <n v="423"/>
    <n v="184"/>
    <n v="368"/>
    <n v="13"/>
    <n v="97"/>
    <n v="21"/>
    <n v="1106"/>
    <n v="1"/>
    <n v="6"/>
    <n v="4"/>
    <n v="6"/>
    <n v="16"/>
    <n v="5"/>
    <x v="0"/>
  </r>
  <r>
    <n v="7791"/>
    <n v="1967"/>
    <x v="1"/>
    <x v="2"/>
    <x v="2"/>
    <n v="37054"/>
    <x v="1"/>
    <n v="1"/>
    <n v="1"/>
    <x v="1"/>
    <x v="449"/>
    <n v="89"/>
    <x v="0"/>
    <n v="0"/>
    <n v="12"/>
    <n v="1"/>
    <n v="6"/>
    <n v="0"/>
    <n v="1"/>
    <n v="5"/>
    <n v="25"/>
    <n v="2"/>
    <n v="1"/>
    <n v="0"/>
    <n v="3"/>
    <n v="4"/>
    <n v="7"/>
    <x v="0"/>
  </r>
  <r>
    <n v="955"/>
    <n v="1962"/>
    <x v="0"/>
    <x v="2"/>
    <x v="1"/>
    <n v="47175"/>
    <x v="1"/>
    <n v="1"/>
    <n v="1"/>
    <x v="1"/>
    <x v="122"/>
    <n v="81"/>
    <x v="0"/>
    <n v="0"/>
    <n v="167"/>
    <n v="2"/>
    <n v="44"/>
    <n v="6"/>
    <n v="2"/>
    <n v="19"/>
    <n v="240"/>
    <n v="7"/>
    <n v="4"/>
    <n v="2"/>
    <n v="4"/>
    <n v="10"/>
    <n v="8"/>
    <x v="0"/>
  </r>
  <r>
    <n v="4037"/>
    <n v="1976"/>
    <x v="3"/>
    <x v="0"/>
    <x v="3"/>
    <n v="31859"/>
    <x v="3"/>
    <n v="1"/>
    <n v="0"/>
    <x v="2"/>
    <x v="285"/>
    <n v="77"/>
    <x v="0"/>
    <n v="0"/>
    <n v="3"/>
    <n v="1"/>
    <n v="3"/>
    <n v="8"/>
    <n v="0"/>
    <n v="5"/>
    <n v="20"/>
    <n v="1"/>
    <n v="1"/>
    <n v="0"/>
    <n v="2"/>
    <n v="3"/>
    <n v="7"/>
    <x v="0"/>
  </r>
  <r>
    <n v="6642"/>
    <n v="1961"/>
    <x v="0"/>
    <x v="0"/>
    <x v="3"/>
    <n v="27215"/>
    <x v="3"/>
    <n v="2"/>
    <n v="1"/>
    <x v="3"/>
    <x v="299"/>
    <n v="50"/>
    <x v="0"/>
    <n v="0"/>
    <n v="30"/>
    <n v="5"/>
    <n v="22"/>
    <n v="8"/>
    <n v="9"/>
    <n v="28"/>
    <n v="102"/>
    <n v="4"/>
    <n v="2"/>
    <n v="1"/>
    <n v="4"/>
    <n v="7"/>
    <n v="6"/>
    <x v="0"/>
  </r>
  <r>
    <n v="2793"/>
    <n v="1976"/>
    <x v="3"/>
    <x v="1"/>
    <x v="3"/>
    <n v="70179"/>
    <x v="2"/>
    <n v="0"/>
    <n v="1"/>
    <x v="2"/>
    <x v="545"/>
    <n v="10"/>
    <x v="1"/>
    <n v="0"/>
    <n v="532"/>
    <n v="88"/>
    <n v="168"/>
    <n v="69"/>
    <n v="44"/>
    <n v="133"/>
    <n v="1034"/>
    <n v="3"/>
    <n v="7"/>
    <n v="3"/>
    <n v="13"/>
    <n v="23"/>
    <n v="5"/>
    <x v="1"/>
  </r>
  <r>
    <n v="9530"/>
    <n v="1988"/>
    <x v="2"/>
    <x v="0"/>
    <x v="2"/>
    <n v="24645"/>
    <x v="3"/>
    <n v="1"/>
    <n v="0"/>
    <x v="2"/>
    <x v="569"/>
    <n v="16"/>
    <x v="1"/>
    <n v="0"/>
    <n v="5"/>
    <n v="3"/>
    <n v="4"/>
    <n v="4"/>
    <n v="1"/>
    <n v="0"/>
    <n v="17"/>
    <n v="1"/>
    <n v="1"/>
    <n v="0"/>
    <n v="2"/>
    <n v="3"/>
    <n v="8"/>
    <x v="0"/>
  </r>
  <r>
    <n v="4828"/>
    <n v="1954"/>
    <x v="0"/>
    <x v="0"/>
    <x v="3"/>
    <n v="79865"/>
    <x v="2"/>
    <n v="0"/>
    <n v="1"/>
    <x v="2"/>
    <x v="361"/>
    <n v="12"/>
    <x v="1"/>
    <n v="0"/>
    <n v="71"/>
    <n v="99"/>
    <n v="278"/>
    <n v="185"/>
    <n v="121"/>
    <n v="38"/>
    <n v="792"/>
    <n v="1"/>
    <n v="5"/>
    <n v="10"/>
    <n v="5"/>
    <n v="20"/>
    <n v="1"/>
    <x v="1"/>
  </r>
  <r>
    <n v="10699"/>
    <n v="1985"/>
    <x v="2"/>
    <x v="0"/>
    <x v="2"/>
    <n v="44322"/>
    <x v="1"/>
    <n v="1"/>
    <n v="0"/>
    <x v="2"/>
    <x v="266"/>
    <n v="30"/>
    <x v="1"/>
    <n v="0"/>
    <n v="46"/>
    <n v="0"/>
    <n v="40"/>
    <n v="3"/>
    <n v="0"/>
    <n v="3"/>
    <n v="92"/>
    <n v="2"/>
    <n v="3"/>
    <n v="0"/>
    <n v="3"/>
    <n v="6"/>
    <n v="8"/>
    <x v="0"/>
  </r>
  <r>
    <n v="1497"/>
    <n v="1952"/>
    <x v="4"/>
    <x v="0"/>
    <x v="0"/>
    <n v="47958"/>
    <x v="1"/>
    <n v="0"/>
    <n v="1"/>
    <x v="2"/>
    <x v="470"/>
    <n v="8"/>
    <x v="1"/>
    <n v="0"/>
    <n v="268"/>
    <n v="11"/>
    <n v="88"/>
    <n v="15"/>
    <n v="3"/>
    <n v="22"/>
    <n v="407"/>
    <n v="2"/>
    <n v="6"/>
    <n v="3"/>
    <n v="5"/>
    <n v="14"/>
    <n v="5"/>
    <x v="0"/>
  </r>
  <r>
    <n v="7476"/>
    <n v="1964"/>
    <x v="1"/>
    <x v="2"/>
    <x v="0"/>
    <n v="63972"/>
    <x v="0"/>
    <n v="0"/>
    <n v="1"/>
    <x v="2"/>
    <x v="579"/>
    <n v="93"/>
    <x v="0"/>
    <n v="0"/>
    <n v="928"/>
    <n v="63"/>
    <n v="254"/>
    <n v="0"/>
    <n v="12"/>
    <n v="12"/>
    <n v="1269"/>
    <n v="4"/>
    <n v="5"/>
    <n v="4"/>
    <n v="10"/>
    <n v="19"/>
    <n v="4"/>
    <x v="0"/>
  </r>
  <r>
    <n v="4390"/>
    <n v="1954"/>
    <x v="0"/>
    <x v="0"/>
    <x v="1"/>
    <n v="75315"/>
    <x v="2"/>
    <n v="0"/>
    <n v="1"/>
    <x v="2"/>
    <x v="608"/>
    <n v="14"/>
    <x v="1"/>
    <n v="0"/>
    <n v="459"/>
    <n v="15"/>
    <n v="171"/>
    <n v="142"/>
    <n v="23"/>
    <n v="31"/>
    <n v="841"/>
    <n v="2"/>
    <n v="5"/>
    <n v="4"/>
    <n v="12"/>
    <n v="21"/>
    <n v="2"/>
    <x v="1"/>
  </r>
  <r>
    <n v="10478"/>
    <n v="1950"/>
    <x v="4"/>
    <x v="1"/>
    <x v="2"/>
    <n v="55517"/>
    <x v="0"/>
    <n v="1"/>
    <n v="1"/>
    <x v="1"/>
    <x v="292"/>
    <n v="53"/>
    <x v="0"/>
    <n v="0"/>
    <n v="483"/>
    <n v="0"/>
    <n v="108"/>
    <n v="0"/>
    <n v="6"/>
    <n v="36"/>
    <n v="633"/>
    <n v="5"/>
    <n v="11"/>
    <n v="1"/>
    <n v="6"/>
    <n v="18"/>
    <n v="9"/>
    <x v="0"/>
  </r>
  <r>
    <n v="1081"/>
    <n v="1957"/>
    <x v="0"/>
    <x v="1"/>
    <x v="2"/>
    <n v="75283"/>
    <x v="2"/>
    <n v="1"/>
    <n v="2"/>
    <x v="3"/>
    <x v="330"/>
    <n v="26"/>
    <x v="1"/>
    <n v="0"/>
    <n v="733"/>
    <n v="9"/>
    <n v="180"/>
    <n v="12"/>
    <n v="19"/>
    <n v="66"/>
    <n v="1019"/>
    <n v="11"/>
    <n v="6"/>
    <n v="3"/>
    <n v="5"/>
    <n v="14"/>
    <n v="4"/>
    <x v="1"/>
  </r>
  <r>
    <n v="5350"/>
    <n v="1991"/>
    <x v="2"/>
    <x v="2"/>
    <x v="0"/>
    <n v="90638"/>
    <x v="2"/>
    <n v="0"/>
    <n v="0"/>
    <x v="0"/>
    <x v="550"/>
    <n v="29"/>
    <x v="1"/>
    <n v="0"/>
    <n v="1156"/>
    <n v="120"/>
    <n v="915"/>
    <n v="94"/>
    <n v="144"/>
    <n v="96"/>
    <n v="2525"/>
    <n v="1"/>
    <n v="3"/>
    <n v="4"/>
    <n v="10"/>
    <n v="17"/>
    <n v="1"/>
    <x v="1"/>
  </r>
  <r>
    <n v="8135"/>
    <n v="1986"/>
    <x v="2"/>
    <x v="2"/>
    <x v="2"/>
    <n v="27161"/>
    <x v="3"/>
    <n v="1"/>
    <n v="0"/>
    <x v="2"/>
    <x v="194"/>
    <n v="41"/>
    <x v="1"/>
    <n v="0"/>
    <n v="7"/>
    <n v="4"/>
    <n v="23"/>
    <n v="7"/>
    <n v="0"/>
    <n v="11"/>
    <n v="52"/>
    <n v="1"/>
    <n v="1"/>
    <n v="0"/>
    <n v="3"/>
    <n v="4"/>
    <n v="7"/>
    <x v="0"/>
  </r>
  <r>
    <n v="4967"/>
    <n v="1960"/>
    <x v="0"/>
    <x v="1"/>
    <x v="1"/>
    <n v="38201"/>
    <x v="1"/>
    <n v="0"/>
    <n v="1"/>
    <x v="2"/>
    <x v="443"/>
    <n v="19"/>
    <x v="1"/>
    <n v="0"/>
    <n v="233"/>
    <n v="0"/>
    <n v="23"/>
    <n v="0"/>
    <n v="0"/>
    <n v="12"/>
    <n v="268"/>
    <n v="4"/>
    <n v="5"/>
    <n v="1"/>
    <n v="5"/>
    <n v="11"/>
    <n v="8"/>
    <x v="0"/>
  </r>
  <r>
    <n v="2130"/>
    <n v="1982"/>
    <x v="3"/>
    <x v="0"/>
    <x v="1"/>
    <n v="45203"/>
    <x v="1"/>
    <n v="2"/>
    <n v="0"/>
    <x v="1"/>
    <x v="82"/>
    <n v="4"/>
    <x v="1"/>
    <n v="0"/>
    <n v="35"/>
    <n v="3"/>
    <n v="67"/>
    <n v="10"/>
    <n v="8"/>
    <n v="24"/>
    <n v="147"/>
    <n v="1"/>
    <n v="3"/>
    <n v="1"/>
    <n v="3"/>
    <n v="7"/>
    <n v="6"/>
    <x v="0"/>
  </r>
  <r>
    <n v="9298"/>
    <n v="1947"/>
    <x v="4"/>
    <x v="1"/>
    <x v="1"/>
    <n v="81574"/>
    <x v="2"/>
    <n v="0"/>
    <n v="0"/>
    <x v="0"/>
    <x v="50"/>
    <n v="89"/>
    <x v="0"/>
    <n v="0"/>
    <n v="1252"/>
    <n v="0"/>
    <n v="465"/>
    <n v="46"/>
    <n v="35"/>
    <n v="0"/>
    <n v="1798"/>
    <n v="1"/>
    <n v="4"/>
    <n v="5"/>
    <n v="8"/>
    <n v="17"/>
    <n v="1"/>
    <x v="0"/>
  </r>
  <r>
    <n v="6257"/>
    <n v="1976"/>
    <x v="3"/>
    <x v="2"/>
    <x v="0"/>
    <n v="60482"/>
    <x v="0"/>
    <n v="0"/>
    <n v="1"/>
    <x v="2"/>
    <x v="299"/>
    <n v="81"/>
    <x v="0"/>
    <n v="0"/>
    <n v="255"/>
    <n v="43"/>
    <n v="134"/>
    <n v="37"/>
    <n v="14"/>
    <n v="24"/>
    <n v="507"/>
    <n v="1"/>
    <n v="7"/>
    <n v="2"/>
    <n v="7"/>
    <n v="16"/>
    <n v="7"/>
    <x v="0"/>
  </r>
  <r>
    <n v="3790"/>
    <n v="1956"/>
    <x v="0"/>
    <x v="0"/>
    <x v="1"/>
    <n v="34633"/>
    <x v="3"/>
    <n v="2"/>
    <n v="1"/>
    <x v="3"/>
    <x v="494"/>
    <n v="31"/>
    <x v="1"/>
    <n v="0"/>
    <n v="8"/>
    <n v="1"/>
    <n v="5"/>
    <n v="0"/>
    <n v="0"/>
    <n v="1"/>
    <n v="15"/>
    <n v="1"/>
    <n v="1"/>
    <n v="0"/>
    <n v="2"/>
    <n v="3"/>
    <n v="6"/>
    <x v="0"/>
  </r>
  <r>
    <n v="9952"/>
    <n v="1947"/>
    <x v="4"/>
    <x v="2"/>
    <x v="1"/>
    <n v="78093"/>
    <x v="2"/>
    <n v="0"/>
    <n v="0"/>
    <x v="0"/>
    <x v="492"/>
    <n v="53"/>
    <x v="0"/>
    <n v="0"/>
    <n v="368"/>
    <n v="32"/>
    <n v="639"/>
    <n v="13"/>
    <n v="43"/>
    <n v="10"/>
    <n v="1105"/>
    <n v="1"/>
    <n v="4"/>
    <n v="7"/>
    <n v="5"/>
    <n v="16"/>
    <n v="1"/>
    <x v="0"/>
  </r>
  <r>
    <n v="3503"/>
    <n v="1950"/>
    <x v="4"/>
    <x v="0"/>
    <x v="3"/>
    <n v="82460"/>
    <x v="2"/>
    <n v="0"/>
    <n v="0"/>
    <x v="0"/>
    <x v="348"/>
    <n v="78"/>
    <x v="0"/>
    <n v="0"/>
    <n v="255"/>
    <n v="47"/>
    <n v="573"/>
    <n v="52"/>
    <n v="32"/>
    <n v="15"/>
    <n v="974"/>
    <n v="1"/>
    <n v="5"/>
    <n v="3"/>
    <n v="6"/>
    <n v="14"/>
    <n v="1"/>
    <x v="0"/>
  </r>
  <r>
    <n v="5223"/>
    <n v="1966"/>
    <x v="1"/>
    <x v="2"/>
    <x v="1"/>
    <n v="45903"/>
    <x v="1"/>
    <n v="0"/>
    <n v="1"/>
    <x v="2"/>
    <x v="523"/>
    <n v="80"/>
    <x v="0"/>
    <n v="0"/>
    <n v="33"/>
    <n v="8"/>
    <n v="10"/>
    <n v="2"/>
    <n v="10"/>
    <n v="3"/>
    <n v="66"/>
    <n v="2"/>
    <n v="2"/>
    <n v="1"/>
    <n v="3"/>
    <n v="6"/>
    <n v="4"/>
    <x v="0"/>
  </r>
  <r>
    <n v="4608"/>
    <n v="1987"/>
    <x v="2"/>
    <x v="0"/>
    <x v="3"/>
    <n v="81361"/>
    <x v="2"/>
    <n v="0"/>
    <n v="0"/>
    <x v="0"/>
    <x v="75"/>
    <n v="18"/>
    <x v="1"/>
    <n v="0"/>
    <n v="163"/>
    <n v="23"/>
    <n v="424"/>
    <n v="27"/>
    <n v="65"/>
    <n v="76"/>
    <n v="778"/>
    <n v="1"/>
    <n v="3"/>
    <n v="10"/>
    <n v="13"/>
    <n v="26"/>
    <n v="1"/>
    <x v="1"/>
  </r>
  <r>
    <n v="1626"/>
    <n v="1973"/>
    <x v="3"/>
    <x v="1"/>
    <x v="3"/>
    <n v="35860"/>
    <x v="1"/>
    <n v="1"/>
    <n v="1"/>
    <x v="1"/>
    <x v="115"/>
    <n v="37"/>
    <x v="1"/>
    <n v="0"/>
    <n v="15"/>
    <n v="0"/>
    <n v="8"/>
    <n v="4"/>
    <n v="2"/>
    <n v="20"/>
    <n v="49"/>
    <n v="2"/>
    <n v="1"/>
    <n v="1"/>
    <n v="2"/>
    <n v="4"/>
    <n v="5"/>
    <x v="0"/>
  </r>
  <r>
    <n v="4764"/>
    <n v="1952"/>
    <x v="4"/>
    <x v="2"/>
    <x v="1"/>
    <n v="40442"/>
    <x v="1"/>
    <n v="1"/>
    <n v="1"/>
    <x v="1"/>
    <x v="337"/>
    <n v="52"/>
    <x v="0"/>
    <n v="0"/>
    <n v="45"/>
    <n v="12"/>
    <n v="52"/>
    <n v="25"/>
    <n v="22"/>
    <n v="13"/>
    <n v="169"/>
    <n v="4"/>
    <n v="3"/>
    <n v="1"/>
    <n v="4"/>
    <n v="8"/>
    <n v="7"/>
    <x v="0"/>
  </r>
  <r>
    <n v="2471"/>
    <n v="1965"/>
    <x v="1"/>
    <x v="0"/>
    <x v="2"/>
    <n v="61482"/>
    <x v="0"/>
    <n v="0"/>
    <n v="0"/>
    <x v="0"/>
    <x v="434"/>
    <n v="39"/>
    <x v="1"/>
    <n v="0"/>
    <n v="48"/>
    <n v="58"/>
    <n v="68"/>
    <n v="16"/>
    <n v="66"/>
    <n v="43"/>
    <n v="299"/>
    <n v="1"/>
    <n v="3"/>
    <n v="2"/>
    <n v="6"/>
    <n v="11"/>
    <n v="2"/>
    <x v="0"/>
  </r>
  <r>
    <n v="5892"/>
    <n v="1980"/>
    <x v="3"/>
    <x v="0"/>
    <x v="2"/>
    <n v="34968"/>
    <x v="3"/>
    <n v="1"/>
    <n v="0"/>
    <x v="2"/>
    <x v="435"/>
    <n v="11"/>
    <x v="1"/>
    <n v="0"/>
    <n v="158"/>
    <n v="6"/>
    <n v="45"/>
    <n v="8"/>
    <n v="2"/>
    <n v="2"/>
    <n v="221"/>
    <n v="7"/>
    <n v="3"/>
    <n v="2"/>
    <n v="5"/>
    <n v="10"/>
    <n v="7"/>
    <x v="0"/>
  </r>
  <r>
    <n v="2612"/>
    <n v="1987"/>
    <x v="2"/>
    <x v="0"/>
    <x v="2"/>
    <n v="75794"/>
    <x v="2"/>
    <n v="0"/>
    <n v="0"/>
    <x v="0"/>
    <x v="539"/>
    <n v="33"/>
    <x v="1"/>
    <n v="0"/>
    <n v="754"/>
    <n v="160"/>
    <n v="625"/>
    <n v="63"/>
    <n v="32"/>
    <n v="48"/>
    <n v="1682"/>
    <n v="1"/>
    <n v="7"/>
    <n v="5"/>
    <n v="12"/>
    <n v="24"/>
    <n v="3"/>
    <x v="1"/>
  </r>
  <r>
    <n v="5185"/>
    <n v="1955"/>
    <x v="0"/>
    <x v="0"/>
    <x v="2"/>
    <n v="74268"/>
    <x v="2"/>
    <n v="0"/>
    <n v="0"/>
    <x v="0"/>
    <x v="477"/>
    <n v="83"/>
    <x v="0"/>
    <n v="0"/>
    <n v="199"/>
    <n v="66"/>
    <n v="315"/>
    <n v="97"/>
    <n v="174"/>
    <n v="41"/>
    <n v="892"/>
    <n v="1"/>
    <n v="4"/>
    <n v="3"/>
    <n v="5"/>
    <n v="12"/>
    <n v="2"/>
    <x v="0"/>
  </r>
  <r>
    <n v="10069"/>
    <n v="1988"/>
    <x v="2"/>
    <x v="3"/>
    <x v="1"/>
    <n v="13724"/>
    <x v="3"/>
    <n v="1"/>
    <n v="0"/>
    <x v="2"/>
    <x v="14"/>
    <n v="43"/>
    <x v="1"/>
    <n v="0"/>
    <n v="2"/>
    <n v="7"/>
    <n v="5"/>
    <n v="2"/>
    <n v="15"/>
    <n v="27"/>
    <n v="58"/>
    <n v="1"/>
    <n v="2"/>
    <n v="0"/>
    <n v="2"/>
    <n v="4"/>
    <n v="9"/>
    <x v="0"/>
  </r>
  <r>
    <n v="1131"/>
    <n v="1967"/>
    <x v="1"/>
    <x v="1"/>
    <x v="0"/>
    <n v="52569"/>
    <x v="0"/>
    <n v="0"/>
    <n v="1"/>
    <x v="2"/>
    <x v="306"/>
    <n v="54"/>
    <x v="0"/>
    <n v="0"/>
    <n v="85"/>
    <n v="0"/>
    <n v="3"/>
    <n v="0"/>
    <n v="0"/>
    <n v="7"/>
    <n v="95"/>
    <n v="1"/>
    <n v="2"/>
    <n v="0"/>
    <n v="4"/>
    <n v="6"/>
    <n v="3"/>
    <x v="0"/>
  </r>
  <r>
    <n v="1041"/>
    <n v="1973"/>
    <x v="3"/>
    <x v="1"/>
    <x v="0"/>
    <n v="48432"/>
    <x v="1"/>
    <n v="0"/>
    <n v="1"/>
    <x v="2"/>
    <x v="121"/>
    <n v="3"/>
    <x v="1"/>
    <n v="0"/>
    <n v="322"/>
    <n v="3"/>
    <n v="50"/>
    <n v="4"/>
    <n v="3"/>
    <n v="42"/>
    <n v="424"/>
    <n v="5"/>
    <n v="7"/>
    <n v="1"/>
    <n v="6"/>
    <n v="14"/>
    <n v="8"/>
    <x v="0"/>
  </r>
  <r>
    <n v="3409"/>
    <n v="1984"/>
    <x v="2"/>
    <x v="0"/>
    <x v="0"/>
    <n v="36108"/>
    <x v="1"/>
    <n v="1"/>
    <n v="0"/>
    <x v="2"/>
    <x v="590"/>
    <n v="68"/>
    <x v="0"/>
    <n v="0"/>
    <n v="141"/>
    <n v="8"/>
    <n v="129"/>
    <n v="3"/>
    <n v="11"/>
    <n v="47"/>
    <n v="339"/>
    <n v="3"/>
    <n v="7"/>
    <n v="1"/>
    <n v="4"/>
    <n v="12"/>
    <n v="9"/>
    <x v="0"/>
  </r>
  <r>
    <n v="7022"/>
    <n v="1971"/>
    <x v="1"/>
    <x v="0"/>
    <x v="2"/>
    <n v="76445"/>
    <x v="2"/>
    <n v="1"/>
    <n v="0"/>
    <x v="2"/>
    <x v="273"/>
    <n v="2"/>
    <x v="1"/>
    <n v="0"/>
    <n v="739"/>
    <n v="107"/>
    <n v="309"/>
    <n v="140"/>
    <n v="80"/>
    <n v="35"/>
    <n v="1410"/>
    <n v="1"/>
    <n v="2"/>
    <n v="5"/>
    <n v="13"/>
    <n v="20"/>
    <n v="6"/>
    <x v="1"/>
  </r>
  <r>
    <n v="7943"/>
    <n v="1975"/>
    <x v="3"/>
    <x v="1"/>
    <x v="2"/>
    <n v="36663"/>
    <x v="1"/>
    <n v="1"/>
    <n v="0"/>
    <x v="2"/>
    <x v="609"/>
    <n v="40"/>
    <x v="1"/>
    <n v="0"/>
    <n v="18"/>
    <n v="0"/>
    <n v="6"/>
    <n v="3"/>
    <n v="3"/>
    <n v="5"/>
    <n v="35"/>
    <n v="1"/>
    <n v="1"/>
    <n v="1"/>
    <n v="3"/>
    <n v="5"/>
    <n v="2"/>
    <x v="0"/>
  </r>
  <r>
    <n v="5272"/>
    <n v="1965"/>
    <x v="1"/>
    <x v="2"/>
    <x v="2"/>
    <n v="53843"/>
    <x v="0"/>
    <n v="0"/>
    <n v="1"/>
    <x v="2"/>
    <x v="610"/>
    <n v="64"/>
    <x v="0"/>
    <n v="0"/>
    <n v="378"/>
    <n v="0"/>
    <n v="88"/>
    <n v="19"/>
    <n v="4"/>
    <n v="73"/>
    <n v="562"/>
    <n v="4"/>
    <n v="8"/>
    <n v="5"/>
    <n v="3"/>
    <n v="16"/>
    <n v="7"/>
    <x v="0"/>
  </r>
  <r>
    <n v="5453"/>
    <n v="1956"/>
    <x v="0"/>
    <x v="2"/>
    <x v="2"/>
    <n v="90226"/>
    <x v="2"/>
    <n v="0"/>
    <n v="0"/>
    <x v="0"/>
    <x v="577"/>
    <n v="26"/>
    <x v="1"/>
    <n v="0"/>
    <n v="1083"/>
    <n v="108"/>
    <n v="649"/>
    <n v="253"/>
    <n v="151"/>
    <n v="108"/>
    <n v="2352"/>
    <n v="1"/>
    <n v="4"/>
    <n v="7"/>
    <n v="12"/>
    <n v="23"/>
    <n v="2"/>
    <x v="1"/>
  </r>
  <r>
    <n v="2565"/>
    <n v="1955"/>
    <x v="0"/>
    <x v="2"/>
    <x v="3"/>
    <n v="70638"/>
    <x v="2"/>
    <n v="0"/>
    <n v="0"/>
    <x v="0"/>
    <x v="611"/>
    <n v="69"/>
    <x v="0"/>
    <n v="0"/>
    <n v="1016"/>
    <n v="12"/>
    <n v="215"/>
    <n v="16"/>
    <n v="12"/>
    <n v="63"/>
    <n v="1334"/>
    <n v="1"/>
    <n v="4"/>
    <n v="5"/>
    <n v="10"/>
    <n v="19"/>
    <n v="3"/>
    <x v="0"/>
  </r>
  <r>
    <n v="800"/>
    <n v="1960"/>
    <x v="0"/>
    <x v="0"/>
    <x v="1"/>
    <n v="44512"/>
    <x v="1"/>
    <n v="1"/>
    <n v="1"/>
    <x v="1"/>
    <x v="462"/>
    <n v="57"/>
    <x v="0"/>
    <n v="0"/>
    <n v="23"/>
    <n v="1"/>
    <n v="6"/>
    <n v="0"/>
    <n v="0"/>
    <n v="2"/>
    <n v="32"/>
    <n v="2"/>
    <n v="1"/>
    <n v="0"/>
    <n v="3"/>
    <n v="4"/>
    <n v="4"/>
    <x v="0"/>
  </r>
  <r>
    <n v="11092"/>
    <n v="1961"/>
    <x v="0"/>
    <x v="0"/>
    <x v="2"/>
    <n v="27116"/>
    <x v="3"/>
    <n v="1"/>
    <n v="1"/>
    <x v="1"/>
    <x v="582"/>
    <n v="78"/>
    <x v="0"/>
    <n v="0"/>
    <n v="12"/>
    <n v="1"/>
    <n v="21"/>
    <n v="2"/>
    <n v="2"/>
    <n v="3"/>
    <n v="41"/>
    <n v="2"/>
    <n v="2"/>
    <n v="0"/>
    <n v="3"/>
    <n v="5"/>
    <n v="7"/>
    <x v="0"/>
  </r>
  <r>
    <n v="5062"/>
    <n v="1963"/>
    <x v="1"/>
    <x v="1"/>
    <x v="2"/>
    <n v="54072"/>
    <x v="0"/>
    <n v="1"/>
    <n v="1"/>
    <x v="1"/>
    <x v="481"/>
    <n v="71"/>
    <x v="0"/>
    <n v="0"/>
    <n v="35"/>
    <n v="0"/>
    <n v="4"/>
    <n v="0"/>
    <n v="0"/>
    <n v="0"/>
    <n v="39"/>
    <n v="1"/>
    <n v="2"/>
    <n v="0"/>
    <n v="2"/>
    <n v="4"/>
    <n v="8"/>
    <x v="0"/>
  </r>
  <r>
    <n v="8969"/>
    <n v="1977"/>
    <x v="3"/>
    <x v="0"/>
    <x v="2"/>
    <n v="71855"/>
    <x v="2"/>
    <n v="0"/>
    <n v="1"/>
    <x v="2"/>
    <x v="538"/>
    <n v="59"/>
    <x v="0"/>
    <n v="0"/>
    <n v="548"/>
    <n v="31"/>
    <n v="422"/>
    <n v="0"/>
    <n v="112"/>
    <n v="28"/>
    <n v="1141"/>
    <n v="4"/>
    <n v="5"/>
    <n v="5"/>
    <n v="11"/>
    <n v="21"/>
    <n v="3"/>
    <x v="0"/>
  </r>
  <r>
    <n v="4656"/>
    <n v="1990"/>
    <x v="2"/>
    <x v="2"/>
    <x v="0"/>
    <n v="51250"/>
    <x v="1"/>
    <n v="1"/>
    <n v="0"/>
    <x v="2"/>
    <x v="298"/>
    <n v="28"/>
    <x v="1"/>
    <n v="0"/>
    <n v="342"/>
    <n v="32"/>
    <n v="230"/>
    <n v="34"/>
    <n v="32"/>
    <n v="40"/>
    <n v="710"/>
    <n v="5"/>
    <n v="10"/>
    <n v="5"/>
    <n v="4"/>
    <n v="19"/>
    <n v="9"/>
    <x v="0"/>
  </r>
  <r>
    <n v="4480"/>
    <n v="1973"/>
    <x v="3"/>
    <x v="2"/>
    <x v="2"/>
    <n v="60432"/>
    <x v="0"/>
    <n v="0"/>
    <n v="1"/>
    <x v="2"/>
    <x v="448"/>
    <n v="61"/>
    <x v="0"/>
    <n v="0"/>
    <n v="365"/>
    <n v="3"/>
    <n v="15"/>
    <n v="4"/>
    <n v="3"/>
    <n v="11"/>
    <n v="401"/>
    <n v="5"/>
    <n v="7"/>
    <n v="2"/>
    <n v="5"/>
    <n v="14"/>
    <n v="6"/>
    <x v="0"/>
  </r>
  <r>
    <n v="1773"/>
    <n v="1978"/>
    <x v="3"/>
    <x v="2"/>
    <x v="2"/>
    <n v="12393"/>
    <x v="3"/>
    <n v="0"/>
    <n v="0"/>
    <x v="0"/>
    <x v="356"/>
    <n v="38"/>
    <x v="1"/>
    <n v="0"/>
    <n v="5"/>
    <n v="6"/>
    <n v="15"/>
    <n v="11"/>
    <n v="7"/>
    <n v="13"/>
    <n v="57"/>
    <n v="1"/>
    <n v="2"/>
    <n v="0"/>
    <n v="3"/>
    <n v="5"/>
    <n v="9"/>
    <x v="0"/>
  </r>
  <r>
    <n v="9242"/>
    <n v="1990"/>
    <x v="2"/>
    <x v="0"/>
    <x v="0"/>
    <n v="64509"/>
    <x v="0"/>
    <n v="0"/>
    <n v="0"/>
    <x v="0"/>
    <x v="529"/>
    <n v="19"/>
    <x v="1"/>
    <n v="0"/>
    <n v="836"/>
    <n v="185"/>
    <n v="575"/>
    <n v="24"/>
    <n v="25"/>
    <n v="77"/>
    <n v="1722"/>
    <n v="1"/>
    <n v="6"/>
    <n v="3"/>
    <n v="9"/>
    <n v="18"/>
    <n v="4"/>
    <x v="1"/>
  </r>
  <r>
    <n v="1764"/>
    <n v="1975"/>
    <x v="3"/>
    <x v="0"/>
    <x v="0"/>
    <n v="33955"/>
    <x v="3"/>
    <n v="1"/>
    <n v="0"/>
    <x v="2"/>
    <x v="502"/>
    <n v="92"/>
    <x v="0"/>
    <n v="0"/>
    <n v="100"/>
    <n v="2"/>
    <n v="128"/>
    <n v="23"/>
    <n v="7"/>
    <n v="10"/>
    <n v="270"/>
    <n v="4"/>
    <n v="5"/>
    <n v="1"/>
    <n v="5"/>
    <n v="11"/>
    <n v="8"/>
    <x v="0"/>
  </r>
  <r>
    <n v="6215"/>
    <n v="1977"/>
    <x v="3"/>
    <x v="0"/>
    <x v="2"/>
    <n v="31353"/>
    <x v="3"/>
    <n v="1"/>
    <n v="1"/>
    <x v="1"/>
    <x v="157"/>
    <n v="24"/>
    <x v="1"/>
    <n v="0"/>
    <n v="10"/>
    <n v="0"/>
    <n v="10"/>
    <n v="3"/>
    <n v="1"/>
    <n v="7"/>
    <n v="31"/>
    <n v="2"/>
    <n v="1"/>
    <n v="1"/>
    <n v="2"/>
    <n v="4"/>
    <n v="8"/>
    <x v="0"/>
  </r>
  <r>
    <n v="10099"/>
    <n v="1984"/>
    <x v="2"/>
    <x v="0"/>
    <x v="2"/>
    <n v="55434"/>
    <x v="0"/>
    <n v="1"/>
    <n v="0"/>
    <x v="2"/>
    <x v="612"/>
    <n v="21"/>
    <x v="1"/>
    <n v="0"/>
    <n v="238"/>
    <n v="115"/>
    <n v="215"/>
    <n v="169"/>
    <n v="69"/>
    <n v="76"/>
    <n v="882"/>
    <n v="3"/>
    <n v="5"/>
    <n v="3"/>
    <n v="13"/>
    <n v="21"/>
    <n v="4"/>
    <x v="1"/>
  </r>
  <r>
    <n v="5423"/>
    <n v="1983"/>
    <x v="2"/>
    <x v="0"/>
    <x v="1"/>
    <n v="28359"/>
    <x v="3"/>
    <n v="1"/>
    <n v="0"/>
    <x v="2"/>
    <x v="202"/>
    <n v="35"/>
    <x v="1"/>
    <n v="0"/>
    <n v="6"/>
    <n v="0"/>
    <n v="5"/>
    <n v="2"/>
    <n v="1"/>
    <n v="2"/>
    <n v="16"/>
    <n v="1"/>
    <n v="1"/>
    <n v="0"/>
    <n v="2"/>
    <n v="3"/>
    <n v="7"/>
    <x v="0"/>
  </r>
  <r>
    <n v="940"/>
    <n v="1987"/>
    <x v="2"/>
    <x v="0"/>
    <x v="0"/>
    <n v="57100"/>
    <x v="0"/>
    <n v="1"/>
    <n v="0"/>
    <x v="2"/>
    <x v="333"/>
    <n v="9"/>
    <x v="1"/>
    <n v="0"/>
    <n v="158"/>
    <n v="11"/>
    <n v="99"/>
    <n v="15"/>
    <n v="11"/>
    <n v="17"/>
    <n v="311"/>
    <n v="2"/>
    <n v="3"/>
    <n v="2"/>
    <n v="7"/>
    <n v="12"/>
    <n v="3"/>
    <x v="0"/>
  </r>
  <r>
    <n v="3298"/>
    <n v="1956"/>
    <x v="0"/>
    <x v="2"/>
    <x v="2"/>
    <n v="52973"/>
    <x v="0"/>
    <n v="0"/>
    <n v="1"/>
    <x v="2"/>
    <x v="43"/>
    <n v="92"/>
    <x v="0"/>
    <n v="0"/>
    <n v="856"/>
    <n v="0"/>
    <n v="76"/>
    <n v="12"/>
    <n v="9"/>
    <n v="199"/>
    <n v="1152"/>
    <n v="7"/>
    <n v="9"/>
    <n v="6"/>
    <n v="9"/>
    <n v="24"/>
    <n v="8"/>
    <x v="0"/>
  </r>
  <r>
    <n v="8286"/>
    <n v="1965"/>
    <x v="1"/>
    <x v="1"/>
    <x v="1"/>
    <n v="51717"/>
    <x v="0"/>
    <n v="0"/>
    <n v="1"/>
    <x v="2"/>
    <x v="132"/>
    <n v="55"/>
    <x v="0"/>
    <n v="0"/>
    <n v="98"/>
    <n v="1"/>
    <n v="17"/>
    <n v="0"/>
    <n v="1"/>
    <n v="5"/>
    <n v="122"/>
    <n v="1"/>
    <n v="3"/>
    <n v="0"/>
    <n v="4"/>
    <n v="7"/>
    <n v="7"/>
    <x v="0"/>
  </r>
  <r>
    <n v="9668"/>
    <n v="1971"/>
    <x v="1"/>
    <x v="0"/>
    <x v="2"/>
    <n v="18793"/>
    <x v="3"/>
    <n v="1"/>
    <n v="0"/>
    <x v="2"/>
    <x v="232"/>
    <n v="14"/>
    <x v="1"/>
    <n v="0"/>
    <n v="4"/>
    <n v="16"/>
    <n v="20"/>
    <n v="0"/>
    <n v="17"/>
    <n v="20"/>
    <n v="77"/>
    <n v="3"/>
    <n v="2"/>
    <n v="0"/>
    <n v="4"/>
    <n v="6"/>
    <n v="8"/>
    <x v="0"/>
  </r>
  <r>
    <n v="6097"/>
    <n v="1959"/>
    <x v="0"/>
    <x v="0"/>
    <x v="0"/>
    <n v="50664"/>
    <x v="1"/>
    <n v="1"/>
    <n v="1"/>
    <x v="1"/>
    <x v="538"/>
    <n v="64"/>
    <x v="0"/>
    <n v="0"/>
    <n v="313"/>
    <n v="8"/>
    <n v="104"/>
    <n v="6"/>
    <n v="4"/>
    <n v="126"/>
    <n v="561"/>
    <n v="9"/>
    <n v="8"/>
    <n v="1"/>
    <n v="6"/>
    <n v="15"/>
    <n v="9"/>
    <x v="0"/>
  </r>
  <r>
    <n v="7019"/>
    <n v="1963"/>
    <x v="1"/>
    <x v="0"/>
    <x v="1"/>
    <n v="54414"/>
    <x v="0"/>
    <n v="1"/>
    <n v="1"/>
    <x v="1"/>
    <x v="299"/>
    <n v="49"/>
    <x v="0"/>
    <n v="0"/>
    <n v="109"/>
    <n v="18"/>
    <n v="16"/>
    <n v="24"/>
    <n v="26"/>
    <n v="18"/>
    <n v="211"/>
    <n v="4"/>
    <n v="3"/>
    <n v="1"/>
    <n v="5"/>
    <n v="9"/>
    <n v="4"/>
    <x v="0"/>
  </r>
  <r>
    <n v="7408"/>
    <n v="1952"/>
    <x v="4"/>
    <x v="1"/>
    <x v="2"/>
    <n v="54549"/>
    <x v="0"/>
    <n v="0"/>
    <n v="1"/>
    <x v="2"/>
    <x v="52"/>
    <n v="8"/>
    <x v="1"/>
    <n v="0"/>
    <n v="216"/>
    <n v="2"/>
    <n v="6"/>
    <n v="0"/>
    <n v="0"/>
    <n v="9"/>
    <n v="233"/>
    <n v="2"/>
    <n v="5"/>
    <n v="1"/>
    <n v="4"/>
    <n v="10"/>
    <n v="7"/>
    <x v="0"/>
  </r>
  <r>
    <n v="8041"/>
    <n v="1971"/>
    <x v="1"/>
    <x v="1"/>
    <x v="4"/>
    <n v="47111"/>
    <x v="1"/>
    <n v="0"/>
    <n v="1"/>
    <x v="2"/>
    <x v="181"/>
    <n v="35"/>
    <x v="1"/>
    <n v="0"/>
    <n v="595"/>
    <n v="71"/>
    <n v="153"/>
    <n v="120"/>
    <n v="112"/>
    <n v="41"/>
    <n v="1092"/>
    <n v="6"/>
    <n v="3"/>
    <n v="2"/>
    <n v="10"/>
    <n v="15"/>
    <n v="9"/>
    <x v="0"/>
  </r>
  <r>
    <n v="252"/>
    <n v="1963"/>
    <x v="1"/>
    <x v="1"/>
    <x v="3"/>
    <n v="41003"/>
    <x v="1"/>
    <n v="0"/>
    <n v="0"/>
    <x v="0"/>
    <x v="65"/>
    <n v="11"/>
    <x v="1"/>
    <n v="0"/>
    <n v="123"/>
    <n v="133"/>
    <n v="142"/>
    <n v="71"/>
    <n v="44"/>
    <n v="88"/>
    <n v="601"/>
    <n v="1"/>
    <n v="6"/>
    <n v="2"/>
    <n v="8"/>
    <n v="16"/>
    <n v="6"/>
    <x v="0"/>
  </r>
  <r>
    <n v="9986"/>
    <n v="1982"/>
    <x v="3"/>
    <x v="0"/>
    <x v="1"/>
    <n v="19444"/>
    <x v="3"/>
    <n v="1"/>
    <n v="0"/>
    <x v="2"/>
    <x v="613"/>
    <n v="8"/>
    <x v="1"/>
    <n v="0"/>
    <n v="16"/>
    <n v="0"/>
    <n v="23"/>
    <n v="3"/>
    <n v="2"/>
    <n v="10"/>
    <n v="54"/>
    <n v="3"/>
    <n v="4"/>
    <n v="1"/>
    <n v="2"/>
    <n v="7"/>
    <n v="7"/>
    <x v="0"/>
  </r>
  <r>
    <n v="3276"/>
    <n v="1976"/>
    <x v="3"/>
    <x v="2"/>
    <x v="1"/>
    <n v="36301"/>
    <x v="1"/>
    <n v="1"/>
    <n v="0"/>
    <x v="2"/>
    <x v="512"/>
    <n v="53"/>
    <x v="0"/>
    <n v="0"/>
    <n v="11"/>
    <n v="12"/>
    <n v="35"/>
    <n v="3"/>
    <n v="5"/>
    <n v="12"/>
    <n v="78"/>
    <n v="1"/>
    <n v="3"/>
    <n v="0"/>
    <n v="3"/>
    <n v="6"/>
    <n v="7"/>
    <x v="0"/>
  </r>
  <r>
    <n v="3570"/>
    <n v="1969"/>
    <x v="1"/>
    <x v="1"/>
    <x v="1"/>
    <n v="42731"/>
    <x v="1"/>
    <n v="1"/>
    <n v="0"/>
    <x v="2"/>
    <x v="413"/>
    <n v="64"/>
    <x v="0"/>
    <n v="0"/>
    <n v="159"/>
    <n v="2"/>
    <n v="51"/>
    <n v="6"/>
    <n v="2"/>
    <n v="24"/>
    <n v="244"/>
    <n v="3"/>
    <n v="4"/>
    <n v="1"/>
    <n v="5"/>
    <n v="10"/>
    <n v="5"/>
    <x v="0"/>
  </r>
  <r>
    <n v="3783"/>
    <n v="1959"/>
    <x v="0"/>
    <x v="1"/>
    <x v="2"/>
    <n v="52854"/>
    <x v="0"/>
    <n v="1"/>
    <n v="1"/>
    <x v="1"/>
    <x v="535"/>
    <n v="43"/>
    <x v="1"/>
    <n v="0"/>
    <n v="105"/>
    <n v="0"/>
    <n v="10"/>
    <n v="0"/>
    <n v="1"/>
    <n v="0"/>
    <n v="116"/>
    <n v="2"/>
    <n v="2"/>
    <n v="1"/>
    <n v="4"/>
    <n v="7"/>
    <n v="5"/>
    <x v="0"/>
  </r>
  <r>
    <n v="10207"/>
    <n v="1978"/>
    <x v="3"/>
    <x v="0"/>
    <x v="1"/>
    <n v="22775"/>
    <x v="3"/>
    <n v="1"/>
    <n v="0"/>
    <x v="2"/>
    <x v="215"/>
    <n v="40"/>
    <x v="1"/>
    <n v="0"/>
    <n v="5"/>
    <n v="1"/>
    <n v="8"/>
    <n v="0"/>
    <n v="0"/>
    <n v="1"/>
    <n v="15"/>
    <n v="1"/>
    <n v="1"/>
    <n v="0"/>
    <n v="2"/>
    <n v="3"/>
    <n v="8"/>
    <x v="0"/>
  </r>
  <r>
    <n v="3427"/>
    <n v="1955"/>
    <x v="0"/>
    <x v="1"/>
    <x v="2"/>
    <n v="59821"/>
    <x v="0"/>
    <n v="0"/>
    <n v="1"/>
    <x v="2"/>
    <x v="614"/>
    <n v="11"/>
    <x v="1"/>
    <n v="0"/>
    <n v="629"/>
    <n v="0"/>
    <n v="70"/>
    <n v="0"/>
    <n v="0"/>
    <n v="35"/>
    <n v="734"/>
    <n v="6"/>
    <n v="11"/>
    <n v="2"/>
    <n v="7"/>
    <n v="20"/>
    <n v="8"/>
    <x v="1"/>
  </r>
  <r>
    <n v="5209"/>
    <n v="1954"/>
    <x v="0"/>
    <x v="0"/>
    <x v="3"/>
    <n v="50002"/>
    <x v="1"/>
    <n v="0"/>
    <n v="1"/>
    <x v="2"/>
    <x v="51"/>
    <n v="21"/>
    <x v="1"/>
    <n v="0"/>
    <n v="443"/>
    <n v="5"/>
    <n v="71"/>
    <n v="21"/>
    <n v="16"/>
    <n v="82"/>
    <n v="638"/>
    <n v="2"/>
    <n v="8"/>
    <n v="2"/>
    <n v="7"/>
    <n v="17"/>
    <n v="7"/>
    <x v="0"/>
  </r>
  <r>
    <n v="10711"/>
    <n v="1945"/>
    <x v="4"/>
    <x v="0"/>
    <x v="2"/>
    <n v="69755"/>
    <x v="2"/>
    <n v="0"/>
    <n v="0"/>
    <x v="0"/>
    <x v="38"/>
    <n v="23"/>
    <x v="1"/>
    <n v="0"/>
    <n v="217"/>
    <n v="77"/>
    <n v="373"/>
    <n v="111"/>
    <n v="23"/>
    <n v="93"/>
    <n v="894"/>
    <n v="1"/>
    <n v="3"/>
    <n v="6"/>
    <n v="12"/>
    <n v="21"/>
    <n v="1"/>
    <x v="1"/>
  </r>
  <r>
    <n v="10785"/>
    <n v="1969"/>
    <x v="1"/>
    <x v="0"/>
    <x v="2"/>
    <n v="44078"/>
    <x v="1"/>
    <n v="1"/>
    <n v="1"/>
    <x v="1"/>
    <x v="490"/>
    <n v="17"/>
    <x v="1"/>
    <n v="0"/>
    <n v="24"/>
    <n v="1"/>
    <n v="10"/>
    <n v="2"/>
    <n v="0"/>
    <n v="4"/>
    <n v="41"/>
    <n v="2"/>
    <n v="2"/>
    <n v="0"/>
    <n v="3"/>
    <n v="5"/>
    <n v="5"/>
    <x v="0"/>
  </r>
  <r>
    <n v="2814"/>
    <n v="1976"/>
    <x v="3"/>
    <x v="2"/>
    <x v="1"/>
    <n v="30560"/>
    <x v="3"/>
    <n v="1"/>
    <n v="0"/>
    <x v="2"/>
    <x v="610"/>
    <n v="6"/>
    <x v="1"/>
    <n v="0"/>
    <n v="9"/>
    <n v="1"/>
    <n v="5"/>
    <n v="4"/>
    <n v="5"/>
    <n v="7"/>
    <n v="31"/>
    <n v="1"/>
    <n v="1"/>
    <n v="0"/>
    <n v="3"/>
    <n v="4"/>
    <n v="7"/>
    <x v="0"/>
  </r>
  <r>
    <n v="6866"/>
    <n v="1969"/>
    <x v="1"/>
    <x v="2"/>
    <x v="1"/>
    <n v="35924"/>
    <x v="1"/>
    <n v="1"/>
    <n v="1"/>
    <x v="1"/>
    <x v="82"/>
    <n v="56"/>
    <x v="0"/>
    <n v="0"/>
    <n v="8"/>
    <n v="0"/>
    <n v="14"/>
    <n v="2"/>
    <n v="3"/>
    <n v="7"/>
    <n v="34"/>
    <n v="1"/>
    <n v="1"/>
    <n v="0"/>
    <n v="3"/>
    <n v="4"/>
    <n v="5"/>
    <x v="0"/>
  </r>
  <r>
    <n v="1665"/>
    <n v="1964"/>
    <x v="1"/>
    <x v="1"/>
    <x v="3"/>
    <n v="64140"/>
    <x v="0"/>
    <n v="0"/>
    <n v="2"/>
    <x v="1"/>
    <x v="615"/>
    <n v="71"/>
    <x v="0"/>
    <n v="0"/>
    <n v="1459"/>
    <n v="0"/>
    <n v="61"/>
    <n v="0"/>
    <n v="15"/>
    <n v="215"/>
    <n v="1750"/>
    <n v="5"/>
    <n v="2"/>
    <n v="5"/>
    <n v="6"/>
    <n v="13"/>
    <n v="5"/>
    <x v="0"/>
  </r>
  <r>
    <n v="6575"/>
    <n v="1981"/>
    <x v="3"/>
    <x v="0"/>
    <x v="1"/>
    <n v="56386"/>
    <x v="0"/>
    <n v="1"/>
    <n v="1"/>
    <x v="1"/>
    <x v="269"/>
    <n v="51"/>
    <x v="0"/>
    <n v="0"/>
    <n v="230"/>
    <n v="48"/>
    <n v="214"/>
    <n v="13"/>
    <n v="32"/>
    <n v="75"/>
    <n v="612"/>
    <n v="8"/>
    <n v="9"/>
    <n v="1"/>
    <n v="7"/>
    <n v="17"/>
    <n v="9"/>
    <x v="0"/>
  </r>
  <r>
    <n v="3091"/>
    <n v="1981"/>
    <x v="3"/>
    <x v="2"/>
    <x v="1"/>
    <n v="75774"/>
    <x v="2"/>
    <n v="1"/>
    <n v="0"/>
    <x v="2"/>
    <x v="453"/>
    <n v="27"/>
    <x v="1"/>
    <n v="0"/>
    <n v="340"/>
    <n v="21"/>
    <n v="134"/>
    <n v="258"/>
    <n v="14"/>
    <n v="56"/>
    <n v="823"/>
    <n v="1"/>
    <n v="7"/>
    <n v="5"/>
    <n v="8"/>
    <n v="20"/>
    <n v="4"/>
    <x v="1"/>
  </r>
  <r>
    <n v="10141"/>
    <n v="1960"/>
    <x v="0"/>
    <x v="2"/>
    <x v="3"/>
    <n v="39228"/>
    <x v="1"/>
    <n v="0"/>
    <n v="0"/>
    <x v="0"/>
    <x v="456"/>
    <n v="1"/>
    <x v="1"/>
    <n v="0"/>
    <n v="7"/>
    <n v="1"/>
    <n v="6"/>
    <n v="0"/>
    <n v="3"/>
    <n v="3"/>
    <n v="20"/>
    <n v="1"/>
    <n v="0"/>
    <n v="0"/>
    <n v="3"/>
    <n v="3"/>
    <n v="4"/>
    <x v="0"/>
  </r>
  <r>
    <n v="5177"/>
    <n v="1974"/>
    <x v="3"/>
    <x v="2"/>
    <x v="2"/>
    <n v="58494"/>
    <x v="0"/>
    <n v="0"/>
    <n v="1"/>
    <x v="2"/>
    <x v="460"/>
    <n v="56"/>
    <x v="0"/>
    <n v="0"/>
    <n v="298"/>
    <n v="7"/>
    <n v="68"/>
    <n v="4"/>
    <n v="0"/>
    <n v="19"/>
    <n v="396"/>
    <n v="2"/>
    <n v="6"/>
    <n v="2"/>
    <n v="6"/>
    <n v="14"/>
    <n v="6"/>
    <x v="0"/>
  </r>
  <r>
    <n v="7005"/>
    <n v="1981"/>
    <x v="3"/>
    <x v="0"/>
    <x v="0"/>
    <n v="58684"/>
    <x v="0"/>
    <n v="0"/>
    <n v="0"/>
    <x v="0"/>
    <x v="266"/>
    <n v="71"/>
    <x v="0"/>
    <n v="0"/>
    <n v="479"/>
    <n v="35"/>
    <n v="179"/>
    <n v="28"/>
    <n v="7"/>
    <n v="85"/>
    <n v="813"/>
    <n v="1"/>
    <n v="5"/>
    <n v="3"/>
    <n v="12"/>
    <n v="20"/>
    <n v="2"/>
    <x v="0"/>
  </r>
  <r>
    <n v="6409"/>
    <n v="1967"/>
    <x v="1"/>
    <x v="0"/>
    <x v="3"/>
    <n v="57136"/>
    <x v="0"/>
    <n v="0"/>
    <n v="0"/>
    <x v="0"/>
    <x v="499"/>
    <n v="18"/>
    <x v="1"/>
    <n v="0"/>
    <n v="267"/>
    <n v="140"/>
    <n v="599"/>
    <n v="34"/>
    <n v="12"/>
    <n v="127"/>
    <n v="1179"/>
    <n v="1"/>
    <n v="7"/>
    <n v="5"/>
    <n v="7"/>
    <n v="19"/>
    <n v="6"/>
    <x v="1"/>
  </r>
  <r>
    <n v="7485"/>
    <n v="1950"/>
    <x v="4"/>
    <x v="1"/>
    <x v="4"/>
    <n v="56551"/>
    <x v="0"/>
    <n v="1"/>
    <n v="1"/>
    <x v="1"/>
    <x v="392"/>
    <n v="48"/>
    <x v="1"/>
    <n v="0"/>
    <n v="67"/>
    <n v="4"/>
    <n v="32"/>
    <n v="17"/>
    <n v="2"/>
    <n v="16"/>
    <n v="138"/>
    <n v="3"/>
    <n v="2"/>
    <n v="1"/>
    <n v="4"/>
    <n v="7"/>
    <n v="4"/>
    <x v="0"/>
  </r>
  <r>
    <n v="8079"/>
    <n v="1982"/>
    <x v="3"/>
    <x v="0"/>
    <x v="2"/>
    <n v="22448"/>
    <x v="3"/>
    <n v="1"/>
    <n v="0"/>
    <x v="2"/>
    <x v="522"/>
    <n v="86"/>
    <x v="0"/>
    <n v="0"/>
    <n v="3"/>
    <n v="1"/>
    <n v="8"/>
    <n v="23"/>
    <n v="2"/>
    <n v="18"/>
    <n v="55"/>
    <n v="3"/>
    <n v="2"/>
    <n v="1"/>
    <n v="3"/>
    <n v="6"/>
    <n v="3"/>
    <x v="0"/>
  </r>
  <r>
    <n v="8395"/>
    <n v="1961"/>
    <x v="0"/>
    <x v="0"/>
    <x v="0"/>
    <n v="82014"/>
    <x v="2"/>
    <n v="0"/>
    <n v="0"/>
    <x v="0"/>
    <x v="321"/>
    <n v="48"/>
    <x v="1"/>
    <n v="0"/>
    <n v="980"/>
    <n v="37"/>
    <n v="265"/>
    <n v="35"/>
    <n v="163"/>
    <n v="31"/>
    <n v="1511"/>
    <n v="1"/>
    <n v="3"/>
    <n v="6"/>
    <n v="12"/>
    <n v="21"/>
    <n v="6"/>
    <x v="1"/>
  </r>
  <r>
    <n v="10352"/>
    <n v="1963"/>
    <x v="1"/>
    <x v="0"/>
    <x v="4"/>
    <n v="34213"/>
    <x v="3"/>
    <n v="1"/>
    <n v="1"/>
    <x v="1"/>
    <x v="54"/>
    <n v="2"/>
    <x v="1"/>
    <n v="0"/>
    <n v="50"/>
    <n v="4"/>
    <n v="28"/>
    <n v="6"/>
    <n v="3"/>
    <n v="26"/>
    <n v="117"/>
    <n v="3"/>
    <n v="3"/>
    <n v="1"/>
    <n v="2"/>
    <n v="6"/>
    <n v="9"/>
    <x v="0"/>
  </r>
  <r>
    <n v="4931"/>
    <n v="1977"/>
    <x v="3"/>
    <x v="0"/>
    <x v="1"/>
    <n v="157146"/>
    <x v="2"/>
    <n v="0"/>
    <n v="0"/>
    <x v="0"/>
    <x v="35"/>
    <n v="13"/>
    <x v="1"/>
    <n v="0"/>
    <n v="1"/>
    <n v="0"/>
    <n v="1725"/>
    <n v="2"/>
    <n v="1"/>
    <n v="1"/>
    <n v="1730"/>
    <n v="0"/>
    <n v="0"/>
    <n v="28"/>
    <n v="0"/>
    <n v="28"/>
    <n v="1"/>
    <x v="1"/>
  </r>
  <r>
    <n v="13"/>
    <n v="1947"/>
    <x v="5"/>
    <x v="1"/>
    <x v="4"/>
    <n v="25358"/>
    <x v="3"/>
    <n v="0"/>
    <n v="1"/>
    <x v="2"/>
    <x v="570"/>
    <n v="57"/>
    <x v="0"/>
    <n v="0"/>
    <n v="19"/>
    <n v="0"/>
    <n v="5"/>
    <n v="0"/>
    <n v="0"/>
    <n v="8"/>
    <n v="32"/>
    <n v="2"/>
    <n v="1"/>
    <n v="0"/>
    <n v="3"/>
    <n v="4"/>
    <n v="6"/>
    <x v="0"/>
  </r>
  <r>
    <n v="1834"/>
    <n v="1978"/>
    <x v="3"/>
    <x v="2"/>
    <x v="0"/>
    <n v="35544"/>
    <x v="1"/>
    <n v="1"/>
    <n v="0"/>
    <x v="2"/>
    <x v="1"/>
    <n v="77"/>
    <x v="0"/>
    <n v="0"/>
    <n v="30"/>
    <n v="5"/>
    <n v="23"/>
    <n v="4"/>
    <n v="1"/>
    <n v="4"/>
    <n v="67"/>
    <n v="1"/>
    <n v="2"/>
    <n v="0"/>
    <n v="3"/>
    <n v="5"/>
    <n v="7"/>
    <x v="0"/>
  </r>
  <r>
    <n v="2285"/>
    <n v="1954"/>
    <x v="0"/>
    <x v="2"/>
    <x v="1"/>
    <n v="36634"/>
    <x v="1"/>
    <n v="0"/>
    <n v="1"/>
    <x v="2"/>
    <x v="505"/>
    <n v="0"/>
    <x v="1"/>
    <n v="0"/>
    <n v="213"/>
    <n v="9"/>
    <n v="76"/>
    <n v="4"/>
    <n v="3"/>
    <n v="30"/>
    <n v="335"/>
    <n v="3"/>
    <n v="5"/>
    <n v="2"/>
    <n v="5"/>
    <n v="12"/>
    <n v="7"/>
    <x v="0"/>
  </r>
  <r>
    <n v="2295"/>
    <n v="1954"/>
    <x v="0"/>
    <x v="1"/>
    <x v="2"/>
    <n v="62670"/>
    <x v="0"/>
    <n v="0"/>
    <n v="1"/>
    <x v="2"/>
    <x v="309"/>
    <n v="57"/>
    <x v="0"/>
    <n v="0"/>
    <n v="539"/>
    <n v="30"/>
    <n v="92"/>
    <n v="80"/>
    <n v="46"/>
    <n v="38"/>
    <n v="825"/>
    <n v="1"/>
    <n v="5"/>
    <n v="3"/>
    <n v="13"/>
    <n v="21"/>
    <n v="3"/>
    <x v="0"/>
  </r>
  <r>
    <n v="1378"/>
    <n v="1972"/>
    <x v="1"/>
    <x v="2"/>
    <x v="1"/>
    <n v="50334"/>
    <x v="1"/>
    <n v="0"/>
    <n v="1"/>
    <x v="2"/>
    <x v="616"/>
    <n v="24"/>
    <x v="1"/>
    <n v="0"/>
    <n v="284"/>
    <n v="16"/>
    <n v="160"/>
    <n v="84"/>
    <n v="16"/>
    <n v="134"/>
    <n v="694"/>
    <n v="6"/>
    <n v="7"/>
    <n v="4"/>
    <n v="6"/>
    <n v="17"/>
    <n v="6"/>
    <x v="0"/>
  </r>
  <r>
    <n v="2781"/>
    <n v="1981"/>
    <x v="3"/>
    <x v="0"/>
    <x v="0"/>
    <n v="72066"/>
    <x v="2"/>
    <n v="0"/>
    <n v="0"/>
    <x v="0"/>
    <x v="617"/>
    <n v="55"/>
    <x v="0"/>
    <n v="0"/>
    <n v="1003"/>
    <n v="34"/>
    <n v="536"/>
    <n v="134"/>
    <n v="51"/>
    <n v="34"/>
    <n v="1792"/>
    <n v="1"/>
    <n v="4"/>
    <n v="6"/>
    <n v="6"/>
    <n v="16"/>
    <n v="2"/>
    <x v="0"/>
  </r>
  <r>
    <n v="1165"/>
    <n v="1958"/>
    <x v="0"/>
    <x v="1"/>
    <x v="0"/>
    <n v="50729"/>
    <x v="1"/>
    <n v="1"/>
    <n v="1"/>
    <x v="1"/>
    <x v="319"/>
    <n v="62"/>
    <x v="0"/>
    <n v="0"/>
    <n v="239"/>
    <n v="13"/>
    <n v="143"/>
    <n v="45"/>
    <n v="4"/>
    <n v="52"/>
    <n v="496"/>
    <n v="9"/>
    <n v="6"/>
    <n v="2"/>
    <n v="7"/>
    <n v="15"/>
    <n v="6"/>
    <x v="0"/>
  </r>
  <r>
    <n v="1404"/>
    <n v="1968"/>
    <x v="1"/>
    <x v="0"/>
    <x v="1"/>
    <n v="34916"/>
    <x v="3"/>
    <n v="2"/>
    <n v="0"/>
    <x v="1"/>
    <x v="187"/>
    <n v="89"/>
    <x v="0"/>
    <n v="0"/>
    <n v="51"/>
    <n v="23"/>
    <n v="82"/>
    <n v="33"/>
    <n v="0"/>
    <n v="42"/>
    <n v="231"/>
    <n v="4"/>
    <n v="5"/>
    <n v="1"/>
    <n v="3"/>
    <n v="9"/>
    <n v="9"/>
    <x v="0"/>
  </r>
  <r>
    <n v="6457"/>
    <n v="1976"/>
    <x v="3"/>
    <x v="0"/>
    <x v="3"/>
    <n v="64892"/>
    <x v="0"/>
    <n v="0"/>
    <n v="1"/>
    <x v="2"/>
    <x v="465"/>
    <n v="77"/>
    <x v="0"/>
    <n v="0"/>
    <n v="527"/>
    <n v="24"/>
    <n v="230"/>
    <n v="32"/>
    <n v="24"/>
    <n v="65"/>
    <n v="902"/>
    <n v="2"/>
    <n v="6"/>
    <n v="4"/>
    <n v="12"/>
    <n v="22"/>
    <n v="4"/>
    <x v="0"/>
  </r>
  <r>
    <n v="2639"/>
    <n v="1966"/>
    <x v="1"/>
    <x v="0"/>
    <x v="0"/>
    <n v="43602"/>
    <x v="1"/>
    <n v="1"/>
    <n v="1"/>
    <x v="1"/>
    <x v="618"/>
    <n v="45"/>
    <x v="1"/>
    <n v="0"/>
    <n v="19"/>
    <n v="5"/>
    <n v="12"/>
    <n v="10"/>
    <n v="3"/>
    <n v="19"/>
    <n v="68"/>
    <n v="3"/>
    <n v="3"/>
    <n v="1"/>
    <n v="2"/>
    <n v="6"/>
    <n v="6"/>
    <x v="0"/>
  </r>
  <r>
    <n v="6437"/>
    <n v="1985"/>
    <x v="2"/>
    <x v="2"/>
    <x v="0"/>
    <n v="41473"/>
    <x v="1"/>
    <n v="1"/>
    <n v="0"/>
    <x v="2"/>
    <x v="215"/>
    <n v="80"/>
    <x v="0"/>
    <n v="0"/>
    <n v="21"/>
    <n v="8"/>
    <n v="20"/>
    <n v="15"/>
    <n v="3"/>
    <n v="9"/>
    <n v="76"/>
    <n v="1"/>
    <n v="2"/>
    <n v="0"/>
    <n v="3"/>
    <n v="5"/>
    <n v="7"/>
    <x v="0"/>
  </r>
  <r>
    <n v="6912"/>
    <n v="1967"/>
    <x v="1"/>
    <x v="1"/>
    <x v="2"/>
    <n v="63246"/>
    <x v="0"/>
    <n v="0"/>
    <n v="2"/>
    <x v="1"/>
    <x v="132"/>
    <n v="60"/>
    <x v="0"/>
    <n v="0"/>
    <n v="593"/>
    <n v="30"/>
    <n v="91"/>
    <n v="29"/>
    <n v="22"/>
    <n v="7"/>
    <n v="772"/>
    <n v="1"/>
    <n v="6"/>
    <n v="3"/>
    <n v="12"/>
    <n v="21"/>
    <n v="4"/>
    <x v="0"/>
  </r>
  <r>
    <n v="7327"/>
    <n v="1959"/>
    <x v="0"/>
    <x v="1"/>
    <x v="2"/>
    <n v="36732"/>
    <x v="1"/>
    <n v="1"/>
    <n v="1"/>
    <x v="1"/>
    <x v="157"/>
    <n v="71"/>
    <x v="0"/>
    <n v="0"/>
    <n v="21"/>
    <n v="5"/>
    <n v="3"/>
    <n v="10"/>
    <n v="1"/>
    <n v="7"/>
    <n v="47"/>
    <n v="3"/>
    <n v="1"/>
    <n v="1"/>
    <n v="4"/>
    <n v="6"/>
    <n v="2"/>
    <x v="0"/>
  </r>
  <r>
    <n v="8143"/>
    <n v="1985"/>
    <x v="2"/>
    <x v="1"/>
    <x v="0"/>
    <n v="37929"/>
    <x v="1"/>
    <n v="0"/>
    <n v="0"/>
    <x v="0"/>
    <x v="524"/>
    <n v="49"/>
    <x v="0"/>
    <n v="0"/>
    <n v="202"/>
    <n v="2"/>
    <n v="46"/>
    <n v="3"/>
    <n v="2"/>
    <n v="10"/>
    <n v="265"/>
    <n v="2"/>
    <n v="4"/>
    <n v="2"/>
    <n v="5"/>
    <n v="11"/>
    <n v="7"/>
    <x v="0"/>
  </r>
  <r>
    <n v="1964"/>
    <n v="1951"/>
    <x v="4"/>
    <x v="0"/>
    <x v="1"/>
    <n v="86610"/>
    <x v="2"/>
    <n v="0"/>
    <n v="0"/>
    <x v="0"/>
    <x v="564"/>
    <n v="66"/>
    <x v="0"/>
    <n v="0"/>
    <n v="446"/>
    <n v="107"/>
    <n v="768"/>
    <n v="33"/>
    <n v="196"/>
    <n v="53"/>
    <n v="1603"/>
    <n v="1"/>
    <n v="5"/>
    <n v="6"/>
    <n v="6"/>
    <n v="17"/>
    <n v="2"/>
    <x v="0"/>
  </r>
  <r>
    <n v="3690"/>
    <n v="1986"/>
    <x v="2"/>
    <x v="2"/>
    <x v="2"/>
    <n v="80141"/>
    <x v="2"/>
    <n v="0"/>
    <n v="0"/>
    <x v="0"/>
    <x v="248"/>
    <n v="20"/>
    <x v="1"/>
    <n v="0"/>
    <n v="1184"/>
    <n v="102"/>
    <n v="673"/>
    <n v="52"/>
    <n v="40"/>
    <n v="40"/>
    <n v="2091"/>
    <n v="1"/>
    <n v="7"/>
    <n v="4"/>
    <n v="10"/>
    <n v="21"/>
    <n v="6"/>
    <x v="1"/>
  </r>
  <r>
    <n v="3389"/>
    <n v="1970"/>
    <x v="1"/>
    <x v="0"/>
    <x v="2"/>
    <n v="69016"/>
    <x v="2"/>
    <n v="0"/>
    <n v="1"/>
    <x v="2"/>
    <x v="84"/>
    <n v="61"/>
    <x v="0"/>
    <n v="0"/>
    <n v="726"/>
    <n v="53"/>
    <n v="363"/>
    <n v="123"/>
    <n v="107"/>
    <n v="161"/>
    <n v="1533"/>
    <n v="4"/>
    <n v="8"/>
    <n v="9"/>
    <n v="13"/>
    <n v="30"/>
    <n v="5"/>
    <x v="0"/>
  </r>
  <r>
    <n v="4712"/>
    <n v="1991"/>
    <x v="2"/>
    <x v="2"/>
    <x v="1"/>
    <n v="20193"/>
    <x v="3"/>
    <n v="0"/>
    <n v="0"/>
    <x v="0"/>
    <x v="366"/>
    <n v="18"/>
    <x v="1"/>
    <n v="0"/>
    <n v="8"/>
    <n v="8"/>
    <n v="22"/>
    <n v="24"/>
    <n v="11"/>
    <n v="9"/>
    <n v="82"/>
    <n v="1"/>
    <n v="1"/>
    <n v="1"/>
    <n v="4"/>
    <n v="6"/>
    <n v="4"/>
    <x v="0"/>
  </r>
  <r>
    <n v="1170"/>
    <n v="1975"/>
    <x v="3"/>
    <x v="0"/>
    <x v="2"/>
    <n v="27573"/>
    <x v="3"/>
    <n v="1"/>
    <n v="0"/>
    <x v="2"/>
    <x v="619"/>
    <n v="45"/>
    <x v="1"/>
    <n v="0"/>
    <n v="50"/>
    <n v="15"/>
    <n v="110"/>
    <n v="39"/>
    <n v="15"/>
    <n v="15"/>
    <n v="244"/>
    <n v="4"/>
    <n v="5"/>
    <n v="1"/>
    <n v="4"/>
    <n v="10"/>
    <n v="8"/>
    <x v="0"/>
  </r>
  <r>
    <n v="6347"/>
    <n v="1979"/>
    <x v="3"/>
    <x v="3"/>
    <x v="0"/>
    <n v="15862"/>
    <x v="3"/>
    <n v="1"/>
    <n v="0"/>
    <x v="2"/>
    <x v="610"/>
    <n v="26"/>
    <x v="1"/>
    <n v="0"/>
    <n v="1"/>
    <n v="1"/>
    <n v="4"/>
    <n v="11"/>
    <n v="9"/>
    <n v="10"/>
    <n v="36"/>
    <n v="1"/>
    <n v="1"/>
    <n v="0"/>
    <n v="3"/>
    <n v="4"/>
    <n v="8"/>
    <x v="0"/>
  </r>
  <r>
    <n v="4065"/>
    <n v="1976"/>
    <x v="3"/>
    <x v="1"/>
    <x v="2"/>
    <n v="49544"/>
    <x v="1"/>
    <n v="1"/>
    <n v="0"/>
    <x v="2"/>
    <x v="597"/>
    <n v="0"/>
    <x v="1"/>
    <n v="0"/>
    <n v="308"/>
    <n v="0"/>
    <n v="73"/>
    <n v="0"/>
    <n v="0"/>
    <n v="23"/>
    <n v="404"/>
    <n v="2"/>
    <n v="5"/>
    <n v="1"/>
    <n v="8"/>
    <n v="14"/>
    <n v="7"/>
    <x v="0"/>
  </r>
  <r>
    <n v="8230"/>
    <n v="1980"/>
    <x v="3"/>
    <x v="0"/>
    <x v="2"/>
    <n v="33228"/>
    <x v="3"/>
    <n v="1"/>
    <n v="0"/>
    <x v="2"/>
    <x v="494"/>
    <n v="28"/>
    <x v="1"/>
    <n v="0"/>
    <n v="22"/>
    <n v="2"/>
    <n v="31"/>
    <n v="7"/>
    <n v="4"/>
    <n v="5"/>
    <n v="71"/>
    <n v="1"/>
    <n v="2"/>
    <n v="0"/>
    <n v="3"/>
    <n v="5"/>
    <n v="7"/>
    <x v="0"/>
  </r>
  <r>
    <n v="1215"/>
    <n v="1978"/>
    <x v="3"/>
    <x v="0"/>
    <x v="1"/>
    <n v="70440"/>
    <x v="2"/>
    <n v="0"/>
    <n v="0"/>
    <x v="0"/>
    <x v="272"/>
    <n v="49"/>
    <x v="0"/>
    <n v="0"/>
    <n v="690"/>
    <n v="117"/>
    <n v="499"/>
    <n v="76"/>
    <n v="102"/>
    <n v="88"/>
    <n v="1572"/>
    <n v="1"/>
    <n v="5"/>
    <n v="10"/>
    <n v="7"/>
    <n v="22"/>
    <n v="3"/>
    <x v="0"/>
  </r>
  <r>
    <n v="5939"/>
    <n v="1971"/>
    <x v="1"/>
    <x v="0"/>
    <x v="1"/>
    <n v="38232"/>
    <x v="1"/>
    <n v="1"/>
    <n v="1"/>
    <x v="1"/>
    <x v="620"/>
    <n v="84"/>
    <x v="0"/>
    <n v="0"/>
    <n v="43"/>
    <n v="5"/>
    <n v="28"/>
    <n v="7"/>
    <n v="6"/>
    <n v="33"/>
    <n v="122"/>
    <n v="4"/>
    <n v="3"/>
    <n v="1"/>
    <n v="3"/>
    <n v="7"/>
    <n v="5"/>
    <x v="0"/>
  </r>
  <r>
    <n v="2156"/>
    <n v="1955"/>
    <x v="0"/>
    <x v="1"/>
    <x v="2"/>
    <n v="22554"/>
    <x v="3"/>
    <n v="1"/>
    <n v="1"/>
    <x v="1"/>
    <x v="16"/>
    <n v="38"/>
    <x v="1"/>
    <n v="0"/>
    <n v="27"/>
    <n v="0"/>
    <n v="10"/>
    <n v="0"/>
    <n v="0"/>
    <n v="4"/>
    <n v="41"/>
    <n v="4"/>
    <n v="2"/>
    <n v="0"/>
    <n v="4"/>
    <n v="6"/>
    <n v="5"/>
    <x v="0"/>
  </r>
  <r>
    <n v="7788"/>
    <n v="1983"/>
    <x v="2"/>
    <x v="1"/>
    <x v="2"/>
    <n v="23536"/>
    <x v="3"/>
    <n v="1"/>
    <n v="0"/>
    <x v="2"/>
    <x v="621"/>
    <n v="53"/>
    <x v="0"/>
    <n v="0"/>
    <n v="6"/>
    <n v="0"/>
    <n v="3"/>
    <n v="0"/>
    <n v="0"/>
    <n v="1"/>
    <n v="10"/>
    <n v="1"/>
    <n v="0"/>
    <n v="0"/>
    <n v="3"/>
    <n v="3"/>
    <n v="3"/>
    <x v="0"/>
  </r>
  <r>
    <n v="10323"/>
    <n v="1952"/>
    <x v="4"/>
    <x v="0"/>
    <x v="2"/>
    <n v="49413"/>
    <x v="1"/>
    <n v="0"/>
    <n v="1"/>
    <x v="2"/>
    <x v="512"/>
    <n v="88"/>
    <x v="0"/>
    <n v="0"/>
    <n v="205"/>
    <n v="7"/>
    <n v="41"/>
    <n v="3"/>
    <n v="2"/>
    <n v="46"/>
    <n v="304"/>
    <n v="2"/>
    <n v="4"/>
    <n v="2"/>
    <n v="5"/>
    <n v="11"/>
    <n v="5"/>
    <x v="0"/>
  </r>
  <r>
    <n v="7947"/>
    <n v="1969"/>
    <x v="1"/>
    <x v="0"/>
    <x v="2"/>
    <n v="42231"/>
    <x v="1"/>
    <n v="1"/>
    <n v="1"/>
    <x v="1"/>
    <x v="622"/>
    <n v="99"/>
    <x v="0"/>
    <n v="0"/>
    <n v="24"/>
    <n v="0"/>
    <n v="8"/>
    <n v="0"/>
    <n v="1"/>
    <n v="4"/>
    <n v="37"/>
    <n v="1"/>
    <n v="1"/>
    <n v="0"/>
    <n v="3"/>
    <n v="4"/>
    <n v="5"/>
    <x v="0"/>
  </r>
  <r>
    <n v="1891"/>
    <n v="1980"/>
    <x v="3"/>
    <x v="2"/>
    <x v="3"/>
    <n v="78789"/>
    <x v="2"/>
    <n v="0"/>
    <n v="0"/>
    <x v="0"/>
    <x v="17"/>
    <n v="12"/>
    <x v="1"/>
    <n v="0"/>
    <n v="667"/>
    <n v="50"/>
    <n v="850"/>
    <n v="21"/>
    <n v="83"/>
    <n v="83"/>
    <n v="1754"/>
    <n v="1"/>
    <n v="4"/>
    <n v="6"/>
    <n v="5"/>
    <n v="15"/>
    <n v="2"/>
    <x v="1"/>
  </r>
  <r>
    <n v="2570"/>
    <n v="1968"/>
    <x v="1"/>
    <x v="0"/>
    <x v="1"/>
    <n v="56534"/>
    <x v="0"/>
    <n v="0"/>
    <n v="1"/>
    <x v="2"/>
    <x v="88"/>
    <n v="35"/>
    <x v="1"/>
    <n v="0"/>
    <n v="691"/>
    <n v="7"/>
    <n v="61"/>
    <n v="10"/>
    <n v="0"/>
    <n v="46"/>
    <n v="815"/>
    <n v="4"/>
    <n v="10"/>
    <n v="4"/>
    <n v="7"/>
    <n v="21"/>
    <n v="8"/>
    <x v="1"/>
  </r>
  <r>
    <n v="9256"/>
    <n v="1971"/>
    <x v="1"/>
    <x v="0"/>
    <x v="0"/>
    <n v="58350"/>
    <x v="0"/>
    <n v="0"/>
    <n v="1"/>
    <x v="2"/>
    <x v="530"/>
    <n v="5"/>
    <x v="1"/>
    <n v="0"/>
    <n v="493"/>
    <n v="26"/>
    <n v="206"/>
    <n v="116"/>
    <n v="80"/>
    <n v="80"/>
    <n v="1001"/>
    <n v="4"/>
    <n v="8"/>
    <n v="3"/>
    <n v="12"/>
    <n v="23"/>
    <n v="6"/>
    <x v="1"/>
  </r>
  <r>
    <n v="7397"/>
    <n v="1951"/>
    <x v="4"/>
    <x v="0"/>
    <x v="0"/>
    <n v="49090"/>
    <x v="1"/>
    <n v="0"/>
    <n v="1"/>
    <x v="2"/>
    <x v="349"/>
    <n v="45"/>
    <x v="1"/>
    <n v="0"/>
    <n v="494"/>
    <n v="5"/>
    <n v="82"/>
    <n v="7"/>
    <n v="0"/>
    <n v="100"/>
    <n v="688"/>
    <n v="3"/>
    <n v="7"/>
    <n v="2"/>
    <n v="9"/>
    <n v="18"/>
    <n v="7"/>
    <x v="0"/>
  </r>
  <r>
    <n v="6349"/>
    <n v="1987"/>
    <x v="2"/>
    <x v="2"/>
    <x v="3"/>
    <n v="61787"/>
    <x v="0"/>
    <n v="0"/>
    <n v="0"/>
    <x v="0"/>
    <x v="544"/>
    <n v="71"/>
    <x v="0"/>
    <n v="0"/>
    <n v="621"/>
    <n v="73"/>
    <n v="414"/>
    <n v="78"/>
    <n v="48"/>
    <n v="85"/>
    <n v="1319"/>
    <n v="1"/>
    <n v="8"/>
    <n v="4"/>
    <n v="6"/>
    <n v="18"/>
    <n v="5"/>
    <x v="0"/>
  </r>
  <r>
    <n v="10790"/>
    <n v="1985"/>
    <x v="2"/>
    <x v="1"/>
    <x v="2"/>
    <n v="18169"/>
    <x v="3"/>
    <n v="1"/>
    <n v="0"/>
    <x v="2"/>
    <x v="103"/>
    <n v="40"/>
    <x v="1"/>
    <n v="0"/>
    <n v="9"/>
    <n v="0"/>
    <n v="5"/>
    <n v="0"/>
    <n v="0"/>
    <n v="7"/>
    <n v="21"/>
    <n v="1"/>
    <n v="1"/>
    <n v="0"/>
    <n v="2"/>
    <n v="3"/>
    <n v="8"/>
    <x v="0"/>
  </r>
  <r>
    <n v="10398"/>
    <n v="1981"/>
    <x v="3"/>
    <x v="2"/>
    <x v="0"/>
    <n v="24336"/>
    <x v="3"/>
    <n v="1"/>
    <n v="0"/>
    <x v="2"/>
    <x v="69"/>
    <n v="82"/>
    <x v="0"/>
    <n v="0"/>
    <n v="1"/>
    <n v="6"/>
    <n v="2"/>
    <n v="8"/>
    <n v="2"/>
    <n v="12"/>
    <n v="31"/>
    <n v="1"/>
    <n v="1"/>
    <n v="0"/>
    <n v="2"/>
    <n v="3"/>
    <n v="7"/>
    <x v="0"/>
  </r>
  <r>
    <n v="2431"/>
    <n v="1990"/>
    <x v="2"/>
    <x v="0"/>
    <x v="2"/>
    <n v="18222"/>
    <x v="3"/>
    <n v="0"/>
    <n v="0"/>
    <x v="0"/>
    <x v="623"/>
    <n v="70"/>
    <x v="0"/>
    <n v="0"/>
    <n v="12"/>
    <n v="4"/>
    <n v="19"/>
    <n v="12"/>
    <n v="6"/>
    <n v="14"/>
    <n v="67"/>
    <n v="1"/>
    <n v="2"/>
    <n v="0"/>
    <n v="3"/>
    <n v="5"/>
    <n v="8"/>
    <x v="0"/>
  </r>
  <r>
    <n v="550"/>
    <n v="1952"/>
    <x v="4"/>
    <x v="0"/>
    <x v="3"/>
    <n v="62335"/>
    <x v="0"/>
    <n v="0"/>
    <n v="1"/>
    <x v="2"/>
    <x v="547"/>
    <n v="87"/>
    <x v="0"/>
    <n v="0"/>
    <n v="243"/>
    <n v="131"/>
    <n v="217"/>
    <n v="85"/>
    <n v="6"/>
    <n v="26"/>
    <n v="708"/>
    <n v="2"/>
    <n v="3"/>
    <n v="3"/>
    <n v="13"/>
    <n v="19"/>
    <n v="2"/>
    <x v="0"/>
  </r>
  <r>
    <n v="1890"/>
    <n v="1971"/>
    <x v="1"/>
    <x v="2"/>
    <x v="1"/>
    <n v="42033"/>
    <x v="1"/>
    <n v="1"/>
    <n v="1"/>
    <x v="1"/>
    <x v="624"/>
    <n v="95"/>
    <x v="0"/>
    <n v="0"/>
    <n v="11"/>
    <n v="1"/>
    <n v="4"/>
    <n v="2"/>
    <n v="0"/>
    <n v="7"/>
    <n v="25"/>
    <n v="1"/>
    <n v="1"/>
    <n v="0"/>
    <n v="2"/>
    <n v="3"/>
    <n v="7"/>
    <x v="0"/>
  </r>
  <r>
    <n v="10742"/>
    <n v="1983"/>
    <x v="2"/>
    <x v="1"/>
    <x v="2"/>
    <n v="86580"/>
    <x v="2"/>
    <n v="0"/>
    <n v="0"/>
    <x v="0"/>
    <x v="625"/>
    <n v="72"/>
    <x v="0"/>
    <n v="0"/>
    <n v="532"/>
    <n v="21"/>
    <n v="127"/>
    <n v="26"/>
    <n v="20"/>
    <n v="20"/>
    <n v="746"/>
    <n v="0"/>
    <n v="4"/>
    <n v="2"/>
    <n v="5"/>
    <n v="11"/>
    <n v="1"/>
    <x v="0"/>
  </r>
  <r>
    <n v="10356"/>
    <n v="1957"/>
    <x v="0"/>
    <x v="1"/>
    <x v="3"/>
    <n v="41437"/>
    <x v="1"/>
    <n v="1"/>
    <n v="1"/>
    <x v="1"/>
    <x v="203"/>
    <n v="5"/>
    <x v="1"/>
    <n v="0"/>
    <n v="29"/>
    <n v="0"/>
    <n v="2"/>
    <n v="0"/>
    <n v="0"/>
    <n v="1"/>
    <n v="32"/>
    <n v="1"/>
    <n v="1"/>
    <n v="0"/>
    <n v="3"/>
    <n v="4"/>
    <n v="7"/>
    <x v="0"/>
  </r>
  <r>
    <n v="4676"/>
    <n v="1951"/>
    <x v="4"/>
    <x v="2"/>
    <x v="4"/>
    <n v="73705"/>
    <x v="2"/>
    <n v="0"/>
    <n v="2"/>
    <x v="1"/>
    <x v="237"/>
    <n v="86"/>
    <x v="0"/>
    <n v="0"/>
    <n v="612"/>
    <n v="91"/>
    <n v="520"/>
    <n v="258"/>
    <n v="107"/>
    <n v="107"/>
    <n v="1695"/>
    <n v="2"/>
    <n v="9"/>
    <n v="6"/>
    <n v="8"/>
    <n v="23"/>
    <n v="5"/>
    <x v="0"/>
  </r>
  <r>
    <n v="8852"/>
    <n v="1976"/>
    <x v="3"/>
    <x v="0"/>
    <x v="2"/>
    <n v="61064"/>
    <x v="0"/>
    <n v="0"/>
    <n v="1"/>
    <x v="2"/>
    <x v="14"/>
    <n v="80"/>
    <x v="0"/>
    <n v="0"/>
    <n v="387"/>
    <n v="126"/>
    <n v="342"/>
    <n v="0"/>
    <n v="45"/>
    <n v="180"/>
    <n v="1080"/>
    <n v="5"/>
    <n v="8"/>
    <n v="4"/>
    <n v="11"/>
    <n v="23"/>
    <n v="6"/>
    <x v="0"/>
  </r>
  <r>
    <n v="5294"/>
    <n v="1989"/>
    <x v="2"/>
    <x v="0"/>
    <x v="0"/>
    <n v="18358"/>
    <x v="3"/>
    <n v="1"/>
    <n v="0"/>
    <x v="2"/>
    <x v="300"/>
    <n v="49"/>
    <x v="0"/>
    <n v="0"/>
    <n v="6"/>
    <n v="8"/>
    <n v="19"/>
    <n v="16"/>
    <n v="4"/>
    <n v="4"/>
    <n v="57"/>
    <n v="3"/>
    <n v="3"/>
    <n v="0"/>
    <n v="4"/>
    <n v="7"/>
    <n v="7"/>
    <x v="0"/>
  </r>
  <r>
    <n v="1958"/>
    <n v="1973"/>
    <x v="3"/>
    <x v="1"/>
    <x v="1"/>
    <n v="55012"/>
    <x v="0"/>
    <n v="0"/>
    <n v="1"/>
    <x v="2"/>
    <x v="478"/>
    <n v="85"/>
    <x v="0"/>
    <n v="0"/>
    <n v="582"/>
    <n v="0"/>
    <n v="65"/>
    <n v="0"/>
    <n v="0"/>
    <n v="13"/>
    <n v="660"/>
    <n v="6"/>
    <n v="8"/>
    <n v="2"/>
    <n v="9"/>
    <n v="19"/>
    <n v="5"/>
    <x v="0"/>
  </r>
  <r>
    <n v="7349"/>
    <n v="1973"/>
    <x v="3"/>
    <x v="3"/>
    <x v="1"/>
    <n v="9722"/>
    <x v="3"/>
    <n v="1"/>
    <n v="0"/>
    <x v="2"/>
    <x v="626"/>
    <n v="7"/>
    <x v="1"/>
    <n v="0"/>
    <n v="6"/>
    <n v="17"/>
    <n v="16"/>
    <n v="6"/>
    <n v="16"/>
    <n v="42"/>
    <n v="103"/>
    <n v="4"/>
    <n v="3"/>
    <n v="1"/>
    <n v="3"/>
    <n v="7"/>
    <n v="8"/>
    <x v="0"/>
  </r>
  <r>
    <n v="8799"/>
    <n v="1984"/>
    <x v="2"/>
    <x v="1"/>
    <x v="2"/>
    <n v="38175"/>
    <x v="1"/>
    <n v="1"/>
    <n v="0"/>
    <x v="2"/>
    <x v="615"/>
    <n v="6"/>
    <x v="1"/>
    <n v="0"/>
    <n v="70"/>
    <n v="6"/>
    <n v="69"/>
    <n v="2"/>
    <n v="3"/>
    <n v="3"/>
    <n v="153"/>
    <n v="3"/>
    <n v="3"/>
    <n v="1"/>
    <n v="4"/>
    <n v="8"/>
    <n v="7"/>
    <x v="0"/>
  </r>
  <r>
    <n v="1351"/>
    <n v="1956"/>
    <x v="0"/>
    <x v="2"/>
    <x v="1"/>
    <n v="58656"/>
    <x v="0"/>
    <n v="0"/>
    <n v="1"/>
    <x v="2"/>
    <x v="562"/>
    <n v="25"/>
    <x v="1"/>
    <n v="0"/>
    <n v="962"/>
    <n v="12"/>
    <n v="194"/>
    <n v="16"/>
    <n v="24"/>
    <n v="12"/>
    <n v="1220"/>
    <n v="4"/>
    <n v="7"/>
    <n v="8"/>
    <n v="13"/>
    <n v="28"/>
    <n v="6"/>
    <x v="1"/>
  </r>
  <r>
    <n v="1045"/>
    <n v="1965"/>
    <x v="1"/>
    <x v="0"/>
    <x v="1"/>
    <n v="52117"/>
    <x v="0"/>
    <n v="0"/>
    <n v="1"/>
    <x v="2"/>
    <x v="599"/>
    <n v="55"/>
    <x v="0"/>
    <n v="0"/>
    <n v="112"/>
    <n v="10"/>
    <n v="107"/>
    <n v="30"/>
    <n v="0"/>
    <n v="20"/>
    <n v="279"/>
    <n v="2"/>
    <n v="5"/>
    <n v="2"/>
    <n v="4"/>
    <n v="11"/>
    <n v="7"/>
    <x v="0"/>
  </r>
  <r>
    <n v="7732"/>
    <n v="1978"/>
    <x v="3"/>
    <x v="0"/>
    <x v="2"/>
    <n v="64813"/>
    <x v="0"/>
    <n v="1"/>
    <n v="0"/>
    <x v="2"/>
    <x v="421"/>
    <n v="81"/>
    <x v="0"/>
    <n v="0"/>
    <n v="293"/>
    <n v="0"/>
    <n v="124"/>
    <n v="179"/>
    <n v="97"/>
    <n v="52"/>
    <n v="745"/>
    <n v="1"/>
    <n v="7"/>
    <n v="2"/>
    <n v="10"/>
    <n v="19"/>
    <n v="5"/>
    <x v="0"/>
  </r>
  <r>
    <n v="8070"/>
    <n v="1973"/>
    <x v="3"/>
    <x v="1"/>
    <x v="2"/>
    <n v="54222"/>
    <x v="0"/>
    <n v="0"/>
    <n v="1"/>
    <x v="2"/>
    <x v="137"/>
    <n v="98"/>
    <x v="0"/>
    <n v="0"/>
    <n v="199"/>
    <n v="12"/>
    <n v="31"/>
    <n v="3"/>
    <n v="12"/>
    <n v="7"/>
    <n v="264"/>
    <n v="1"/>
    <n v="3"/>
    <n v="3"/>
    <n v="5"/>
    <n v="11"/>
    <n v="3"/>
    <x v="0"/>
  </r>
  <r>
    <n v="477"/>
    <n v="1986"/>
    <x v="2"/>
    <x v="0"/>
    <x v="2"/>
    <n v="83512"/>
    <x v="2"/>
    <n v="0"/>
    <n v="0"/>
    <x v="0"/>
    <x v="209"/>
    <n v="31"/>
    <x v="1"/>
    <n v="0"/>
    <n v="1060"/>
    <n v="61"/>
    <n v="835"/>
    <n v="80"/>
    <n v="20"/>
    <n v="101"/>
    <n v="2157"/>
    <n v="1"/>
    <n v="4"/>
    <n v="7"/>
    <n v="10"/>
    <n v="21"/>
    <n v="1"/>
    <x v="1"/>
  </r>
  <r>
    <n v="7832"/>
    <n v="1959"/>
    <x v="0"/>
    <x v="2"/>
    <x v="2"/>
    <n v="77520"/>
    <x v="2"/>
    <n v="0"/>
    <n v="1"/>
    <x v="2"/>
    <x v="119"/>
    <n v="30"/>
    <x v="1"/>
    <n v="0"/>
    <n v="940"/>
    <n v="44"/>
    <n v="396"/>
    <n v="0"/>
    <n v="88"/>
    <n v="58"/>
    <n v="1526"/>
    <n v="1"/>
    <n v="8"/>
    <n v="7"/>
    <n v="7"/>
    <n v="22"/>
    <n v="4"/>
    <x v="1"/>
  </r>
  <r>
    <n v="2202"/>
    <n v="1978"/>
    <x v="3"/>
    <x v="0"/>
    <x v="1"/>
    <n v="41154"/>
    <x v="1"/>
    <n v="0"/>
    <n v="1"/>
    <x v="2"/>
    <x v="627"/>
    <n v="98"/>
    <x v="0"/>
    <n v="0"/>
    <n v="44"/>
    <n v="2"/>
    <n v="11"/>
    <n v="2"/>
    <n v="3"/>
    <n v="7"/>
    <n v="69"/>
    <n v="1"/>
    <n v="1"/>
    <n v="0"/>
    <n v="4"/>
    <n v="5"/>
    <n v="5"/>
    <x v="0"/>
  </r>
  <r>
    <n v="7396"/>
    <n v="1966"/>
    <x v="1"/>
    <x v="0"/>
    <x v="2"/>
    <n v="80398"/>
    <x v="2"/>
    <n v="0"/>
    <n v="0"/>
    <x v="0"/>
    <x v="98"/>
    <n v="92"/>
    <x v="0"/>
    <n v="0"/>
    <n v="342"/>
    <n v="51"/>
    <n v="936"/>
    <n v="207"/>
    <n v="35"/>
    <n v="26"/>
    <n v="1597"/>
    <n v="1"/>
    <n v="5"/>
    <n v="8"/>
    <n v="12"/>
    <n v="25"/>
    <n v="3"/>
    <x v="0"/>
  </r>
  <r>
    <n v="4055"/>
    <n v="1992"/>
    <x v="2"/>
    <x v="3"/>
    <x v="0"/>
    <n v="18746"/>
    <x v="3"/>
    <n v="1"/>
    <n v="0"/>
    <x v="2"/>
    <x v="465"/>
    <n v="41"/>
    <x v="1"/>
    <n v="0"/>
    <n v="2"/>
    <n v="10"/>
    <n v="11"/>
    <n v="12"/>
    <n v="9"/>
    <n v="20"/>
    <n v="64"/>
    <n v="2"/>
    <n v="3"/>
    <n v="0"/>
    <n v="3"/>
    <n v="6"/>
    <n v="6"/>
    <x v="0"/>
  </r>
  <r>
    <n v="10340"/>
    <n v="1984"/>
    <x v="2"/>
    <x v="0"/>
    <x v="1"/>
    <n v="35196"/>
    <x v="3"/>
    <n v="1"/>
    <n v="0"/>
    <x v="2"/>
    <x v="6"/>
    <n v="68"/>
    <x v="0"/>
    <n v="0"/>
    <n v="75"/>
    <n v="12"/>
    <n v="141"/>
    <n v="43"/>
    <n v="39"/>
    <n v="187"/>
    <n v="497"/>
    <n v="6"/>
    <n v="6"/>
    <n v="1"/>
    <n v="5"/>
    <n v="12"/>
    <n v="8"/>
    <x v="0"/>
  </r>
  <r>
    <n v="10091"/>
    <n v="1956"/>
    <x v="0"/>
    <x v="0"/>
    <x v="0"/>
    <n v="60230"/>
    <x v="0"/>
    <n v="0"/>
    <n v="1"/>
    <x v="2"/>
    <x v="199"/>
    <n v="78"/>
    <x v="0"/>
    <n v="0"/>
    <n v="520"/>
    <n v="20"/>
    <n v="367"/>
    <n v="39"/>
    <n v="81"/>
    <n v="40"/>
    <n v="1067"/>
    <n v="2"/>
    <n v="6"/>
    <n v="3"/>
    <n v="6"/>
    <n v="15"/>
    <n v="5"/>
    <x v="0"/>
  </r>
  <r>
    <n v="7629"/>
    <n v="1977"/>
    <x v="3"/>
    <x v="0"/>
    <x v="2"/>
    <n v="22108"/>
    <x v="3"/>
    <n v="1"/>
    <n v="1"/>
    <x v="1"/>
    <x v="92"/>
    <n v="46"/>
    <x v="1"/>
    <n v="0"/>
    <n v="5"/>
    <n v="3"/>
    <n v="9"/>
    <n v="6"/>
    <n v="2"/>
    <n v="6"/>
    <n v="31"/>
    <n v="2"/>
    <n v="2"/>
    <n v="0"/>
    <n v="3"/>
    <n v="5"/>
    <n v="7"/>
    <x v="0"/>
  </r>
  <r>
    <n v="10640"/>
    <n v="1974"/>
    <x v="3"/>
    <x v="0"/>
    <x v="1"/>
    <n v="44392"/>
    <x v="1"/>
    <n v="1"/>
    <n v="1"/>
    <x v="1"/>
    <x v="564"/>
    <n v="71"/>
    <x v="0"/>
    <n v="0"/>
    <n v="87"/>
    <n v="5"/>
    <n v="71"/>
    <n v="7"/>
    <n v="12"/>
    <n v="29"/>
    <n v="211"/>
    <n v="5"/>
    <n v="4"/>
    <n v="1"/>
    <n v="4"/>
    <n v="9"/>
    <n v="7"/>
    <x v="0"/>
  </r>
  <r>
    <n v="3498"/>
    <n v="1976"/>
    <x v="3"/>
    <x v="1"/>
    <x v="2"/>
    <n v="55424"/>
    <x v="0"/>
    <n v="0"/>
    <n v="1"/>
    <x v="2"/>
    <x v="600"/>
    <n v="6"/>
    <x v="1"/>
    <n v="0"/>
    <n v="462"/>
    <n v="61"/>
    <n v="184"/>
    <n v="10"/>
    <n v="53"/>
    <n v="107"/>
    <n v="877"/>
    <n v="4"/>
    <n v="7"/>
    <n v="5"/>
    <n v="9"/>
    <n v="21"/>
    <n v="6"/>
    <x v="1"/>
  </r>
  <r>
    <n v="6742"/>
    <n v="1979"/>
    <x v="3"/>
    <x v="0"/>
    <x v="2"/>
    <n v="17688"/>
    <x v="3"/>
    <n v="1"/>
    <n v="0"/>
    <x v="2"/>
    <x v="231"/>
    <n v="82"/>
    <x v="0"/>
    <n v="1"/>
    <n v="2"/>
    <n v="2"/>
    <n v="1"/>
    <n v="3"/>
    <n v="1"/>
    <n v="2"/>
    <n v="11"/>
    <n v="1"/>
    <n v="1"/>
    <n v="0"/>
    <n v="2"/>
    <n v="3"/>
    <n v="8"/>
    <x v="0"/>
  </r>
  <r>
    <n v="1172"/>
    <n v="1983"/>
    <x v="2"/>
    <x v="1"/>
    <x v="2"/>
    <n v="92491"/>
    <x v="2"/>
    <n v="0"/>
    <n v="0"/>
    <x v="0"/>
    <x v="136"/>
    <n v="71"/>
    <x v="0"/>
    <n v="0"/>
    <n v="979"/>
    <n v="44"/>
    <n v="935"/>
    <n v="29"/>
    <n v="25"/>
    <n v="22"/>
    <n v="2034"/>
    <n v="1"/>
    <n v="7"/>
    <n v="5"/>
    <n v="12"/>
    <n v="24"/>
    <n v="3"/>
    <x v="0"/>
  </r>
  <r>
    <n v="569"/>
    <n v="1991"/>
    <x v="2"/>
    <x v="0"/>
    <x v="0"/>
    <n v="90273"/>
    <x v="2"/>
    <n v="0"/>
    <n v="0"/>
    <x v="0"/>
    <x v="469"/>
    <n v="32"/>
    <x v="1"/>
    <n v="0"/>
    <n v="704"/>
    <n v="129"/>
    <n v="853"/>
    <n v="120"/>
    <n v="74"/>
    <n v="111"/>
    <n v="1991"/>
    <n v="1"/>
    <n v="5"/>
    <n v="6"/>
    <n v="7"/>
    <n v="18"/>
    <n v="2"/>
    <x v="1"/>
  </r>
  <r>
    <n v="4686"/>
    <n v="1962"/>
    <x v="0"/>
    <x v="1"/>
    <x v="4"/>
    <n v="82571"/>
    <x v="2"/>
    <n v="0"/>
    <n v="0"/>
    <x v="0"/>
    <x v="628"/>
    <n v="28"/>
    <x v="1"/>
    <n v="0"/>
    <n v="861"/>
    <n v="31"/>
    <n v="558"/>
    <n v="62"/>
    <n v="95"/>
    <n v="79"/>
    <n v="1686"/>
    <n v="0"/>
    <n v="6"/>
    <n v="5"/>
    <n v="13"/>
    <n v="24"/>
    <n v="2"/>
    <x v="1"/>
  </r>
  <r>
    <n v="1381"/>
    <n v="1982"/>
    <x v="3"/>
    <x v="1"/>
    <x v="0"/>
    <n v="38513"/>
    <x v="1"/>
    <n v="1"/>
    <n v="0"/>
    <x v="2"/>
    <x v="326"/>
    <n v="20"/>
    <x v="1"/>
    <n v="0"/>
    <n v="172"/>
    <n v="3"/>
    <n v="115"/>
    <n v="16"/>
    <n v="0"/>
    <n v="18"/>
    <n v="324"/>
    <n v="5"/>
    <n v="6"/>
    <n v="1"/>
    <n v="5"/>
    <n v="12"/>
    <n v="8"/>
    <x v="0"/>
  </r>
  <r>
    <n v="2634"/>
    <n v="1979"/>
    <x v="3"/>
    <x v="2"/>
    <x v="0"/>
    <n v="16653"/>
    <x v="3"/>
    <n v="1"/>
    <n v="0"/>
    <x v="2"/>
    <x v="384"/>
    <n v="10"/>
    <x v="1"/>
    <n v="0"/>
    <n v="5"/>
    <n v="7"/>
    <n v="31"/>
    <n v="15"/>
    <n v="4"/>
    <n v="7"/>
    <n v="69"/>
    <n v="3"/>
    <n v="2"/>
    <n v="1"/>
    <n v="3"/>
    <n v="6"/>
    <n v="6"/>
    <x v="0"/>
  </r>
  <r>
    <n v="10905"/>
    <n v="1955"/>
    <x v="0"/>
    <x v="0"/>
    <x v="1"/>
    <n v="42586"/>
    <x v="1"/>
    <n v="1"/>
    <n v="1"/>
    <x v="1"/>
    <x v="29"/>
    <n v="7"/>
    <x v="1"/>
    <n v="0"/>
    <n v="194"/>
    <n v="2"/>
    <n v="56"/>
    <n v="0"/>
    <n v="0"/>
    <n v="0"/>
    <n v="252"/>
    <n v="5"/>
    <n v="4"/>
    <n v="1"/>
    <n v="6"/>
    <n v="11"/>
    <n v="8"/>
    <x v="0"/>
  </r>
  <r>
    <n v="1744"/>
    <n v="1965"/>
    <x v="1"/>
    <x v="3"/>
    <x v="0"/>
    <n v="23529"/>
    <x v="3"/>
    <n v="0"/>
    <n v="1"/>
    <x v="2"/>
    <x v="629"/>
    <n v="67"/>
    <x v="0"/>
    <n v="0"/>
    <n v="9"/>
    <n v="7"/>
    <n v="13"/>
    <n v="3"/>
    <n v="2"/>
    <n v="20"/>
    <n v="54"/>
    <n v="1"/>
    <n v="1"/>
    <n v="1"/>
    <n v="2"/>
    <n v="4"/>
    <n v="6"/>
    <x v="0"/>
  </r>
  <r>
    <n v="3828"/>
    <n v="1951"/>
    <x v="4"/>
    <x v="0"/>
    <x v="2"/>
    <n v="71107"/>
    <x v="2"/>
    <n v="0"/>
    <n v="1"/>
    <x v="2"/>
    <x v="591"/>
    <n v="61"/>
    <x v="0"/>
    <n v="0"/>
    <n v="533"/>
    <n v="10"/>
    <n v="217"/>
    <n v="198"/>
    <n v="174"/>
    <n v="195"/>
    <n v="1327"/>
    <n v="2"/>
    <n v="7"/>
    <n v="6"/>
    <n v="13"/>
    <n v="26"/>
    <n v="4"/>
    <x v="0"/>
  </r>
  <r>
    <n v="8605"/>
    <n v="1964"/>
    <x v="1"/>
    <x v="1"/>
    <x v="1"/>
    <n v="46910"/>
    <x v="1"/>
    <n v="1"/>
    <n v="1"/>
    <x v="1"/>
    <x v="82"/>
    <n v="36"/>
    <x v="1"/>
    <n v="0"/>
    <n v="48"/>
    <n v="0"/>
    <n v="14"/>
    <n v="0"/>
    <n v="0"/>
    <n v="6"/>
    <n v="68"/>
    <n v="2"/>
    <n v="2"/>
    <n v="0"/>
    <n v="3"/>
    <n v="5"/>
    <n v="6"/>
    <x v="0"/>
  </r>
  <r>
    <n v="4351"/>
    <n v="1955"/>
    <x v="0"/>
    <x v="0"/>
    <x v="3"/>
    <n v="37244"/>
    <x v="1"/>
    <n v="1"/>
    <n v="1"/>
    <x v="1"/>
    <x v="238"/>
    <n v="90"/>
    <x v="0"/>
    <n v="0"/>
    <n v="18"/>
    <n v="2"/>
    <n v="10"/>
    <n v="0"/>
    <n v="0"/>
    <n v="25"/>
    <n v="55"/>
    <n v="1"/>
    <n v="1"/>
    <n v="1"/>
    <n v="2"/>
    <n v="4"/>
    <n v="7"/>
    <x v="0"/>
  </r>
  <r>
    <n v="10129"/>
    <n v="1966"/>
    <x v="1"/>
    <x v="0"/>
    <x v="1"/>
    <n v="82427"/>
    <x v="2"/>
    <n v="0"/>
    <n v="0"/>
    <x v="0"/>
    <x v="432"/>
    <n v="35"/>
    <x v="1"/>
    <n v="0"/>
    <n v="482"/>
    <n v="147"/>
    <n v="509"/>
    <n v="104"/>
    <n v="107"/>
    <n v="107"/>
    <n v="1456"/>
    <n v="1"/>
    <n v="3"/>
    <n v="5"/>
    <n v="12"/>
    <n v="20"/>
    <n v="1"/>
    <x v="1"/>
  </r>
  <r>
    <n v="2499"/>
    <n v="1958"/>
    <x v="0"/>
    <x v="2"/>
    <x v="0"/>
    <n v="75342"/>
    <x v="2"/>
    <n v="0"/>
    <n v="1"/>
    <x v="2"/>
    <x v="397"/>
    <n v="38"/>
    <x v="1"/>
    <n v="0"/>
    <n v="204"/>
    <n v="97"/>
    <n v="97"/>
    <n v="21"/>
    <n v="118"/>
    <n v="26"/>
    <n v="563"/>
    <n v="1"/>
    <n v="5"/>
    <n v="2"/>
    <n v="10"/>
    <n v="17"/>
    <n v="4"/>
    <x v="0"/>
  </r>
  <r>
    <n v="10092"/>
    <n v="1954"/>
    <x v="0"/>
    <x v="0"/>
    <x v="3"/>
    <n v="70044"/>
    <x v="2"/>
    <n v="0"/>
    <n v="1"/>
    <x v="2"/>
    <x v="55"/>
    <n v="46"/>
    <x v="1"/>
    <n v="0"/>
    <n v="1073"/>
    <n v="0"/>
    <n v="250"/>
    <n v="153"/>
    <n v="14"/>
    <n v="14"/>
    <n v="1504"/>
    <n v="4"/>
    <n v="7"/>
    <n v="10"/>
    <n v="5"/>
    <n v="22"/>
    <n v="5"/>
    <x v="1"/>
  </r>
  <r>
    <n v="5796"/>
    <n v="1963"/>
    <x v="1"/>
    <x v="0"/>
    <x v="2"/>
    <n v="77437"/>
    <x v="2"/>
    <n v="0"/>
    <n v="0"/>
    <x v="0"/>
    <x v="630"/>
    <n v="70"/>
    <x v="0"/>
    <n v="0"/>
    <n v="560"/>
    <n v="21"/>
    <n v="442"/>
    <n v="29"/>
    <n v="44"/>
    <n v="29"/>
    <n v="1125"/>
    <n v="1"/>
    <n v="4"/>
    <n v="5"/>
    <n v="13"/>
    <n v="22"/>
    <n v="1"/>
    <x v="0"/>
  </r>
  <r>
    <n v="10556"/>
    <n v="1959"/>
    <x v="0"/>
    <x v="0"/>
    <x v="2"/>
    <n v="54984"/>
    <x v="0"/>
    <n v="0"/>
    <n v="1"/>
    <x v="2"/>
    <x v="83"/>
    <n v="51"/>
    <x v="0"/>
    <n v="0"/>
    <n v="173"/>
    <n v="13"/>
    <n v="131"/>
    <n v="32"/>
    <n v="3"/>
    <n v="6"/>
    <n v="358"/>
    <n v="4"/>
    <n v="6"/>
    <n v="1"/>
    <n v="6"/>
    <n v="13"/>
    <n v="7"/>
    <x v="0"/>
  </r>
  <r>
    <n v="1064"/>
    <n v="1971"/>
    <x v="1"/>
    <x v="1"/>
    <x v="2"/>
    <n v="42403"/>
    <x v="1"/>
    <n v="1"/>
    <n v="0"/>
    <x v="2"/>
    <x v="492"/>
    <n v="18"/>
    <x v="1"/>
    <n v="0"/>
    <n v="22"/>
    <n v="1"/>
    <n v="11"/>
    <n v="0"/>
    <n v="5"/>
    <n v="3"/>
    <n v="42"/>
    <n v="1"/>
    <n v="1"/>
    <n v="0"/>
    <n v="3"/>
    <n v="4"/>
    <n v="8"/>
    <x v="0"/>
  </r>
  <r>
    <n v="48"/>
    <n v="1964"/>
    <x v="1"/>
    <x v="0"/>
    <x v="1"/>
    <n v="55761"/>
    <x v="0"/>
    <n v="0"/>
    <n v="1"/>
    <x v="2"/>
    <x v="125"/>
    <n v="97"/>
    <x v="0"/>
    <n v="0"/>
    <n v="136"/>
    <n v="1"/>
    <n v="12"/>
    <n v="0"/>
    <n v="3"/>
    <n v="32"/>
    <n v="184"/>
    <n v="2"/>
    <n v="4"/>
    <n v="1"/>
    <n v="3"/>
    <n v="8"/>
    <n v="6"/>
    <x v="0"/>
  </r>
  <r>
    <n v="7610"/>
    <n v="1983"/>
    <x v="2"/>
    <x v="0"/>
    <x v="1"/>
    <n v="37292"/>
    <x v="1"/>
    <n v="1"/>
    <n v="0"/>
    <x v="2"/>
    <x v="289"/>
    <n v="32"/>
    <x v="1"/>
    <n v="0"/>
    <n v="275"/>
    <n v="0"/>
    <n v="86"/>
    <n v="10"/>
    <n v="23"/>
    <n v="66"/>
    <n v="460"/>
    <n v="5"/>
    <n v="6"/>
    <n v="3"/>
    <n v="5"/>
    <n v="14"/>
    <n v="8"/>
    <x v="0"/>
  </r>
  <r>
    <n v="263"/>
    <n v="1945"/>
    <x v="4"/>
    <x v="1"/>
    <x v="0"/>
    <n v="45576"/>
    <x v="1"/>
    <n v="0"/>
    <n v="0"/>
    <x v="0"/>
    <x v="78"/>
    <n v="9"/>
    <x v="1"/>
    <n v="0"/>
    <n v="56"/>
    <n v="19"/>
    <n v="29"/>
    <n v="2"/>
    <n v="14"/>
    <n v="25"/>
    <n v="145"/>
    <n v="1"/>
    <n v="3"/>
    <n v="1"/>
    <n v="3"/>
    <n v="7"/>
    <n v="8"/>
    <x v="0"/>
  </r>
  <r>
    <n v="10814"/>
    <n v="1947"/>
    <x v="4"/>
    <x v="0"/>
    <x v="1"/>
    <n v="70321"/>
    <x v="2"/>
    <n v="0"/>
    <n v="0"/>
    <x v="0"/>
    <x v="538"/>
    <n v="6"/>
    <x v="1"/>
    <n v="0"/>
    <n v="303"/>
    <n v="23"/>
    <n v="751"/>
    <n v="82"/>
    <n v="26"/>
    <n v="191"/>
    <n v="1376"/>
    <n v="1"/>
    <n v="6"/>
    <n v="5"/>
    <n v="13"/>
    <n v="24"/>
    <n v="4"/>
    <x v="1"/>
  </r>
  <r>
    <n v="9710"/>
    <n v="1969"/>
    <x v="1"/>
    <x v="1"/>
    <x v="3"/>
    <n v="58086"/>
    <x v="0"/>
    <n v="0"/>
    <n v="1"/>
    <x v="2"/>
    <x v="401"/>
    <n v="80"/>
    <x v="0"/>
    <n v="0"/>
    <n v="708"/>
    <n v="7"/>
    <n v="62"/>
    <n v="0"/>
    <n v="0"/>
    <n v="15"/>
    <n v="792"/>
    <n v="2"/>
    <n v="11"/>
    <n v="3"/>
    <n v="7"/>
    <n v="21"/>
    <n v="8"/>
    <x v="0"/>
  </r>
  <r>
    <n v="9292"/>
    <n v="1952"/>
    <x v="4"/>
    <x v="0"/>
    <x v="2"/>
    <n v="81795"/>
    <x v="2"/>
    <n v="0"/>
    <n v="0"/>
    <x v="0"/>
    <x v="387"/>
    <n v="74"/>
    <x v="0"/>
    <n v="0"/>
    <n v="324"/>
    <n v="132"/>
    <n v="693"/>
    <n v="27"/>
    <n v="118"/>
    <n v="88"/>
    <n v="1382"/>
    <n v="1"/>
    <n v="4"/>
    <n v="11"/>
    <n v="7"/>
    <n v="22"/>
    <n v="2"/>
    <x v="0"/>
  </r>
  <r>
    <n v="10250"/>
    <n v="1947"/>
    <x v="4"/>
    <x v="3"/>
    <x v="1"/>
    <n v="28389"/>
    <x v="3"/>
    <n v="0"/>
    <n v="0"/>
    <x v="0"/>
    <x v="603"/>
    <n v="49"/>
    <x v="0"/>
    <n v="0"/>
    <n v="1"/>
    <n v="5"/>
    <n v="3"/>
    <n v="7"/>
    <n v="4"/>
    <n v="8"/>
    <n v="28"/>
    <n v="1"/>
    <n v="1"/>
    <n v="0"/>
    <n v="2"/>
    <n v="3"/>
    <n v="7"/>
    <x v="0"/>
  </r>
  <r>
    <n v="5847"/>
    <n v="1969"/>
    <x v="1"/>
    <x v="0"/>
    <x v="3"/>
    <n v="69901"/>
    <x v="2"/>
    <n v="0"/>
    <n v="1"/>
    <x v="2"/>
    <x v="429"/>
    <n v="95"/>
    <x v="0"/>
    <n v="0"/>
    <n v="312"/>
    <n v="21"/>
    <n v="206"/>
    <n v="102"/>
    <n v="92"/>
    <n v="149"/>
    <n v="882"/>
    <n v="3"/>
    <n v="7"/>
    <n v="3"/>
    <n v="10"/>
    <n v="20"/>
    <n v="5"/>
    <x v="0"/>
  </r>
  <r>
    <n v="737"/>
    <n v="1949"/>
    <x v="4"/>
    <x v="1"/>
    <x v="2"/>
    <n v="80360"/>
    <x v="2"/>
    <n v="0"/>
    <n v="0"/>
    <x v="0"/>
    <x v="261"/>
    <n v="56"/>
    <x v="0"/>
    <n v="0"/>
    <n v="1493"/>
    <n v="86"/>
    <n v="454"/>
    <n v="112"/>
    <n v="43"/>
    <n v="43"/>
    <n v="2231"/>
    <n v="2"/>
    <n v="4"/>
    <n v="4"/>
    <n v="5"/>
    <n v="13"/>
    <n v="2"/>
    <x v="0"/>
  </r>
  <r>
    <n v="3571"/>
    <n v="1961"/>
    <x v="0"/>
    <x v="1"/>
    <x v="1"/>
    <n v="63342"/>
    <x v="0"/>
    <n v="0"/>
    <n v="1"/>
    <x v="2"/>
    <x v="205"/>
    <n v="48"/>
    <x v="1"/>
    <n v="0"/>
    <n v="918"/>
    <n v="21"/>
    <n v="118"/>
    <n v="13"/>
    <n v="10"/>
    <n v="21"/>
    <n v="1101"/>
    <n v="3"/>
    <n v="8"/>
    <n v="3"/>
    <n v="5"/>
    <n v="16"/>
    <n v="6"/>
    <x v="1"/>
  </r>
  <r>
    <n v="3878"/>
    <n v="1980"/>
    <x v="3"/>
    <x v="2"/>
    <x v="0"/>
    <n v="31859"/>
    <x v="3"/>
    <n v="1"/>
    <n v="0"/>
    <x v="2"/>
    <x v="551"/>
    <n v="3"/>
    <x v="1"/>
    <n v="0"/>
    <n v="3"/>
    <n v="4"/>
    <n v="7"/>
    <n v="15"/>
    <n v="8"/>
    <n v="11"/>
    <n v="48"/>
    <n v="1"/>
    <n v="1"/>
    <n v="0"/>
    <n v="3"/>
    <n v="4"/>
    <n v="7"/>
    <x v="0"/>
  </r>
  <r>
    <n v="5092"/>
    <n v="1949"/>
    <x v="4"/>
    <x v="1"/>
    <x v="4"/>
    <n v="51569"/>
    <x v="0"/>
    <n v="0"/>
    <n v="1"/>
    <x v="2"/>
    <x v="597"/>
    <n v="39"/>
    <x v="1"/>
    <n v="0"/>
    <n v="380"/>
    <n v="0"/>
    <n v="47"/>
    <n v="6"/>
    <n v="0"/>
    <n v="34"/>
    <n v="467"/>
    <n v="4"/>
    <n v="7"/>
    <n v="1"/>
    <n v="7"/>
    <n v="15"/>
    <n v="8"/>
    <x v="0"/>
  </r>
  <r>
    <n v="5394"/>
    <n v="1979"/>
    <x v="3"/>
    <x v="3"/>
    <x v="0"/>
    <n v="16014"/>
    <x v="3"/>
    <n v="1"/>
    <n v="1"/>
    <x v="1"/>
    <x v="65"/>
    <n v="42"/>
    <x v="1"/>
    <n v="0"/>
    <n v="3"/>
    <n v="9"/>
    <n v="4"/>
    <n v="7"/>
    <n v="8"/>
    <n v="7"/>
    <n v="38"/>
    <n v="4"/>
    <n v="1"/>
    <n v="1"/>
    <n v="4"/>
    <n v="6"/>
    <n v="3"/>
    <x v="0"/>
  </r>
  <r>
    <n v="3798"/>
    <n v="1968"/>
    <x v="1"/>
    <x v="0"/>
    <x v="2"/>
    <n v="41120"/>
    <x v="1"/>
    <n v="1"/>
    <n v="1"/>
    <x v="1"/>
    <x v="373"/>
    <n v="80"/>
    <x v="0"/>
    <n v="0"/>
    <n v="24"/>
    <n v="2"/>
    <n v="23"/>
    <n v="0"/>
    <n v="8"/>
    <n v="24"/>
    <n v="81"/>
    <n v="3"/>
    <n v="2"/>
    <n v="1"/>
    <n v="3"/>
    <n v="6"/>
    <n v="6"/>
    <x v="0"/>
  </r>
  <r>
    <n v="3524"/>
    <n v="1971"/>
    <x v="1"/>
    <x v="2"/>
    <x v="0"/>
    <n v="39763"/>
    <x v="1"/>
    <n v="1"/>
    <n v="0"/>
    <x v="2"/>
    <x v="631"/>
    <n v="9"/>
    <x v="1"/>
    <n v="0"/>
    <n v="80"/>
    <n v="1"/>
    <n v="60"/>
    <n v="4"/>
    <n v="6"/>
    <n v="16"/>
    <n v="167"/>
    <n v="2"/>
    <n v="5"/>
    <n v="1"/>
    <n v="2"/>
    <n v="8"/>
    <n v="9"/>
    <x v="0"/>
  </r>
  <r>
    <n v="5247"/>
    <n v="1955"/>
    <x v="0"/>
    <x v="1"/>
    <x v="2"/>
    <n v="38725"/>
    <x v="1"/>
    <n v="1"/>
    <n v="1"/>
    <x v="1"/>
    <x v="110"/>
    <n v="52"/>
    <x v="0"/>
    <n v="0"/>
    <n v="31"/>
    <n v="0"/>
    <n v="6"/>
    <n v="2"/>
    <n v="1"/>
    <n v="5"/>
    <n v="45"/>
    <n v="2"/>
    <n v="1"/>
    <n v="0"/>
    <n v="4"/>
    <n v="5"/>
    <n v="4"/>
    <x v="0"/>
  </r>
  <r>
    <n v="5883"/>
    <n v="1972"/>
    <x v="1"/>
    <x v="0"/>
    <x v="2"/>
    <n v="77981"/>
    <x v="2"/>
    <n v="1"/>
    <n v="0"/>
    <x v="2"/>
    <x v="459"/>
    <n v="78"/>
    <x v="0"/>
    <n v="0"/>
    <n v="138"/>
    <n v="120"/>
    <n v="204"/>
    <n v="16"/>
    <n v="126"/>
    <n v="60"/>
    <n v="664"/>
    <n v="3"/>
    <n v="7"/>
    <n v="4"/>
    <n v="7"/>
    <n v="18"/>
    <n v="5"/>
    <x v="0"/>
  </r>
  <r>
    <n v="2118"/>
    <n v="1964"/>
    <x v="1"/>
    <x v="2"/>
    <x v="2"/>
    <n v="62905"/>
    <x v="0"/>
    <n v="0"/>
    <n v="1"/>
    <x v="2"/>
    <x v="101"/>
    <n v="68"/>
    <x v="0"/>
    <n v="0"/>
    <n v="166"/>
    <n v="75"/>
    <n v="96"/>
    <n v="119"/>
    <n v="107"/>
    <n v="59"/>
    <n v="622"/>
    <n v="3"/>
    <n v="7"/>
    <n v="2"/>
    <n v="8"/>
    <n v="17"/>
    <n v="4"/>
    <x v="0"/>
  </r>
  <r>
    <n v="8812"/>
    <n v="1979"/>
    <x v="3"/>
    <x v="2"/>
    <x v="3"/>
    <n v="13533"/>
    <x v="3"/>
    <n v="1"/>
    <n v="0"/>
    <x v="2"/>
    <x v="112"/>
    <n v="45"/>
    <x v="1"/>
    <n v="0"/>
    <n v="12"/>
    <n v="3"/>
    <n v="8"/>
    <n v="8"/>
    <n v="0"/>
    <n v="17"/>
    <n v="48"/>
    <n v="2"/>
    <n v="2"/>
    <n v="0"/>
    <n v="3"/>
    <n v="5"/>
    <n v="7"/>
    <x v="0"/>
  </r>
  <r>
    <n v="6616"/>
    <n v="1975"/>
    <x v="3"/>
    <x v="0"/>
    <x v="1"/>
    <n v="59481"/>
    <x v="0"/>
    <n v="0"/>
    <n v="1"/>
    <x v="2"/>
    <x v="484"/>
    <n v="47"/>
    <x v="1"/>
    <n v="0"/>
    <n v="178"/>
    <n v="3"/>
    <n v="85"/>
    <n v="71"/>
    <n v="66"/>
    <n v="58"/>
    <n v="461"/>
    <n v="2"/>
    <n v="3"/>
    <n v="3"/>
    <n v="8"/>
    <n v="14"/>
    <n v="2"/>
    <x v="0"/>
  </r>
  <r>
    <n v="2797"/>
    <n v="1977"/>
    <x v="3"/>
    <x v="0"/>
    <x v="2"/>
    <n v="72117"/>
    <x v="2"/>
    <n v="0"/>
    <n v="1"/>
    <x v="2"/>
    <x v="132"/>
    <n v="34"/>
    <x v="1"/>
    <n v="0"/>
    <n v="707"/>
    <n v="20"/>
    <n v="171"/>
    <n v="65"/>
    <n v="60"/>
    <n v="50"/>
    <n v="1073"/>
    <n v="1"/>
    <n v="9"/>
    <n v="7"/>
    <n v="9"/>
    <n v="25"/>
    <n v="5"/>
    <x v="1"/>
  </r>
  <r>
    <n v="4328"/>
    <n v="1986"/>
    <x v="2"/>
    <x v="2"/>
    <x v="2"/>
    <n v="21955"/>
    <x v="3"/>
    <n v="1"/>
    <n v="0"/>
    <x v="2"/>
    <x v="312"/>
    <n v="81"/>
    <x v="0"/>
    <n v="0"/>
    <n v="5"/>
    <n v="1"/>
    <n v="7"/>
    <n v="17"/>
    <n v="14"/>
    <n v="11"/>
    <n v="55"/>
    <n v="2"/>
    <n v="2"/>
    <n v="1"/>
    <n v="3"/>
    <n v="6"/>
    <n v="6"/>
    <x v="0"/>
  </r>
  <r>
    <n v="9167"/>
    <n v="1956"/>
    <x v="0"/>
    <x v="0"/>
    <x v="2"/>
    <n v="67131"/>
    <x v="0"/>
    <n v="0"/>
    <n v="1"/>
    <x v="2"/>
    <x v="182"/>
    <n v="72"/>
    <x v="0"/>
    <n v="0"/>
    <n v="465"/>
    <n v="71"/>
    <n v="250"/>
    <n v="93"/>
    <n v="35"/>
    <n v="62"/>
    <n v="976"/>
    <n v="3"/>
    <n v="9"/>
    <n v="2"/>
    <n v="12"/>
    <n v="23"/>
    <n v="6"/>
    <x v="0"/>
  </r>
  <r>
    <n v="10560"/>
    <n v="1980"/>
    <x v="3"/>
    <x v="1"/>
    <x v="0"/>
    <n v="36802"/>
    <x v="1"/>
    <n v="1"/>
    <n v="0"/>
    <x v="2"/>
    <x v="266"/>
    <n v="23"/>
    <x v="1"/>
    <n v="0"/>
    <n v="16"/>
    <n v="1"/>
    <n v="2"/>
    <n v="0"/>
    <n v="0"/>
    <n v="1"/>
    <n v="20"/>
    <n v="1"/>
    <n v="1"/>
    <n v="0"/>
    <n v="3"/>
    <n v="4"/>
    <n v="5"/>
    <x v="0"/>
  </r>
  <r>
    <n v="5534"/>
    <n v="1975"/>
    <x v="3"/>
    <x v="2"/>
    <x v="2"/>
    <n v="47808"/>
    <x v="1"/>
    <n v="0"/>
    <n v="1"/>
    <x v="2"/>
    <x v="351"/>
    <n v="30"/>
    <x v="1"/>
    <n v="0"/>
    <n v="123"/>
    <n v="1"/>
    <n v="26"/>
    <n v="2"/>
    <n v="0"/>
    <n v="72"/>
    <n v="224"/>
    <n v="2"/>
    <n v="3"/>
    <n v="2"/>
    <n v="3"/>
    <n v="8"/>
    <n v="7"/>
    <x v="0"/>
  </r>
  <r>
    <n v="5093"/>
    <n v="1974"/>
    <x v="3"/>
    <x v="1"/>
    <x v="3"/>
    <n v="25509"/>
    <x v="3"/>
    <n v="1"/>
    <n v="0"/>
    <x v="2"/>
    <x v="236"/>
    <n v="15"/>
    <x v="1"/>
    <n v="0"/>
    <n v="40"/>
    <n v="3"/>
    <n v="30"/>
    <n v="10"/>
    <n v="7"/>
    <n v="11"/>
    <n v="101"/>
    <n v="3"/>
    <n v="3"/>
    <n v="0"/>
    <n v="3"/>
    <n v="6"/>
    <n v="9"/>
    <x v="0"/>
  </r>
  <r>
    <n v="8584"/>
    <n v="1952"/>
    <x v="4"/>
    <x v="1"/>
    <x v="1"/>
    <n v="85431"/>
    <x v="2"/>
    <n v="0"/>
    <n v="0"/>
    <x v="0"/>
    <x v="563"/>
    <n v="54"/>
    <x v="0"/>
    <n v="0"/>
    <n v="376"/>
    <n v="53"/>
    <n v="462"/>
    <n v="168"/>
    <n v="53"/>
    <n v="53"/>
    <n v="1165"/>
    <n v="1"/>
    <n v="2"/>
    <n v="7"/>
    <n v="7"/>
    <n v="16"/>
    <n v="0"/>
    <x v="0"/>
  </r>
  <r>
    <n v="2694"/>
    <n v="1967"/>
    <x v="1"/>
    <x v="0"/>
    <x v="2"/>
    <n v="42664"/>
    <x v="1"/>
    <n v="0"/>
    <n v="1"/>
    <x v="2"/>
    <x v="171"/>
    <n v="44"/>
    <x v="1"/>
    <n v="0"/>
    <n v="21"/>
    <n v="0"/>
    <n v="3"/>
    <n v="0"/>
    <n v="0"/>
    <n v="0"/>
    <n v="24"/>
    <n v="1"/>
    <n v="1"/>
    <n v="0"/>
    <n v="3"/>
    <n v="4"/>
    <n v="6"/>
    <x v="0"/>
  </r>
  <r>
    <n v="164"/>
    <n v="1977"/>
    <x v="3"/>
    <x v="1"/>
    <x v="2"/>
    <n v="28973"/>
    <x v="3"/>
    <n v="0"/>
    <n v="0"/>
    <x v="0"/>
    <x v="204"/>
    <n v="59"/>
    <x v="0"/>
    <n v="0"/>
    <n v="206"/>
    <n v="0"/>
    <n v="46"/>
    <n v="3"/>
    <n v="2"/>
    <n v="12"/>
    <n v="269"/>
    <n v="2"/>
    <n v="5"/>
    <n v="1"/>
    <n v="5"/>
    <n v="11"/>
    <n v="8"/>
    <x v="0"/>
  </r>
  <r>
    <n v="10477"/>
    <n v="1973"/>
    <x v="3"/>
    <x v="1"/>
    <x v="1"/>
    <n v="39435"/>
    <x v="1"/>
    <n v="1"/>
    <n v="0"/>
    <x v="2"/>
    <x v="315"/>
    <n v="16"/>
    <x v="1"/>
    <n v="0"/>
    <n v="71"/>
    <n v="0"/>
    <n v="18"/>
    <n v="0"/>
    <n v="0"/>
    <n v="13"/>
    <n v="102"/>
    <n v="1"/>
    <n v="3"/>
    <n v="1"/>
    <n v="2"/>
    <n v="6"/>
    <n v="7"/>
    <x v="0"/>
  </r>
  <r>
    <n v="2681"/>
    <n v="1984"/>
    <x v="2"/>
    <x v="2"/>
    <x v="2"/>
    <n v="65370"/>
    <x v="0"/>
    <n v="0"/>
    <n v="0"/>
    <x v="0"/>
    <x v="379"/>
    <n v="1"/>
    <x v="1"/>
    <n v="0"/>
    <n v="71"/>
    <n v="22"/>
    <n v="112"/>
    <n v="138"/>
    <n v="89"/>
    <n v="29"/>
    <n v="461"/>
    <n v="1"/>
    <n v="2"/>
    <n v="3"/>
    <n v="13"/>
    <n v="18"/>
    <n v="1"/>
    <x v="0"/>
  </r>
  <r>
    <n v="5150"/>
    <n v="1979"/>
    <x v="3"/>
    <x v="3"/>
    <x v="0"/>
    <n v="20194"/>
    <x v="3"/>
    <n v="1"/>
    <n v="0"/>
    <x v="2"/>
    <x v="632"/>
    <n v="64"/>
    <x v="0"/>
    <n v="0"/>
    <n v="0"/>
    <n v="4"/>
    <n v="7"/>
    <n v="11"/>
    <n v="10"/>
    <n v="15"/>
    <n v="47"/>
    <n v="2"/>
    <n v="2"/>
    <n v="0"/>
    <n v="3"/>
    <n v="5"/>
    <n v="6"/>
    <x v="0"/>
  </r>
  <r>
    <n v="5283"/>
    <n v="1976"/>
    <x v="3"/>
    <x v="1"/>
    <x v="0"/>
    <n v="42473"/>
    <x v="1"/>
    <n v="1"/>
    <n v="1"/>
    <x v="1"/>
    <x v="410"/>
    <n v="72"/>
    <x v="0"/>
    <n v="0"/>
    <n v="93"/>
    <n v="1"/>
    <n v="21"/>
    <n v="0"/>
    <n v="4"/>
    <n v="25"/>
    <n v="144"/>
    <n v="3"/>
    <n v="2"/>
    <n v="1"/>
    <n v="4"/>
    <n v="7"/>
    <n v="5"/>
    <x v="0"/>
  </r>
  <r>
    <n v="9645"/>
    <n v="1968"/>
    <x v="1"/>
    <x v="0"/>
    <x v="2"/>
    <n v="64590"/>
    <x v="0"/>
    <n v="0"/>
    <n v="0"/>
    <x v="0"/>
    <x v="509"/>
    <n v="98"/>
    <x v="0"/>
    <n v="0"/>
    <n v="920"/>
    <n v="138"/>
    <n v="168"/>
    <n v="36"/>
    <n v="46"/>
    <n v="30"/>
    <n v="1338"/>
    <n v="1"/>
    <n v="9"/>
    <n v="4"/>
    <n v="10"/>
    <n v="23"/>
    <n v="6"/>
    <x v="0"/>
  </r>
  <r>
    <n v="10678"/>
    <n v="1959"/>
    <x v="0"/>
    <x v="0"/>
    <x v="1"/>
    <n v="71232"/>
    <x v="2"/>
    <n v="0"/>
    <n v="1"/>
    <x v="2"/>
    <x v="196"/>
    <n v="91"/>
    <x v="0"/>
    <n v="0"/>
    <n v="653"/>
    <n v="17"/>
    <n v="170"/>
    <n v="34"/>
    <n v="26"/>
    <n v="17"/>
    <n v="917"/>
    <n v="2"/>
    <n v="11"/>
    <n v="2"/>
    <n v="10"/>
    <n v="23"/>
    <n v="7"/>
    <x v="0"/>
  </r>
  <r>
    <n v="7261"/>
    <n v="1971"/>
    <x v="1"/>
    <x v="0"/>
    <x v="1"/>
    <n v="34600"/>
    <x v="3"/>
    <n v="1"/>
    <n v="1"/>
    <x v="1"/>
    <x v="415"/>
    <n v="8"/>
    <x v="1"/>
    <n v="0"/>
    <n v="199"/>
    <n v="33"/>
    <n v="60"/>
    <n v="8"/>
    <n v="3"/>
    <n v="15"/>
    <n v="318"/>
    <n v="5"/>
    <n v="5"/>
    <n v="2"/>
    <n v="5"/>
    <n v="12"/>
    <n v="8"/>
    <x v="0"/>
  </r>
  <r>
    <n v="9648"/>
    <n v="1967"/>
    <x v="1"/>
    <x v="0"/>
    <x v="0"/>
    <n v="46904"/>
    <x v="1"/>
    <n v="1"/>
    <n v="1"/>
    <x v="1"/>
    <x v="16"/>
    <n v="20"/>
    <x v="1"/>
    <n v="0"/>
    <n v="153"/>
    <n v="4"/>
    <n v="56"/>
    <n v="0"/>
    <n v="9"/>
    <n v="31"/>
    <n v="253"/>
    <n v="4"/>
    <n v="5"/>
    <n v="1"/>
    <n v="4"/>
    <n v="10"/>
    <n v="8"/>
    <x v="0"/>
  </r>
  <r>
    <n v="2870"/>
    <n v="1973"/>
    <x v="3"/>
    <x v="0"/>
    <x v="2"/>
    <n v="49094"/>
    <x v="1"/>
    <n v="0"/>
    <n v="1"/>
    <x v="2"/>
    <x v="402"/>
    <n v="6"/>
    <x v="1"/>
    <n v="0"/>
    <n v="376"/>
    <n v="0"/>
    <n v="38"/>
    <n v="11"/>
    <n v="8"/>
    <n v="69"/>
    <n v="502"/>
    <n v="5"/>
    <n v="6"/>
    <n v="3"/>
    <n v="6"/>
    <n v="15"/>
    <n v="6"/>
    <x v="0"/>
  </r>
  <r>
    <n v="8008"/>
    <n v="1983"/>
    <x v="2"/>
    <x v="0"/>
    <x v="1"/>
    <n v="36075"/>
    <x v="1"/>
    <n v="1"/>
    <n v="0"/>
    <x v="2"/>
    <x v="163"/>
    <n v="54"/>
    <x v="0"/>
    <n v="0"/>
    <n v="46"/>
    <n v="0"/>
    <n v="30"/>
    <n v="12"/>
    <n v="1"/>
    <n v="30"/>
    <n v="119"/>
    <n v="1"/>
    <n v="2"/>
    <n v="0"/>
    <n v="4"/>
    <n v="6"/>
    <n v="6"/>
    <x v="0"/>
  </r>
  <r>
    <n v="1513"/>
    <n v="1979"/>
    <x v="3"/>
    <x v="2"/>
    <x v="1"/>
    <n v="60839"/>
    <x v="0"/>
    <n v="1"/>
    <n v="1"/>
    <x v="1"/>
    <x v="592"/>
    <n v="72"/>
    <x v="0"/>
    <n v="0"/>
    <n v="600"/>
    <n v="21"/>
    <n v="128"/>
    <n v="223"/>
    <n v="150"/>
    <n v="128"/>
    <n v="1250"/>
    <n v="13"/>
    <n v="2"/>
    <n v="2"/>
    <n v="12"/>
    <n v="16"/>
    <n v="8"/>
    <x v="0"/>
  </r>
  <r>
    <n v="7960"/>
    <n v="1962"/>
    <x v="0"/>
    <x v="2"/>
    <x v="1"/>
    <n v="82122"/>
    <x v="2"/>
    <n v="0"/>
    <n v="0"/>
    <x v="0"/>
    <x v="264"/>
    <n v="89"/>
    <x v="0"/>
    <n v="0"/>
    <n v="734"/>
    <n v="22"/>
    <n v="350"/>
    <n v="151"/>
    <n v="25"/>
    <n v="100"/>
    <n v="1382"/>
    <n v="1"/>
    <n v="3"/>
    <n v="9"/>
    <n v="13"/>
    <n v="25"/>
    <n v="1"/>
    <x v="0"/>
  </r>
  <r>
    <n v="9905"/>
    <n v="1952"/>
    <x v="4"/>
    <x v="0"/>
    <x v="1"/>
    <n v="34074"/>
    <x v="3"/>
    <n v="1"/>
    <n v="1"/>
    <x v="1"/>
    <x v="141"/>
    <n v="69"/>
    <x v="0"/>
    <n v="0"/>
    <n v="135"/>
    <n v="1"/>
    <n v="41"/>
    <n v="10"/>
    <n v="1"/>
    <n v="67"/>
    <n v="255"/>
    <n v="5"/>
    <n v="3"/>
    <n v="3"/>
    <n v="3"/>
    <n v="9"/>
    <n v="6"/>
    <x v="0"/>
  </r>
  <r>
    <n v="10691"/>
    <n v="1960"/>
    <x v="0"/>
    <x v="2"/>
    <x v="2"/>
    <n v="28520"/>
    <x v="3"/>
    <n v="1"/>
    <n v="1"/>
    <x v="1"/>
    <x v="285"/>
    <n v="55"/>
    <x v="0"/>
    <n v="0"/>
    <n v="11"/>
    <n v="0"/>
    <n v="10"/>
    <n v="0"/>
    <n v="2"/>
    <n v="20"/>
    <n v="43"/>
    <n v="1"/>
    <n v="1"/>
    <n v="1"/>
    <n v="2"/>
    <n v="4"/>
    <n v="6"/>
    <x v="0"/>
  </r>
  <r>
    <n v="7002"/>
    <n v="1955"/>
    <x v="0"/>
    <x v="0"/>
    <x v="0"/>
    <n v="62535"/>
    <x v="0"/>
    <n v="0"/>
    <n v="1"/>
    <x v="2"/>
    <x v="451"/>
    <n v="13"/>
    <x v="1"/>
    <n v="0"/>
    <n v="163"/>
    <n v="48"/>
    <n v="90"/>
    <n v="0"/>
    <n v="45"/>
    <n v="52"/>
    <n v="398"/>
    <n v="1"/>
    <n v="3"/>
    <n v="2"/>
    <n v="8"/>
    <n v="13"/>
    <n v="3"/>
    <x v="0"/>
  </r>
  <r>
    <n v="2952"/>
    <n v="1977"/>
    <x v="3"/>
    <x v="2"/>
    <x v="0"/>
    <n v="36273"/>
    <x v="1"/>
    <n v="1"/>
    <n v="0"/>
    <x v="2"/>
    <x v="188"/>
    <n v="80"/>
    <x v="0"/>
    <n v="0"/>
    <n v="29"/>
    <n v="3"/>
    <n v="30"/>
    <n v="3"/>
    <n v="2"/>
    <n v="9"/>
    <n v="76"/>
    <n v="2"/>
    <n v="3"/>
    <n v="0"/>
    <n v="3"/>
    <n v="6"/>
    <n v="6"/>
    <x v="0"/>
  </r>
  <r>
    <n v="8439"/>
    <n v="1964"/>
    <x v="1"/>
    <x v="0"/>
    <x v="1"/>
    <n v="63404"/>
    <x v="0"/>
    <n v="0"/>
    <n v="2"/>
    <x v="1"/>
    <x v="633"/>
    <n v="97"/>
    <x v="0"/>
    <n v="0"/>
    <n v="734"/>
    <n v="26"/>
    <n v="70"/>
    <n v="11"/>
    <n v="44"/>
    <n v="17"/>
    <n v="902"/>
    <n v="2"/>
    <n v="6"/>
    <n v="3"/>
    <n v="4"/>
    <n v="13"/>
    <n v="4"/>
    <x v="0"/>
  </r>
  <r>
    <n v="2831"/>
    <n v="1976"/>
    <x v="3"/>
    <x v="0"/>
    <x v="1"/>
    <n v="78416"/>
    <x v="2"/>
    <n v="0"/>
    <n v="1"/>
    <x v="2"/>
    <x v="434"/>
    <n v="99"/>
    <x v="0"/>
    <n v="0"/>
    <n v="453"/>
    <n v="38"/>
    <n v="279"/>
    <n v="188"/>
    <n v="38"/>
    <n v="183"/>
    <n v="1179"/>
    <n v="2"/>
    <n v="7"/>
    <n v="7"/>
    <n v="10"/>
    <n v="24"/>
    <n v="3"/>
    <x v="0"/>
  </r>
  <r>
    <n v="6977"/>
    <n v="1974"/>
    <x v="3"/>
    <x v="0"/>
    <x v="1"/>
    <n v="75702"/>
    <x v="2"/>
    <n v="0"/>
    <n v="1"/>
    <x v="2"/>
    <x v="509"/>
    <n v="87"/>
    <x v="0"/>
    <n v="0"/>
    <n v="1073"/>
    <n v="0"/>
    <n v="629"/>
    <n v="145"/>
    <n v="37"/>
    <n v="37"/>
    <n v="1921"/>
    <n v="1"/>
    <n v="10"/>
    <n v="5"/>
    <n v="13"/>
    <n v="28"/>
    <n v="6"/>
    <x v="0"/>
  </r>
  <r>
    <n v="6289"/>
    <n v="1951"/>
    <x v="4"/>
    <x v="2"/>
    <x v="1"/>
    <n v="59385"/>
    <x v="0"/>
    <n v="1"/>
    <n v="1"/>
    <x v="1"/>
    <x v="554"/>
    <n v="85"/>
    <x v="0"/>
    <n v="0"/>
    <n v="135"/>
    <n v="0"/>
    <n v="10"/>
    <n v="0"/>
    <n v="4"/>
    <n v="36"/>
    <n v="185"/>
    <n v="2"/>
    <n v="3"/>
    <n v="1"/>
    <n v="4"/>
    <n v="8"/>
    <n v="5"/>
    <x v="0"/>
  </r>
  <r>
    <n v="8397"/>
    <n v="1951"/>
    <x v="4"/>
    <x v="0"/>
    <x v="2"/>
    <n v="44689"/>
    <x v="1"/>
    <n v="1"/>
    <n v="1"/>
    <x v="1"/>
    <x v="618"/>
    <n v="82"/>
    <x v="0"/>
    <n v="0"/>
    <n v="18"/>
    <n v="0"/>
    <n v="5"/>
    <n v="0"/>
    <n v="0"/>
    <n v="11"/>
    <n v="34"/>
    <n v="2"/>
    <n v="1"/>
    <n v="1"/>
    <n v="2"/>
    <n v="4"/>
    <n v="7"/>
    <x v="0"/>
  </r>
  <r>
    <n v="6237"/>
    <n v="1966"/>
    <x v="1"/>
    <x v="1"/>
    <x v="0"/>
    <n v="7144"/>
    <x v="3"/>
    <n v="0"/>
    <n v="2"/>
    <x v="1"/>
    <x v="263"/>
    <n v="92"/>
    <x v="0"/>
    <n v="0"/>
    <n v="81"/>
    <n v="4"/>
    <n v="33"/>
    <n v="5"/>
    <n v="2"/>
    <n v="291"/>
    <n v="416"/>
    <n v="0"/>
    <n v="23"/>
    <n v="1"/>
    <n v="1"/>
    <n v="25"/>
    <n v="0"/>
    <x v="0"/>
  </r>
  <r>
    <n v="1619"/>
    <n v="1956"/>
    <x v="0"/>
    <x v="0"/>
    <x v="2"/>
    <n v="90369"/>
    <x v="2"/>
    <n v="0"/>
    <n v="0"/>
    <x v="0"/>
    <x v="50"/>
    <n v="2"/>
    <x v="1"/>
    <n v="0"/>
    <n v="292"/>
    <n v="51"/>
    <n v="981"/>
    <n v="224"/>
    <n v="23"/>
    <n v="17"/>
    <n v="1588"/>
    <n v="1"/>
    <n v="4"/>
    <n v="6"/>
    <n v="6"/>
    <n v="16"/>
    <n v="1"/>
    <x v="1"/>
  </r>
  <r>
    <n v="1990"/>
    <n v="1974"/>
    <x v="3"/>
    <x v="1"/>
    <x v="0"/>
    <n v="63159"/>
    <x v="0"/>
    <n v="0"/>
    <n v="0"/>
    <x v="0"/>
    <x v="134"/>
    <n v="74"/>
    <x v="0"/>
    <n v="0"/>
    <n v="965"/>
    <n v="34"/>
    <n v="586"/>
    <n v="89"/>
    <n v="86"/>
    <n v="37"/>
    <n v="1797"/>
    <n v="1"/>
    <n v="3"/>
    <n v="5"/>
    <n v="8"/>
    <n v="16"/>
    <n v="3"/>
    <x v="0"/>
  </r>
  <r>
    <n v="269"/>
    <n v="1963"/>
    <x v="1"/>
    <x v="1"/>
    <x v="0"/>
    <n v="46757"/>
    <x v="1"/>
    <n v="0"/>
    <n v="1"/>
    <x v="2"/>
    <x v="596"/>
    <n v="71"/>
    <x v="0"/>
    <n v="0"/>
    <n v="777"/>
    <n v="30"/>
    <n v="163"/>
    <n v="0"/>
    <n v="51"/>
    <n v="122"/>
    <n v="1143"/>
    <n v="6"/>
    <n v="4"/>
    <n v="4"/>
    <n v="7"/>
    <n v="15"/>
    <n v="9"/>
    <x v="0"/>
  </r>
  <r>
    <n v="8093"/>
    <n v="1969"/>
    <x v="1"/>
    <x v="2"/>
    <x v="2"/>
    <n v="79734"/>
    <x v="2"/>
    <n v="0"/>
    <n v="0"/>
    <x v="0"/>
    <x v="39"/>
    <n v="72"/>
    <x v="0"/>
    <n v="0"/>
    <n v="572"/>
    <n v="8"/>
    <n v="232"/>
    <n v="23"/>
    <n v="62"/>
    <n v="17"/>
    <n v="914"/>
    <n v="1"/>
    <n v="4"/>
    <n v="3"/>
    <n v="6"/>
    <n v="13"/>
    <n v="1"/>
    <x v="0"/>
  </r>
  <r>
    <n v="10513"/>
    <n v="1992"/>
    <x v="2"/>
    <x v="0"/>
    <x v="1"/>
    <n v="63207"/>
    <x v="0"/>
    <n v="0"/>
    <n v="0"/>
    <x v="0"/>
    <x v="401"/>
    <n v="68"/>
    <x v="0"/>
    <n v="0"/>
    <n v="438"/>
    <n v="169"/>
    <n v="565"/>
    <n v="91"/>
    <n v="169"/>
    <n v="70"/>
    <n v="1502"/>
    <n v="1"/>
    <n v="2"/>
    <n v="3"/>
    <n v="6"/>
    <n v="11"/>
    <n v="7"/>
    <x v="0"/>
  </r>
  <r>
    <n v="10177"/>
    <n v="1954"/>
    <x v="0"/>
    <x v="0"/>
    <x v="3"/>
    <n v="72071"/>
    <x v="2"/>
    <n v="0"/>
    <n v="1"/>
    <x v="2"/>
    <x v="477"/>
    <n v="4"/>
    <x v="1"/>
    <n v="0"/>
    <n v="531"/>
    <n v="69"/>
    <n v="300"/>
    <n v="150"/>
    <n v="138"/>
    <n v="150"/>
    <n v="1338"/>
    <n v="3"/>
    <n v="5"/>
    <n v="4"/>
    <n v="8"/>
    <n v="17"/>
    <n v="2"/>
    <x v="1"/>
  </r>
  <r>
    <n v="2549"/>
    <n v="1983"/>
    <x v="2"/>
    <x v="1"/>
    <x v="1"/>
    <n v="21840"/>
    <x v="3"/>
    <n v="1"/>
    <n v="0"/>
    <x v="2"/>
    <x v="545"/>
    <n v="80"/>
    <x v="0"/>
    <n v="0"/>
    <n v="17"/>
    <n v="0"/>
    <n v="9"/>
    <n v="0"/>
    <n v="0"/>
    <n v="1"/>
    <n v="27"/>
    <n v="1"/>
    <n v="1"/>
    <n v="0"/>
    <n v="3"/>
    <n v="4"/>
    <n v="9"/>
    <x v="0"/>
  </r>
  <r>
    <n v="5782"/>
    <n v="1982"/>
    <x v="3"/>
    <x v="2"/>
    <x v="1"/>
    <n v="58582"/>
    <x v="0"/>
    <n v="0"/>
    <n v="1"/>
    <x v="2"/>
    <x v="148"/>
    <n v="15"/>
    <x v="1"/>
    <n v="0"/>
    <n v="402"/>
    <n v="35"/>
    <n v="106"/>
    <n v="101"/>
    <n v="77"/>
    <n v="42"/>
    <n v="763"/>
    <n v="2"/>
    <n v="9"/>
    <n v="2"/>
    <n v="9"/>
    <n v="20"/>
    <n v="5"/>
    <x v="1"/>
  </r>
  <r>
    <n v="10057"/>
    <n v="1951"/>
    <x v="4"/>
    <x v="0"/>
    <x v="0"/>
    <n v="72282"/>
    <x v="2"/>
    <n v="0"/>
    <n v="0"/>
    <x v="0"/>
    <x v="349"/>
    <n v="70"/>
    <x v="0"/>
    <n v="0"/>
    <n v="503"/>
    <n v="27"/>
    <n v="419"/>
    <n v="90"/>
    <n v="139"/>
    <n v="153"/>
    <n v="1331"/>
    <n v="1"/>
    <n v="5"/>
    <n v="7"/>
    <n v="9"/>
    <n v="21"/>
    <n v="7"/>
    <x v="0"/>
  </r>
  <r>
    <n v="10307"/>
    <n v="1956"/>
    <x v="0"/>
    <x v="0"/>
    <x v="2"/>
    <n v="50387"/>
    <x v="1"/>
    <n v="0"/>
    <n v="2"/>
    <x v="1"/>
    <x v="176"/>
    <n v="91"/>
    <x v="0"/>
    <n v="0"/>
    <n v="369"/>
    <n v="9"/>
    <n v="87"/>
    <n v="12"/>
    <n v="14"/>
    <n v="34"/>
    <n v="525"/>
    <n v="3"/>
    <n v="6"/>
    <n v="2"/>
    <n v="8"/>
    <n v="16"/>
    <n v="5"/>
    <x v="0"/>
  </r>
  <r>
    <n v="8566"/>
    <n v="1961"/>
    <x v="0"/>
    <x v="1"/>
    <x v="1"/>
    <n v="32583"/>
    <x v="3"/>
    <n v="1"/>
    <n v="1"/>
    <x v="1"/>
    <x v="150"/>
    <n v="10"/>
    <x v="1"/>
    <n v="0"/>
    <n v="5"/>
    <n v="0"/>
    <n v="3"/>
    <n v="0"/>
    <n v="0"/>
    <n v="1"/>
    <n v="9"/>
    <n v="1"/>
    <n v="1"/>
    <n v="0"/>
    <n v="2"/>
    <n v="3"/>
    <n v="7"/>
    <x v="0"/>
  </r>
  <r>
    <n v="2415"/>
    <n v="1962"/>
    <x v="0"/>
    <x v="0"/>
    <x v="1"/>
    <n v="62568"/>
    <x v="0"/>
    <n v="0"/>
    <n v="1"/>
    <x v="2"/>
    <x v="518"/>
    <n v="99"/>
    <x v="0"/>
    <n v="0"/>
    <n v="362"/>
    <n v="17"/>
    <n v="398"/>
    <n v="80"/>
    <n v="35"/>
    <n v="61"/>
    <n v="953"/>
    <n v="3"/>
    <n v="5"/>
    <n v="3"/>
    <n v="5"/>
    <n v="13"/>
    <n v="4"/>
    <x v="0"/>
  </r>
  <r>
    <n v="5684"/>
    <n v="1971"/>
    <x v="1"/>
    <x v="2"/>
    <x v="3"/>
    <n v="44635"/>
    <x v="1"/>
    <n v="1"/>
    <n v="1"/>
    <x v="1"/>
    <x v="441"/>
    <n v="25"/>
    <x v="1"/>
    <n v="0"/>
    <n v="56"/>
    <n v="0"/>
    <n v="9"/>
    <n v="0"/>
    <n v="0"/>
    <n v="3"/>
    <n v="68"/>
    <n v="2"/>
    <n v="2"/>
    <n v="0"/>
    <n v="3"/>
    <n v="5"/>
    <n v="7"/>
    <x v="0"/>
  </r>
  <r>
    <n v="9166"/>
    <n v="1968"/>
    <x v="1"/>
    <x v="0"/>
    <x v="2"/>
    <n v="63967"/>
    <x v="0"/>
    <n v="0"/>
    <n v="1"/>
    <x v="2"/>
    <x v="502"/>
    <n v="57"/>
    <x v="0"/>
    <n v="0"/>
    <n v="387"/>
    <n v="84"/>
    <n v="141"/>
    <n v="73"/>
    <n v="35"/>
    <n v="162"/>
    <n v="882"/>
    <n v="3"/>
    <n v="4"/>
    <n v="4"/>
    <n v="12"/>
    <n v="20"/>
    <n v="2"/>
    <x v="0"/>
  </r>
  <r>
    <n v="1440"/>
    <n v="1978"/>
    <x v="3"/>
    <x v="2"/>
    <x v="1"/>
    <n v="52513"/>
    <x v="0"/>
    <n v="0"/>
    <n v="0"/>
    <x v="0"/>
    <x v="0"/>
    <n v="84"/>
    <x v="0"/>
    <n v="0"/>
    <n v="367"/>
    <n v="17"/>
    <n v="241"/>
    <n v="104"/>
    <n v="188"/>
    <n v="232"/>
    <n v="1149"/>
    <n v="2"/>
    <n v="9"/>
    <n v="5"/>
    <n v="9"/>
    <n v="23"/>
    <n v="7"/>
    <x v="0"/>
  </r>
  <r>
    <n v="78"/>
    <n v="1969"/>
    <x v="1"/>
    <x v="0"/>
    <x v="2"/>
    <n v="25293"/>
    <x v="3"/>
    <n v="1"/>
    <n v="0"/>
    <x v="2"/>
    <x v="449"/>
    <n v="51"/>
    <x v="0"/>
    <n v="0"/>
    <n v="15"/>
    <n v="0"/>
    <n v="11"/>
    <n v="0"/>
    <n v="2"/>
    <n v="9"/>
    <n v="37"/>
    <n v="1"/>
    <n v="1"/>
    <n v="1"/>
    <n v="2"/>
    <n v="4"/>
    <n v="8"/>
    <x v="0"/>
  </r>
  <r>
    <n v="5441"/>
    <n v="1965"/>
    <x v="1"/>
    <x v="1"/>
    <x v="4"/>
    <n v="54111"/>
    <x v="0"/>
    <n v="0"/>
    <n v="1"/>
    <x v="2"/>
    <x v="428"/>
    <n v="97"/>
    <x v="0"/>
    <n v="0"/>
    <n v="267"/>
    <n v="6"/>
    <n v="54"/>
    <n v="8"/>
    <n v="3"/>
    <n v="50"/>
    <n v="388"/>
    <n v="2"/>
    <n v="5"/>
    <n v="2"/>
    <n v="6"/>
    <n v="13"/>
    <n v="5"/>
    <x v="0"/>
  </r>
  <r>
    <n v="5302"/>
    <n v="1986"/>
    <x v="2"/>
    <x v="0"/>
    <x v="1"/>
    <n v="78394"/>
    <x v="2"/>
    <n v="0"/>
    <n v="0"/>
    <x v="0"/>
    <x v="359"/>
    <n v="13"/>
    <x v="1"/>
    <n v="0"/>
    <n v="298"/>
    <n v="27"/>
    <n v="697"/>
    <n v="216"/>
    <n v="24"/>
    <n v="166"/>
    <n v="1428"/>
    <n v="1"/>
    <n v="4"/>
    <n v="6"/>
    <n v="5"/>
    <n v="15"/>
    <n v="2"/>
    <x v="1"/>
  </r>
  <r>
    <n v="4687"/>
    <n v="1958"/>
    <x v="0"/>
    <x v="2"/>
    <x v="2"/>
    <n v="80739"/>
    <x v="2"/>
    <n v="0"/>
    <n v="0"/>
    <x v="0"/>
    <x v="547"/>
    <n v="92"/>
    <x v="0"/>
    <n v="0"/>
    <n v="674"/>
    <n v="92"/>
    <n v="736"/>
    <n v="39"/>
    <n v="0"/>
    <n v="92"/>
    <n v="1633"/>
    <n v="1"/>
    <n v="3"/>
    <n v="11"/>
    <n v="9"/>
    <n v="23"/>
    <n v="1"/>
    <x v="0"/>
  </r>
  <r>
    <n v="1087"/>
    <n v="1975"/>
    <x v="3"/>
    <x v="2"/>
    <x v="1"/>
    <n v="22669"/>
    <x v="3"/>
    <n v="1"/>
    <n v="0"/>
    <x v="2"/>
    <x v="208"/>
    <n v="30"/>
    <x v="1"/>
    <n v="0"/>
    <n v="16"/>
    <n v="14"/>
    <n v="36"/>
    <n v="37"/>
    <n v="22"/>
    <n v="48"/>
    <n v="173"/>
    <n v="3"/>
    <n v="4"/>
    <n v="1"/>
    <n v="2"/>
    <n v="7"/>
    <n v="9"/>
    <x v="0"/>
  </r>
  <r>
    <n v="6859"/>
    <n v="1987"/>
    <x v="2"/>
    <x v="0"/>
    <x v="0"/>
    <n v="29236"/>
    <x v="3"/>
    <n v="1"/>
    <n v="0"/>
    <x v="2"/>
    <x v="272"/>
    <n v="30"/>
    <x v="1"/>
    <n v="0"/>
    <n v="37"/>
    <n v="4"/>
    <n v="24"/>
    <n v="16"/>
    <n v="9"/>
    <n v="9"/>
    <n v="99"/>
    <n v="2"/>
    <n v="4"/>
    <n v="0"/>
    <n v="3"/>
    <n v="7"/>
    <n v="9"/>
    <x v="0"/>
  </r>
  <r>
    <n v="9860"/>
    <n v="1959"/>
    <x v="0"/>
    <x v="0"/>
    <x v="1"/>
    <n v="44911"/>
    <x v="1"/>
    <n v="0"/>
    <n v="1"/>
    <x v="2"/>
    <x v="455"/>
    <n v="11"/>
    <x v="1"/>
    <n v="0"/>
    <n v="159"/>
    <n v="0"/>
    <n v="22"/>
    <n v="2"/>
    <n v="1"/>
    <n v="31"/>
    <n v="215"/>
    <n v="3"/>
    <n v="4"/>
    <n v="1"/>
    <n v="4"/>
    <n v="9"/>
    <n v="7"/>
    <x v="0"/>
  </r>
  <r>
    <n v="7129"/>
    <n v="1962"/>
    <x v="0"/>
    <x v="1"/>
    <x v="2"/>
    <n v="54693"/>
    <x v="0"/>
    <n v="0"/>
    <n v="1"/>
    <x v="2"/>
    <x v="591"/>
    <n v="72"/>
    <x v="0"/>
    <n v="0"/>
    <n v="686"/>
    <n v="17"/>
    <n v="142"/>
    <n v="23"/>
    <n v="26"/>
    <n v="35"/>
    <n v="929"/>
    <n v="8"/>
    <n v="6"/>
    <n v="4"/>
    <n v="13"/>
    <n v="23"/>
    <n v="6"/>
    <x v="0"/>
  </r>
  <r>
    <n v="5866"/>
    <n v="1974"/>
    <x v="3"/>
    <x v="0"/>
    <x v="1"/>
    <n v="48186"/>
    <x v="1"/>
    <n v="1"/>
    <n v="0"/>
    <x v="2"/>
    <x v="216"/>
    <n v="39"/>
    <x v="1"/>
    <n v="0"/>
    <n v="97"/>
    <n v="3"/>
    <n v="66"/>
    <n v="12"/>
    <n v="7"/>
    <n v="34"/>
    <n v="219"/>
    <n v="3"/>
    <n v="4"/>
    <n v="1"/>
    <n v="4"/>
    <n v="9"/>
    <n v="7"/>
    <x v="0"/>
  </r>
  <r>
    <n v="10521"/>
    <n v="1977"/>
    <x v="3"/>
    <x v="0"/>
    <x v="2"/>
    <n v="54809"/>
    <x v="0"/>
    <n v="1"/>
    <n v="1"/>
    <x v="1"/>
    <x v="255"/>
    <n v="0"/>
    <x v="1"/>
    <n v="0"/>
    <n v="63"/>
    <n v="6"/>
    <n v="57"/>
    <n v="13"/>
    <n v="13"/>
    <n v="22"/>
    <n v="174"/>
    <n v="4"/>
    <n v="2"/>
    <n v="1"/>
    <n v="5"/>
    <n v="8"/>
    <n v="4"/>
    <x v="0"/>
  </r>
  <r>
    <n v="7393"/>
    <n v="1978"/>
    <x v="3"/>
    <x v="0"/>
    <x v="1"/>
    <n v="41580"/>
    <x v="1"/>
    <n v="1"/>
    <n v="1"/>
    <x v="1"/>
    <x v="584"/>
    <n v="15"/>
    <x v="1"/>
    <n v="0"/>
    <n v="56"/>
    <n v="5"/>
    <n v="24"/>
    <n v="4"/>
    <n v="0"/>
    <n v="3"/>
    <n v="92"/>
    <n v="3"/>
    <n v="2"/>
    <n v="1"/>
    <n v="3"/>
    <n v="6"/>
    <n v="5"/>
    <x v="0"/>
  </r>
  <r>
    <n v="7849"/>
    <n v="1970"/>
    <x v="1"/>
    <x v="1"/>
    <x v="2"/>
    <n v="80336"/>
    <x v="2"/>
    <n v="0"/>
    <n v="0"/>
    <x v="0"/>
    <x v="5"/>
    <n v="12"/>
    <x v="1"/>
    <n v="0"/>
    <n v="209"/>
    <n v="19"/>
    <n v="456"/>
    <n v="160"/>
    <n v="142"/>
    <n v="66"/>
    <n v="1052"/>
    <n v="1"/>
    <n v="2"/>
    <n v="9"/>
    <n v="13"/>
    <n v="24"/>
    <n v="1"/>
    <x v="1"/>
  </r>
  <r>
    <n v="332"/>
    <n v="1957"/>
    <x v="0"/>
    <x v="0"/>
    <x v="2"/>
    <n v="47743"/>
    <x v="1"/>
    <n v="0"/>
    <n v="1"/>
    <x v="2"/>
    <x v="473"/>
    <n v="56"/>
    <x v="0"/>
    <n v="0"/>
    <n v="198"/>
    <n v="2"/>
    <n v="43"/>
    <n v="0"/>
    <n v="12"/>
    <n v="20"/>
    <n v="275"/>
    <n v="3"/>
    <n v="4"/>
    <n v="1"/>
    <n v="6"/>
    <n v="11"/>
    <n v="6"/>
    <x v="0"/>
  </r>
  <r>
    <n v="9847"/>
    <n v="1955"/>
    <x v="0"/>
    <x v="2"/>
    <x v="2"/>
    <n v="62972"/>
    <x v="0"/>
    <n v="0"/>
    <n v="1"/>
    <x v="2"/>
    <x v="411"/>
    <n v="39"/>
    <x v="1"/>
    <n v="0"/>
    <n v="313"/>
    <n v="15"/>
    <n v="47"/>
    <n v="20"/>
    <n v="0"/>
    <n v="192"/>
    <n v="587"/>
    <n v="2"/>
    <n v="7"/>
    <n v="4"/>
    <n v="3"/>
    <n v="14"/>
    <n v="6"/>
    <x v="0"/>
  </r>
  <r>
    <n v="531"/>
    <n v="1954"/>
    <x v="0"/>
    <x v="1"/>
    <x v="3"/>
    <n v="57333"/>
    <x v="0"/>
    <n v="0"/>
    <n v="1"/>
    <x v="2"/>
    <x v="203"/>
    <n v="55"/>
    <x v="0"/>
    <n v="0"/>
    <n v="941"/>
    <n v="14"/>
    <n v="397"/>
    <n v="76"/>
    <n v="58"/>
    <n v="176"/>
    <n v="1662"/>
    <n v="11"/>
    <n v="8"/>
    <n v="5"/>
    <n v="9"/>
    <n v="22"/>
    <n v="6"/>
    <x v="0"/>
  </r>
  <r>
    <n v="9576"/>
    <n v="1982"/>
    <x v="3"/>
    <x v="1"/>
    <x v="1"/>
    <n v="32313"/>
    <x v="3"/>
    <n v="1"/>
    <n v="0"/>
    <x v="2"/>
    <x v="220"/>
    <n v="60"/>
    <x v="0"/>
    <n v="0"/>
    <n v="86"/>
    <n v="4"/>
    <n v="56"/>
    <n v="2"/>
    <n v="4"/>
    <n v="7"/>
    <n v="159"/>
    <n v="3"/>
    <n v="4"/>
    <n v="0"/>
    <n v="4"/>
    <n v="8"/>
    <n v="9"/>
    <x v="0"/>
  </r>
  <r>
    <n v="6906"/>
    <n v="1953"/>
    <x v="0"/>
    <x v="2"/>
    <x v="4"/>
    <n v="84953"/>
    <x v="2"/>
    <n v="0"/>
    <n v="0"/>
    <x v="0"/>
    <x v="240"/>
    <n v="73"/>
    <x v="0"/>
    <n v="0"/>
    <n v="167"/>
    <n v="48"/>
    <n v="602"/>
    <n v="63"/>
    <n v="72"/>
    <n v="72"/>
    <n v="1024"/>
    <n v="1"/>
    <n v="3"/>
    <n v="10"/>
    <n v="4"/>
    <n v="17"/>
    <n v="2"/>
    <x v="0"/>
  </r>
  <r>
    <n v="7419"/>
    <n v="1968"/>
    <x v="1"/>
    <x v="2"/>
    <x v="3"/>
    <n v="27071"/>
    <x v="3"/>
    <n v="1"/>
    <n v="0"/>
    <x v="2"/>
    <x v="523"/>
    <n v="90"/>
    <x v="0"/>
    <n v="0"/>
    <n v="8"/>
    <n v="3"/>
    <n v="19"/>
    <n v="0"/>
    <n v="2"/>
    <n v="3"/>
    <n v="35"/>
    <n v="2"/>
    <n v="2"/>
    <n v="0"/>
    <n v="3"/>
    <n v="5"/>
    <n v="6"/>
    <x v="0"/>
  </r>
  <r>
    <n v="3170"/>
    <n v="1957"/>
    <x v="0"/>
    <x v="2"/>
    <x v="1"/>
    <n v="68148"/>
    <x v="0"/>
    <n v="0"/>
    <n v="0"/>
    <x v="0"/>
    <x v="176"/>
    <n v="86"/>
    <x v="0"/>
    <n v="0"/>
    <n v="389"/>
    <n v="66"/>
    <n v="408"/>
    <n v="37"/>
    <n v="57"/>
    <n v="85"/>
    <n v="1042"/>
    <n v="1"/>
    <n v="4"/>
    <n v="4"/>
    <n v="6"/>
    <n v="14"/>
    <n v="2"/>
    <x v="0"/>
  </r>
  <r>
    <n v="8527"/>
    <n v="1965"/>
    <x v="1"/>
    <x v="2"/>
    <x v="1"/>
    <n v="65735"/>
    <x v="0"/>
    <n v="1"/>
    <n v="1"/>
    <x v="1"/>
    <x v="263"/>
    <n v="37"/>
    <x v="1"/>
    <n v="0"/>
    <n v="239"/>
    <n v="7"/>
    <n v="119"/>
    <n v="4"/>
    <n v="15"/>
    <n v="11"/>
    <n v="395"/>
    <n v="5"/>
    <n v="6"/>
    <n v="2"/>
    <n v="6"/>
    <n v="14"/>
    <n v="7"/>
    <x v="0"/>
  </r>
  <r>
    <n v="7872"/>
    <n v="1975"/>
    <x v="3"/>
    <x v="1"/>
    <x v="2"/>
    <n v="86836"/>
    <x v="2"/>
    <n v="0"/>
    <n v="0"/>
    <x v="0"/>
    <x v="144"/>
    <n v="7"/>
    <x v="1"/>
    <n v="0"/>
    <n v="179"/>
    <n v="21"/>
    <n v="273"/>
    <n v="0"/>
    <n v="21"/>
    <n v="63"/>
    <n v="557"/>
    <n v="1"/>
    <n v="6"/>
    <n v="10"/>
    <n v="6"/>
    <n v="22"/>
    <n v="5"/>
    <x v="0"/>
  </r>
  <r>
    <n v="9931"/>
    <n v="1963"/>
    <x v="1"/>
    <x v="1"/>
    <x v="2"/>
    <n v="4023"/>
    <x v="3"/>
    <n v="1"/>
    <n v="1"/>
    <x v="1"/>
    <x v="617"/>
    <n v="29"/>
    <x v="1"/>
    <n v="0"/>
    <n v="5"/>
    <n v="0"/>
    <n v="1"/>
    <n v="1"/>
    <n v="1"/>
    <n v="1"/>
    <n v="9"/>
    <n v="15"/>
    <n v="0"/>
    <n v="0"/>
    <n v="0"/>
    <n v="0"/>
    <n v="19"/>
    <x v="0"/>
  </r>
  <r>
    <n v="10595"/>
    <n v="1990"/>
    <x v="2"/>
    <x v="0"/>
    <x v="2"/>
    <n v="30093"/>
    <x v="3"/>
    <n v="0"/>
    <n v="0"/>
    <x v="0"/>
    <x v="129"/>
    <n v="19"/>
    <x v="1"/>
    <n v="0"/>
    <n v="2"/>
    <n v="6"/>
    <n v="28"/>
    <n v="13"/>
    <n v="4"/>
    <n v="16"/>
    <n v="69"/>
    <n v="1"/>
    <n v="2"/>
    <n v="0"/>
    <n v="3"/>
    <n v="5"/>
    <n v="7"/>
    <x v="0"/>
  </r>
  <r>
    <n v="4609"/>
    <n v="1966"/>
    <x v="1"/>
    <x v="1"/>
    <x v="2"/>
    <n v="57705"/>
    <x v="0"/>
    <n v="0"/>
    <n v="1"/>
    <x v="2"/>
    <x v="20"/>
    <n v="14"/>
    <x v="1"/>
    <n v="0"/>
    <n v="383"/>
    <n v="0"/>
    <n v="53"/>
    <n v="6"/>
    <n v="4"/>
    <n v="40"/>
    <n v="486"/>
    <n v="3"/>
    <n v="8"/>
    <n v="1"/>
    <n v="6"/>
    <n v="15"/>
    <n v="6"/>
    <x v="0"/>
  </r>
  <r>
    <n v="5010"/>
    <n v="1988"/>
    <x v="2"/>
    <x v="0"/>
    <x v="0"/>
    <n v="25008"/>
    <x v="3"/>
    <n v="1"/>
    <n v="0"/>
    <x v="2"/>
    <x v="309"/>
    <n v="72"/>
    <x v="0"/>
    <n v="0"/>
    <n v="2"/>
    <n v="8"/>
    <n v="8"/>
    <n v="6"/>
    <n v="1"/>
    <n v="9"/>
    <n v="34"/>
    <n v="2"/>
    <n v="1"/>
    <n v="0"/>
    <n v="3"/>
    <n v="4"/>
    <n v="8"/>
    <x v="0"/>
  </r>
  <r>
    <n v="4427"/>
    <n v="1995"/>
    <x v="2"/>
    <x v="2"/>
    <x v="0"/>
    <n v="83257"/>
    <x v="2"/>
    <n v="0"/>
    <n v="0"/>
    <x v="0"/>
    <x v="236"/>
    <n v="56"/>
    <x v="0"/>
    <n v="1"/>
    <n v="536"/>
    <n v="27"/>
    <n v="590"/>
    <n v="38"/>
    <n v="107"/>
    <n v="67"/>
    <n v="1365"/>
    <n v="1"/>
    <n v="5"/>
    <n v="10"/>
    <n v="12"/>
    <n v="27"/>
    <n v="6"/>
    <x v="0"/>
  </r>
  <r>
    <n v="11148"/>
    <n v="1975"/>
    <x v="3"/>
    <x v="0"/>
    <x v="1"/>
    <n v="22280"/>
    <x v="3"/>
    <n v="1"/>
    <n v="0"/>
    <x v="2"/>
    <x v="634"/>
    <n v="85"/>
    <x v="0"/>
    <n v="0"/>
    <n v="2"/>
    <n v="1"/>
    <n v="4"/>
    <n v="3"/>
    <n v="1"/>
    <n v="2"/>
    <n v="13"/>
    <n v="1"/>
    <n v="1"/>
    <n v="0"/>
    <n v="2"/>
    <n v="3"/>
    <n v="8"/>
    <x v="0"/>
  </r>
  <r>
    <n v="1168"/>
    <n v="1978"/>
    <x v="3"/>
    <x v="1"/>
    <x v="2"/>
    <n v="72159"/>
    <x v="2"/>
    <n v="0"/>
    <n v="0"/>
    <x v="0"/>
    <x v="29"/>
    <n v="62"/>
    <x v="0"/>
    <n v="0"/>
    <n v="322"/>
    <n v="53"/>
    <n v="899"/>
    <n v="34"/>
    <n v="40"/>
    <n v="53"/>
    <n v="1401"/>
    <n v="1"/>
    <n v="4"/>
    <n v="6"/>
    <n v="10"/>
    <n v="20"/>
    <n v="2"/>
    <x v="0"/>
  </r>
  <r>
    <n v="9595"/>
    <n v="1961"/>
    <x v="0"/>
    <x v="0"/>
    <x v="1"/>
    <n v="64260"/>
    <x v="0"/>
    <n v="0"/>
    <n v="0"/>
    <x v="0"/>
    <x v="248"/>
    <n v="1"/>
    <x v="1"/>
    <n v="0"/>
    <n v="539"/>
    <n v="169"/>
    <n v="816"/>
    <n v="20"/>
    <n v="0"/>
    <n v="30"/>
    <n v="1574"/>
    <n v="1"/>
    <n v="4"/>
    <n v="5"/>
    <n v="4"/>
    <n v="13"/>
    <n v="3"/>
    <x v="1"/>
  </r>
  <r>
    <n v="10163"/>
    <n v="1984"/>
    <x v="2"/>
    <x v="1"/>
    <x v="0"/>
    <n v="82733"/>
    <x v="2"/>
    <n v="0"/>
    <n v="0"/>
    <x v="0"/>
    <x v="101"/>
    <n v="28"/>
    <x v="1"/>
    <n v="0"/>
    <n v="712"/>
    <n v="50"/>
    <n v="420"/>
    <n v="65"/>
    <n v="38"/>
    <n v="38"/>
    <n v="1323"/>
    <n v="1"/>
    <n v="8"/>
    <n v="4"/>
    <n v="7"/>
    <n v="19"/>
    <n v="4"/>
    <x v="1"/>
  </r>
  <r>
    <n v="2886"/>
    <n v="1971"/>
    <x v="1"/>
    <x v="2"/>
    <x v="3"/>
    <n v="74290"/>
    <x v="2"/>
    <n v="0"/>
    <n v="1"/>
    <x v="2"/>
    <x v="635"/>
    <n v="70"/>
    <x v="0"/>
    <n v="0"/>
    <n v="1121"/>
    <n v="0"/>
    <n v="72"/>
    <n v="0"/>
    <n v="12"/>
    <n v="12"/>
    <n v="1217"/>
    <n v="4"/>
    <n v="10"/>
    <n v="8"/>
    <n v="10"/>
    <n v="28"/>
    <n v="6"/>
    <x v="0"/>
  </r>
  <r>
    <n v="6710"/>
    <n v="1951"/>
    <x v="4"/>
    <x v="2"/>
    <x v="0"/>
    <n v="58217"/>
    <x v="0"/>
    <n v="2"/>
    <n v="1"/>
    <x v="3"/>
    <x v="278"/>
    <n v="84"/>
    <x v="0"/>
    <n v="0"/>
    <n v="68"/>
    <n v="1"/>
    <n v="13"/>
    <n v="3"/>
    <n v="5"/>
    <n v="13"/>
    <n v="103"/>
    <n v="1"/>
    <n v="2"/>
    <n v="0"/>
    <n v="4"/>
    <n v="6"/>
    <n v="6"/>
    <x v="0"/>
  </r>
  <r>
    <n v="5316"/>
    <n v="1976"/>
    <x v="3"/>
    <x v="2"/>
    <x v="1"/>
    <n v="21024"/>
    <x v="3"/>
    <n v="0"/>
    <n v="0"/>
    <x v="0"/>
    <x v="53"/>
    <n v="89"/>
    <x v="0"/>
    <n v="0"/>
    <n v="36"/>
    <n v="4"/>
    <n v="18"/>
    <n v="6"/>
    <n v="2"/>
    <n v="18"/>
    <n v="84"/>
    <n v="1"/>
    <n v="2"/>
    <n v="0"/>
    <n v="4"/>
    <n v="6"/>
    <n v="7"/>
    <x v="0"/>
  </r>
  <r>
    <n v="9029"/>
    <n v="1972"/>
    <x v="1"/>
    <x v="1"/>
    <x v="2"/>
    <n v="70116"/>
    <x v="2"/>
    <n v="0"/>
    <n v="0"/>
    <x v="0"/>
    <x v="391"/>
    <n v="73"/>
    <x v="0"/>
    <n v="0"/>
    <n v="707"/>
    <n v="44"/>
    <n v="603"/>
    <n v="95"/>
    <n v="58"/>
    <n v="29"/>
    <n v="1536"/>
    <n v="1"/>
    <n v="2"/>
    <n v="8"/>
    <n v="12"/>
    <n v="22"/>
    <n v="1"/>
    <x v="0"/>
  </r>
  <r>
    <n v="521"/>
    <n v="1985"/>
    <x v="2"/>
    <x v="0"/>
    <x v="1"/>
    <n v="54006"/>
    <x v="0"/>
    <n v="1"/>
    <n v="0"/>
    <x v="2"/>
    <x v="236"/>
    <n v="42"/>
    <x v="1"/>
    <n v="0"/>
    <n v="174"/>
    <n v="77"/>
    <n v="203"/>
    <n v="6"/>
    <n v="24"/>
    <n v="97"/>
    <n v="581"/>
    <n v="2"/>
    <n v="8"/>
    <n v="1"/>
    <n v="7"/>
    <n v="16"/>
    <n v="7"/>
    <x v="0"/>
  </r>
  <r>
    <n v="1459"/>
    <n v="1966"/>
    <x v="1"/>
    <x v="1"/>
    <x v="2"/>
    <n v="69063"/>
    <x v="2"/>
    <n v="0"/>
    <n v="1"/>
    <x v="2"/>
    <x v="347"/>
    <n v="16"/>
    <x v="1"/>
    <n v="0"/>
    <n v="666"/>
    <n v="35"/>
    <n v="124"/>
    <n v="69"/>
    <n v="8"/>
    <n v="26"/>
    <n v="928"/>
    <n v="1"/>
    <n v="5"/>
    <n v="3"/>
    <n v="5"/>
    <n v="13"/>
    <n v="3"/>
    <x v="1"/>
  </r>
  <r>
    <n v="10241"/>
    <n v="1975"/>
    <x v="3"/>
    <x v="2"/>
    <x v="3"/>
    <n v="11448"/>
    <x v="3"/>
    <n v="0"/>
    <n v="0"/>
    <x v="0"/>
    <x v="636"/>
    <n v="16"/>
    <x v="1"/>
    <n v="0"/>
    <n v="0"/>
    <n v="0"/>
    <n v="0"/>
    <n v="6"/>
    <n v="2"/>
    <n v="6"/>
    <n v="14"/>
    <n v="1"/>
    <n v="1"/>
    <n v="0"/>
    <n v="2"/>
    <n v="3"/>
    <n v="6"/>
    <x v="0"/>
  </r>
  <r>
    <n v="3254"/>
    <n v="1971"/>
    <x v="1"/>
    <x v="0"/>
    <x v="2"/>
    <n v="70886"/>
    <x v="2"/>
    <n v="1"/>
    <n v="0"/>
    <x v="2"/>
    <x v="164"/>
    <n v="65"/>
    <x v="0"/>
    <n v="0"/>
    <n v="407"/>
    <n v="70"/>
    <n v="239"/>
    <n v="103"/>
    <n v="88"/>
    <n v="53"/>
    <n v="960"/>
    <n v="1"/>
    <n v="5"/>
    <n v="4"/>
    <n v="4"/>
    <n v="13"/>
    <n v="2"/>
    <x v="0"/>
  </r>
  <r>
    <n v="3678"/>
    <n v="1973"/>
    <x v="3"/>
    <x v="0"/>
    <x v="4"/>
    <n v="60208"/>
    <x v="0"/>
    <n v="1"/>
    <n v="1"/>
    <x v="1"/>
    <x v="637"/>
    <n v="13"/>
    <x v="1"/>
    <n v="0"/>
    <n v="488"/>
    <n v="23"/>
    <n v="71"/>
    <n v="15"/>
    <n v="0"/>
    <n v="59"/>
    <n v="656"/>
    <n v="11"/>
    <n v="8"/>
    <n v="3"/>
    <n v="7"/>
    <n v="18"/>
    <n v="7"/>
    <x v="1"/>
  </r>
  <r>
    <n v="4227"/>
    <n v="1968"/>
    <x v="1"/>
    <x v="2"/>
    <x v="1"/>
    <n v="32889"/>
    <x v="3"/>
    <n v="1"/>
    <n v="1"/>
    <x v="1"/>
    <x v="638"/>
    <n v="78"/>
    <x v="0"/>
    <n v="0"/>
    <n v="28"/>
    <n v="0"/>
    <n v="13"/>
    <n v="4"/>
    <n v="2"/>
    <n v="8"/>
    <n v="55"/>
    <n v="3"/>
    <n v="2"/>
    <n v="1"/>
    <n v="3"/>
    <n v="6"/>
    <n v="5"/>
    <x v="0"/>
  </r>
  <r>
    <n v="9467"/>
    <n v="1984"/>
    <x v="2"/>
    <x v="0"/>
    <x v="0"/>
    <n v="34738"/>
    <x v="3"/>
    <n v="1"/>
    <n v="0"/>
    <x v="2"/>
    <x v="59"/>
    <n v="51"/>
    <x v="0"/>
    <n v="0"/>
    <n v="3"/>
    <n v="2"/>
    <n v="10"/>
    <n v="3"/>
    <n v="0"/>
    <n v="2"/>
    <n v="20"/>
    <n v="1"/>
    <n v="1"/>
    <n v="0"/>
    <n v="3"/>
    <n v="4"/>
    <n v="6"/>
    <x v="0"/>
  </r>
  <r>
    <n v="8486"/>
    <n v="1971"/>
    <x v="1"/>
    <x v="2"/>
    <x v="1"/>
    <n v="30538"/>
    <x v="3"/>
    <n v="1"/>
    <n v="0"/>
    <x v="2"/>
    <x v="507"/>
    <n v="27"/>
    <x v="1"/>
    <n v="0"/>
    <n v="284"/>
    <n v="0"/>
    <n v="52"/>
    <n v="8"/>
    <n v="3"/>
    <n v="20"/>
    <n v="367"/>
    <n v="4"/>
    <n v="9"/>
    <n v="0"/>
    <n v="4"/>
    <n v="13"/>
    <n v="10"/>
    <x v="0"/>
  </r>
  <r>
    <n v="2186"/>
    <n v="1977"/>
    <x v="3"/>
    <x v="2"/>
    <x v="1"/>
    <n v="82326"/>
    <x v="2"/>
    <n v="0"/>
    <n v="0"/>
    <x v="0"/>
    <x v="399"/>
    <n v="30"/>
    <x v="1"/>
    <n v="0"/>
    <n v="938"/>
    <n v="142"/>
    <n v="754"/>
    <n v="159"/>
    <n v="81"/>
    <n v="183"/>
    <n v="2257"/>
    <n v="1"/>
    <n v="5"/>
    <n v="10"/>
    <n v="6"/>
    <n v="21"/>
    <n v="2"/>
    <x v="1"/>
  </r>
  <r>
    <n v="3286"/>
    <n v="1967"/>
    <x v="1"/>
    <x v="1"/>
    <x v="3"/>
    <n v="26642"/>
    <x v="3"/>
    <n v="1"/>
    <n v="0"/>
    <x v="2"/>
    <x v="137"/>
    <n v="71"/>
    <x v="0"/>
    <n v="0"/>
    <n v="13"/>
    <n v="2"/>
    <n v="15"/>
    <n v="2"/>
    <n v="2"/>
    <n v="8"/>
    <n v="42"/>
    <n v="2"/>
    <n v="2"/>
    <n v="0"/>
    <n v="3"/>
    <n v="5"/>
    <n v="6"/>
    <x v="0"/>
  </r>
  <r>
    <n v="8602"/>
    <n v="1964"/>
    <x v="1"/>
    <x v="0"/>
    <x v="3"/>
    <n v="69932"/>
    <x v="2"/>
    <n v="0"/>
    <n v="1"/>
    <x v="2"/>
    <x v="47"/>
    <n v="97"/>
    <x v="0"/>
    <n v="0"/>
    <n v="412"/>
    <n v="172"/>
    <n v="153"/>
    <n v="150"/>
    <n v="105"/>
    <n v="57"/>
    <n v="1049"/>
    <n v="2"/>
    <n v="7"/>
    <n v="6"/>
    <n v="11"/>
    <n v="24"/>
    <n v="4"/>
    <x v="0"/>
  </r>
  <r>
    <n v="3722"/>
    <n v="1972"/>
    <x v="1"/>
    <x v="0"/>
    <x v="0"/>
    <n v="44503"/>
    <x v="1"/>
    <n v="1"/>
    <n v="1"/>
    <x v="1"/>
    <x v="188"/>
    <n v="83"/>
    <x v="0"/>
    <n v="0"/>
    <n v="31"/>
    <n v="1"/>
    <n v="8"/>
    <n v="0"/>
    <n v="0"/>
    <n v="8"/>
    <n v="48"/>
    <n v="2"/>
    <n v="2"/>
    <n v="0"/>
    <n v="3"/>
    <n v="5"/>
    <n v="6"/>
    <x v="0"/>
  </r>
  <r>
    <n v="6715"/>
    <n v="1948"/>
    <x v="4"/>
    <x v="1"/>
    <x v="0"/>
    <n v="60200"/>
    <x v="0"/>
    <n v="0"/>
    <n v="1"/>
    <x v="2"/>
    <x v="22"/>
    <n v="3"/>
    <x v="1"/>
    <n v="0"/>
    <n v="502"/>
    <n v="19"/>
    <n v="132"/>
    <n v="0"/>
    <n v="6"/>
    <n v="26"/>
    <n v="685"/>
    <n v="6"/>
    <n v="6"/>
    <n v="2"/>
    <n v="11"/>
    <n v="19"/>
    <n v="6"/>
    <x v="1"/>
  </r>
  <r>
    <n v="4796"/>
    <n v="1952"/>
    <x v="4"/>
    <x v="0"/>
    <x v="3"/>
    <n v="49638"/>
    <x v="1"/>
    <n v="0"/>
    <n v="1"/>
    <x v="2"/>
    <x v="517"/>
    <n v="71"/>
    <x v="0"/>
    <n v="0"/>
    <n v="18"/>
    <n v="10"/>
    <n v="3"/>
    <n v="3"/>
    <n v="5"/>
    <n v="0"/>
    <n v="39"/>
    <n v="1"/>
    <n v="1"/>
    <n v="0"/>
    <n v="3"/>
    <n v="4"/>
    <n v="2"/>
    <x v="0"/>
  </r>
  <r>
    <n v="9612"/>
    <n v="1987"/>
    <x v="2"/>
    <x v="2"/>
    <x v="0"/>
    <n v="23830"/>
    <x v="3"/>
    <n v="0"/>
    <n v="0"/>
    <x v="0"/>
    <x v="372"/>
    <n v="3"/>
    <x v="1"/>
    <n v="0"/>
    <n v="1"/>
    <n v="8"/>
    <n v="6"/>
    <n v="4"/>
    <n v="8"/>
    <n v="16"/>
    <n v="43"/>
    <n v="1"/>
    <n v="1"/>
    <n v="0"/>
    <n v="3"/>
    <n v="4"/>
    <n v="7"/>
    <x v="0"/>
  </r>
  <r>
    <n v="3766"/>
    <n v="1959"/>
    <x v="0"/>
    <x v="2"/>
    <x v="4"/>
    <n v="33051"/>
    <x v="3"/>
    <n v="0"/>
    <n v="0"/>
    <x v="0"/>
    <x v="599"/>
    <n v="15"/>
    <x v="1"/>
    <n v="0"/>
    <n v="100"/>
    <n v="71"/>
    <n v="243"/>
    <n v="108"/>
    <n v="94"/>
    <n v="219"/>
    <n v="835"/>
    <n v="3"/>
    <n v="9"/>
    <n v="1"/>
    <n v="8"/>
    <n v="18"/>
    <n v="9"/>
    <x v="0"/>
  </r>
  <r>
    <n v="1399"/>
    <n v="1958"/>
    <x v="0"/>
    <x v="0"/>
    <x v="2"/>
    <n v="72905"/>
    <x v="2"/>
    <n v="0"/>
    <n v="0"/>
    <x v="0"/>
    <x v="79"/>
    <n v="52"/>
    <x v="0"/>
    <n v="0"/>
    <n v="407"/>
    <n v="114"/>
    <n v="445"/>
    <n v="181"/>
    <n v="165"/>
    <n v="203"/>
    <n v="1515"/>
    <n v="1"/>
    <n v="3"/>
    <n v="7"/>
    <n v="9"/>
    <n v="19"/>
    <n v="1"/>
    <x v="0"/>
  </r>
  <r>
    <n v="1570"/>
    <n v="1951"/>
    <x v="4"/>
    <x v="1"/>
    <x v="1"/>
    <n v="69702"/>
    <x v="2"/>
    <n v="0"/>
    <n v="1"/>
    <x v="2"/>
    <x v="103"/>
    <n v="8"/>
    <x v="1"/>
    <n v="0"/>
    <n v="664"/>
    <n v="9"/>
    <n v="240"/>
    <n v="50"/>
    <n v="19"/>
    <n v="57"/>
    <n v="1039"/>
    <n v="2"/>
    <n v="7"/>
    <n v="7"/>
    <n v="10"/>
    <n v="24"/>
    <n v="4"/>
    <x v="1"/>
  </r>
  <r>
    <n v="3426"/>
    <n v="1975"/>
    <x v="3"/>
    <x v="0"/>
    <x v="3"/>
    <n v="70300"/>
    <x v="2"/>
    <n v="1"/>
    <n v="0"/>
    <x v="2"/>
    <x v="639"/>
    <n v="89"/>
    <x v="0"/>
    <n v="0"/>
    <n v="1045"/>
    <n v="61"/>
    <n v="338"/>
    <n v="60"/>
    <n v="46"/>
    <n v="46"/>
    <n v="1596"/>
    <n v="3"/>
    <n v="5"/>
    <n v="5"/>
    <n v="13"/>
    <n v="23"/>
    <n v="8"/>
    <x v="0"/>
  </r>
  <r>
    <n v="3074"/>
    <n v="1984"/>
    <x v="2"/>
    <x v="1"/>
    <x v="2"/>
    <n v="70643"/>
    <x v="2"/>
    <n v="0"/>
    <n v="0"/>
    <x v="0"/>
    <x v="214"/>
    <n v="66"/>
    <x v="0"/>
    <n v="0"/>
    <n v="1218"/>
    <n v="107"/>
    <n v="304"/>
    <n v="23"/>
    <n v="143"/>
    <n v="33"/>
    <n v="1828"/>
    <n v="1"/>
    <n v="5"/>
    <n v="8"/>
    <n v="4"/>
    <n v="17"/>
    <n v="6"/>
    <x v="0"/>
  </r>
  <r>
    <n v="8341"/>
    <n v="1969"/>
    <x v="1"/>
    <x v="1"/>
    <x v="2"/>
    <n v="30396"/>
    <x v="3"/>
    <n v="1"/>
    <n v="0"/>
    <x v="2"/>
    <x v="67"/>
    <n v="22"/>
    <x v="1"/>
    <n v="0"/>
    <n v="15"/>
    <n v="0"/>
    <n v="6"/>
    <n v="0"/>
    <n v="1"/>
    <n v="12"/>
    <n v="34"/>
    <n v="2"/>
    <n v="1"/>
    <n v="1"/>
    <n v="2"/>
    <n v="4"/>
    <n v="7"/>
    <x v="0"/>
  </r>
  <r>
    <n v="5180"/>
    <n v="1968"/>
    <x v="1"/>
    <x v="1"/>
    <x v="3"/>
    <n v="50616"/>
    <x v="1"/>
    <n v="0"/>
    <n v="1"/>
    <x v="2"/>
    <x v="384"/>
    <n v="56"/>
    <x v="0"/>
    <n v="0"/>
    <n v="128"/>
    <n v="0"/>
    <n v="16"/>
    <n v="0"/>
    <n v="1"/>
    <n v="4"/>
    <n v="149"/>
    <n v="2"/>
    <n v="4"/>
    <n v="0"/>
    <n v="4"/>
    <n v="8"/>
    <n v="7"/>
    <x v="0"/>
  </r>
  <r>
    <n v="6461"/>
    <n v="1969"/>
    <x v="1"/>
    <x v="2"/>
    <x v="0"/>
    <n v="62772"/>
    <x v="0"/>
    <n v="0"/>
    <n v="1"/>
    <x v="2"/>
    <x v="634"/>
    <n v="74"/>
    <x v="0"/>
    <n v="0"/>
    <n v="581"/>
    <n v="49"/>
    <n v="157"/>
    <n v="43"/>
    <n v="8"/>
    <n v="108"/>
    <n v="946"/>
    <n v="1"/>
    <n v="5"/>
    <n v="6"/>
    <n v="11"/>
    <n v="22"/>
    <n v="2"/>
    <x v="0"/>
  </r>
  <r>
    <n v="7679"/>
    <n v="1985"/>
    <x v="2"/>
    <x v="1"/>
    <x v="0"/>
    <n v="30298"/>
    <x v="3"/>
    <n v="0"/>
    <n v="0"/>
    <x v="0"/>
    <x v="115"/>
    <n v="48"/>
    <x v="1"/>
    <n v="0"/>
    <n v="6"/>
    <n v="3"/>
    <n v="12"/>
    <n v="6"/>
    <n v="1"/>
    <n v="0"/>
    <n v="28"/>
    <n v="1"/>
    <n v="1"/>
    <n v="1"/>
    <n v="3"/>
    <n v="5"/>
    <n v="3"/>
    <x v="0"/>
  </r>
  <r>
    <n v="10702"/>
    <n v="1984"/>
    <x v="2"/>
    <x v="0"/>
    <x v="0"/>
    <n v="52413"/>
    <x v="0"/>
    <n v="1"/>
    <n v="0"/>
    <x v="2"/>
    <x v="16"/>
    <n v="67"/>
    <x v="0"/>
    <n v="0"/>
    <n v="185"/>
    <n v="8"/>
    <n v="133"/>
    <n v="56"/>
    <n v="56"/>
    <n v="12"/>
    <n v="450"/>
    <n v="2"/>
    <n v="7"/>
    <n v="1"/>
    <n v="7"/>
    <n v="15"/>
    <n v="7"/>
    <x v="0"/>
  </r>
  <r>
    <n v="7505"/>
    <n v="1957"/>
    <x v="0"/>
    <x v="1"/>
    <x v="2"/>
    <n v="44155"/>
    <x v="1"/>
    <n v="1"/>
    <n v="1"/>
    <x v="1"/>
    <x v="4"/>
    <n v="24"/>
    <x v="1"/>
    <n v="0"/>
    <n v="22"/>
    <n v="1"/>
    <n v="9"/>
    <n v="0"/>
    <n v="0"/>
    <n v="14"/>
    <n v="46"/>
    <n v="1"/>
    <n v="1"/>
    <n v="1"/>
    <n v="2"/>
    <n v="4"/>
    <n v="4"/>
    <x v="0"/>
  </r>
  <r>
    <n v="5113"/>
    <n v="1971"/>
    <x v="1"/>
    <x v="1"/>
    <x v="3"/>
    <n v="86979"/>
    <x v="2"/>
    <n v="0"/>
    <n v="0"/>
    <x v="0"/>
    <x v="251"/>
    <n v="67"/>
    <x v="0"/>
    <n v="0"/>
    <n v="584"/>
    <n v="100"/>
    <n v="835"/>
    <n v="65"/>
    <n v="83"/>
    <n v="35"/>
    <n v="1702"/>
    <n v="1"/>
    <n v="5"/>
    <n v="5"/>
    <n v="5"/>
    <n v="15"/>
    <n v="2"/>
    <x v="0"/>
  </r>
  <r>
    <n v="10858"/>
    <n v="1975"/>
    <x v="3"/>
    <x v="0"/>
    <x v="1"/>
    <n v="76532"/>
    <x v="2"/>
    <n v="1"/>
    <n v="1"/>
    <x v="1"/>
    <x v="5"/>
    <n v="38"/>
    <x v="1"/>
    <n v="0"/>
    <n v="355"/>
    <n v="30"/>
    <n v="177"/>
    <n v="90"/>
    <n v="138"/>
    <n v="30"/>
    <n v="820"/>
    <n v="4"/>
    <n v="9"/>
    <n v="5"/>
    <n v="7"/>
    <n v="21"/>
    <n v="5"/>
    <x v="1"/>
  </r>
  <r>
    <n v="2961"/>
    <n v="1982"/>
    <x v="3"/>
    <x v="0"/>
    <x v="2"/>
    <n v="42081"/>
    <x v="1"/>
    <n v="1"/>
    <n v="0"/>
    <x v="2"/>
    <x v="561"/>
    <n v="86"/>
    <x v="0"/>
    <n v="0"/>
    <n v="175"/>
    <n v="10"/>
    <n v="110"/>
    <n v="54"/>
    <n v="6"/>
    <n v="27"/>
    <n v="382"/>
    <n v="2"/>
    <n v="6"/>
    <n v="3"/>
    <n v="4"/>
    <n v="13"/>
    <n v="6"/>
    <x v="0"/>
  </r>
  <r>
    <n v="3010"/>
    <n v="1989"/>
    <x v="2"/>
    <x v="2"/>
    <x v="1"/>
    <n v="88420"/>
    <x v="2"/>
    <n v="0"/>
    <n v="0"/>
    <x v="0"/>
    <x v="453"/>
    <n v="87"/>
    <x v="0"/>
    <n v="0"/>
    <n v="957"/>
    <n v="153"/>
    <n v="612"/>
    <n v="99"/>
    <n v="95"/>
    <n v="153"/>
    <n v="2069"/>
    <n v="1"/>
    <n v="4"/>
    <n v="7"/>
    <n v="8"/>
    <n v="19"/>
    <n v="1"/>
    <x v="0"/>
  </r>
  <r>
    <n v="5790"/>
    <n v="1985"/>
    <x v="2"/>
    <x v="0"/>
    <x v="2"/>
    <n v="31158"/>
    <x v="3"/>
    <n v="1"/>
    <n v="0"/>
    <x v="2"/>
    <x v="640"/>
    <n v="62"/>
    <x v="0"/>
    <n v="0"/>
    <n v="25"/>
    <n v="6"/>
    <n v="16"/>
    <n v="20"/>
    <n v="0"/>
    <n v="5"/>
    <n v="72"/>
    <n v="2"/>
    <n v="2"/>
    <n v="0"/>
    <n v="3"/>
    <n v="5"/>
    <n v="8"/>
    <x v="0"/>
  </r>
  <r>
    <n v="6892"/>
    <n v="1968"/>
    <x v="1"/>
    <x v="0"/>
    <x v="3"/>
    <n v="61671"/>
    <x v="0"/>
    <n v="0"/>
    <n v="1"/>
    <x v="2"/>
    <x v="444"/>
    <n v="23"/>
    <x v="1"/>
    <n v="0"/>
    <n v="641"/>
    <n v="7"/>
    <n v="56"/>
    <n v="0"/>
    <n v="0"/>
    <n v="28"/>
    <n v="732"/>
    <n v="8"/>
    <n v="10"/>
    <n v="4"/>
    <n v="6"/>
    <n v="20"/>
    <n v="8"/>
    <x v="1"/>
  </r>
  <r>
    <n v="1743"/>
    <n v="1974"/>
    <x v="3"/>
    <x v="0"/>
    <x v="0"/>
    <n v="69719"/>
    <x v="2"/>
    <n v="0"/>
    <n v="0"/>
    <x v="0"/>
    <x v="486"/>
    <n v="99"/>
    <x v="0"/>
    <n v="0"/>
    <n v="273"/>
    <n v="86"/>
    <n v="208"/>
    <n v="177"/>
    <n v="14"/>
    <n v="43"/>
    <n v="801"/>
    <n v="1"/>
    <n v="2"/>
    <n v="3"/>
    <n v="5"/>
    <n v="10"/>
    <n v="1"/>
    <x v="0"/>
  </r>
  <r>
    <n v="3578"/>
    <n v="1949"/>
    <x v="4"/>
    <x v="0"/>
    <x v="3"/>
    <n v="49160"/>
    <x v="1"/>
    <n v="0"/>
    <n v="1"/>
    <x v="2"/>
    <x v="351"/>
    <n v="29"/>
    <x v="1"/>
    <n v="0"/>
    <n v="122"/>
    <n v="21"/>
    <n v="43"/>
    <n v="25"/>
    <n v="10"/>
    <n v="15"/>
    <n v="236"/>
    <n v="2"/>
    <n v="3"/>
    <n v="1"/>
    <n v="6"/>
    <n v="10"/>
    <n v="6"/>
    <x v="0"/>
  </r>
  <r>
    <n v="5558"/>
    <n v="1954"/>
    <x v="0"/>
    <x v="1"/>
    <x v="0"/>
    <n v="90933"/>
    <x v="2"/>
    <n v="0"/>
    <n v="0"/>
    <x v="0"/>
    <x v="161"/>
    <n v="90"/>
    <x v="0"/>
    <n v="0"/>
    <n v="1020"/>
    <n v="31"/>
    <n v="430"/>
    <n v="62"/>
    <n v="63"/>
    <n v="79"/>
    <n v="1685"/>
    <n v="1"/>
    <n v="4"/>
    <n v="6"/>
    <n v="4"/>
    <n v="14"/>
    <n v="1"/>
    <x v="0"/>
  </r>
  <r>
    <n v="4619"/>
    <n v="1945"/>
    <x v="4"/>
    <x v="1"/>
    <x v="0"/>
    <n v="113734"/>
    <x v="2"/>
    <n v="0"/>
    <n v="0"/>
    <x v="0"/>
    <x v="78"/>
    <n v="9"/>
    <x v="1"/>
    <n v="0"/>
    <n v="6"/>
    <n v="2"/>
    <n v="3"/>
    <n v="1"/>
    <n v="262"/>
    <n v="3"/>
    <n v="277"/>
    <n v="0"/>
    <n v="27"/>
    <n v="0"/>
    <n v="0"/>
    <n v="27"/>
    <n v="1"/>
    <x v="0"/>
  </r>
  <r>
    <n v="10779"/>
    <n v="1983"/>
    <x v="2"/>
    <x v="0"/>
    <x v="0"/>
    <n v="22148"/>
    <x v="3"/>
    <n v="0"/>
    <n v="0"/>
    <x v="0"/>
    <x v="235"/>
    <n v="16"/>
    <x v="1"/>
    <n v="0"/>
    <n v="15"/>
    <n v="5"/>
    <n v="14"/>
    <n v="0"/>
    <n v="4"/>
    <n v="11"/>
    <n v="49"/>
    <n v="1"/>
    <n v="1"/>
    <n v="0"/>
    <n v="3"/>
    <n v="4"/>
    <n v="7"/>
    <x v="0"/>
  </r>
  <r>
    <n v="5896"/>
    <n v="1987"/>
    <x v="2"/>
    <x v="2"/>
    <x v="2"/>
    <n v="73395"/>
    <x v="2"/>
    <n v="0"/>
    <n v="0"/>
    <x v="0"/>
    <x v="171"/>
    <n v="94"/>
    <x v="0"/>
    <n v="0"/>
    <n v="272"/>
    <n v="7"/>
    <n v="80"/>
    <n v="20"/>
    <n v="7"/>
    <n v="11"/>
    <n v="397"/>
    <n v="1"/>
    <n v="4"/>
    <n v="4"/>
    <n v="6"/>
    <n v="14"/>
    <n v="2"/>
    <x v="0"/>
  </r>
  <r>
    <n v="2337"/>
    <n v="1971"/>
    <x v="1"/>
    <x v="0"/>
    <x v="3"/>
    <n v="29819"/>
    <x v="3"/>
    <n v="1"/>
    <n v="0"/>
    <x v="2"/>
    <x v="424"/>
    <n v="77"/>
    <x v="0"/>
    <n v="0"/>
    <n v="9"/>
    <n v="1"/>
    <n v="24"/>
    <n v="2"/>
    <n v="1"/>
    <n v="2"/>
    <n v="39"/>
    <n v="3"/>
    <n v="3"/>
    <n v="0"/>
    <n v="3"/>
    <n v="6"/>
    <n v="6"/>
    <x v="0"/>
  </r>
  <r>
    <n v="10951"/>
    <n v="1968"/>
    <x v="1"/>
    <x v="0"/>
    <x v="2"/>
    <n v="45688"/>
    <x v="1"/>
    <n v="0"/>
    <n v="1"/>
    <x v="2"/>
    <x v="440"/>
    <n v="20"/>
    <x v="1"/>
    <n v="0"/>
    <n v="279"/>
    <n v="0"/>
    <n v="18"/>
    <n v="0"/>
    <n v="0"/>
    <n v="9"/>
    <n v="306"/>
    <n v="2"/>
    <n v="3"/>
    <n v="1"/>
    <n v="8"/>
    <n v="12"/>
    <n v="4"/>
    <x v="0"/>
  </r>
  <r>
    <n v="17"/>
    <n v="1971"/>
    <x v="1"/>
    <x v="1"/>
    <x v="2"/>
    <n v="60491"/>
    <x v="0"/>
    <n v="0"/>
    <n v="1"/>
    <x v="2"/>
    <x v="638"/>
    <n v="81"/>
    <x v="0"/>
    <n v="0"/>
    <n v="637"/>
    <n v="47"/>
    <n v="237"/>
    <n v="12"/>
    <n v="19"/>
    <n v="76"/>
    <n v="1028"/>
    <n v="4"/>
    <n v="6"/>
    <n v="11"/>
    <n v="7"/>
    <n v="24"/>
    <n v="5"/>
    <x v="0"/>
  </r>
  <r>
    <n v="10680"/>
    <n v="1986"/>
    <x v="2"/>
    <x v="0"/>
    <x v="1"/>
    <n v="33235"/>
    <x v="3"/>
    <n v="1"/>
    <n v="0"/>
    <x v="2"/>
    <x v="641"/>
    <n v="71"/>
    <x v="0"/>
    <n v="0"/>
    <n v="45"/>
    <n v="0"/>
    <n v="16"/>
    <n v="2"/>
    <n v="1"/>
    <n v="6"/>
    <n v="70"/>
    <n v="1"/>
    <n v="3"/>
    <n v="0"/>
    <n v="3"/>
    <n v="6"/>
    <n v="7"/>
    <x v="0"/>
  </r>
  <r>
    <n v="3265"/>
    <n v="1959"/>
    <x v="0"/>
    <x v="0"/>
    <x v="2"/>
    <n v="35701"/>
    <x v="1"/>
    <n v="0"/>
    <n v="0"/>
    <x v="0"/>
    <x v="120"/>
    <n v="36"/>
    <x v="1"/>
    <n v="0"/>
    <n v="21"/>
    <n v="1"/>
    <n v="9"/>
    <n v="7"/>
    <n v="3"/>
    <n v="5"/>
    <n v="46"/>
    <n v="1"/>
    <n v="1"/>
    <n v="0"/>
    <n v="3"/>
    <n v="4"/>
    <n v="6"/>
    <x v="0"/>
  </r>
  <r>
    <n v="5623"/>
    <n v="1980"/>
    <x v="3"/>
    <x v="2"/>
    <x v="2"/>
    <n v="31535"/>
    <x v="3"/>
    <n v="1"/>
    <n v="0"/>
    <x v="2"/>
    <x v="155"/>
    <n v="95"/>
    <x v="0"/>
    <n v="0"/>
    <n v="15"/>
    <n v="4"/>
    <n v="13"/>
    <n v="0"/>
    <n v="0"/>
    <n v="19"/>
    <n v="51"/>
    <n v="1"/>
    <n v="1"/>
    <n v="1"/>
    <n v="2"/>
    <n v="4"/>
    <n v="7"/>
    <x v="0"/>
  </r>
  <r>
    <n v="5832"/>
    <n v="1960"/>
    <x v="0"/>
    <x v="2"/>
    <x v="1"/>
    <n v="92556"/>
    <x v="2"/>
    <n v="0"/>
    <n v="0"/>
    <x v="0"/>
    <x v="552"/>
    <n v="32"/>
    <x v="1"/>
    <n v="0"/>
    <n v="493"/>
    <n v="183"/>
    <n v="352"/>
    <n v="184"/>
    <n v="23"/>
    <n v="28"/>
    <n v="1263"/>
    <n v="0"/>
    <n v="3"/>
    <n v="5"/>
    <n v="13"/>
    <n v="21"/>
    <n v="0"/>
    <x v="1"/>
  </r>
  <r>
    <n v="5544"/>
    <n v="1970"/>
    <x v="1"/>
    <x v="0"/>
    <x v="0"/>
    <n v="67384"/>
    <x v="0"/>
    <n v="0"/>
    <n v="1"/>
    <x v="2"/>
    <x v="98"/>
    <n v="32"/>
    <x v="1"/>
    <n v="0"/>
    <n v="957"/>
    <n v="40"/>
    <n v="175"/>
    <n v="158"/>
    <n v="53"/>
    <n v="107"/>
    <n v="1490"/>
    <n v="2"/>
    <n v="7"/>
    <n v="8"/>
    <n v="5"/>
    <n v="20"/>
    <n v="5"/>
    <x v="1"/>
  </r>
  <r>
    <n v="5831"/>
    <n v="1967"/>
    <x v="1"/>
    <x v="0"/>
    <x v="2"/>
    <n v="77870"/>
    <x v="2"/>
    <n v="0"/>
    <n v="1"/>
    <x v="2"/>
    <x v="123"/>
    <n v="93"/>
    <x v="0"/>
    <n v="0"/>
    <n v="1017"/>
    <n v="50"/>
    <n v="500"/>
    <n v="65"/>
    <n v="50"/>
    <n v="133"/>
    <n v="1815"/>
    <n v="3"/>
    <n v="5"/>
    <n v="5"/>
    <n v="5"/>
    <n v="15"/>
    <n v="8"/>
    <x v="0"/>
  </r>
  <r>
    <n v="7101"/>
    <n v="1963"/>
    <x v="1"/>
    <x v="1"/>
    <x v="4"/>
    <n v="52278"/>
    <x v="0"/>
    <n v="0"/>
    <n v="1"/>
    <x v="2"/>
    <x v="497"/>
    <n v="24"/>
    <x v="1"/>
    <n v="0"/>
    <n v="953"/>
    <n v="0"/>
    <n v="71"/>
    <n v="0"/>
    <n v="0"/>
    <n v="174"/>
    <n v="1198"/>
    <n v="6"/>
    <n v="10"/>
    <n v="5"/>
    <n v="10"/>
    <n v="25"/>
    <n v="8"/>
    <x v="0"/>
  </r>
  <r>
    <n v="10176"/>
    <n v="1968"/>
    <x v="1"/>
    <x v="0"/>
    <x v="0"/>
    <n v="57107"/>
    <x v="0"/>
    <n v="0"/>
    <n v="1"/>
    <x v="2"/>
    <x v="346"/>
    <n v="44"/>
    <x v="1"/>
    <n v="0"/>
    <n v="159"/>
    <n v="0"/>
    <n v="120"/>
    <n v="0"/>
    <n v="0"/>
    <n v="137"/>
    <n v="416"/>
    <n v="7"/>
    <n v="4"/>
    <n v="4"/>
    <n v="8"/>
    <n v="16"/>
    <n v="8"/>
    <x v="0"/>
  </r>
  <r>
    <n v="4385"/>
    <n v="1981"/>
    <x v="3"/>
    <x v="1"/>
    <x v="0"/>
    <n v="36038"/>
    <x v="1"/>
    <n v="1"/>
    <n v="0"/>
    <x v="2"/>
    <x v="25"/>
    <n v="82"/>
    <x v="0"/>
    <n v="0"/>
    <n v="23"/>
    <n v="0"/>
    <n v="15"/>
    <n v="0"/>
    <n v="2"/>
    <n v="7"/>
    <n v="47"/>
    <n v="2"/>
    <n v="3"/>
    <n v="0"/>
    <n v="3"/>
    <n v="6"/>
    <n v="6"/>
    <x v="0"/>
  </r>
  <r>
    <n v="10686"/>
    <n v="1965"/>
    <x v="1"/>
    <x v="1"/>
    <x v="1"/>
    <n v="34230"/>
    <x v="3"/>
    <n v="1"/>
    <n v="1"/>
    <x v="1"/>
    <x v="642"/>
    <n v="72"/>
    <x v="0"/>
    <n v="0"/>
    <n v="15"/>
    <n v="0"/>
    <n v="4"/>
    <n v="0"/>
    <n v="0"/>
    <n v="2"/>
    <n v="21"/>
    <n v="1"/>
    <n v="1"/>
    <n v="0"/>
    <n v="2"/>
    <n v="3"/>
    <n v="7"/>
    <x v="0"/>
  </r>
  <r>
    <n v="2546"/>
    <n v="1977"/>
    <x v="3"/>
    <x v="2"/>
    <x v="0"/>
    <n v="31878"/>
    <x v="3"/>
    <n v="0"/>
    <n v="1"/>
    <x v="2"/>
    <x v="511"/>
    <n v="7"/>
    <x v="1"/>
    <n v="0"/>
    <n v="23"/>
    <n v="4"/>
    <n v="5"/>
    <n v="10"/>
    <n v="5"/>
    <n v="23"/>
    <n v="70"/>
    <n v="1"/>
    <n v="1"/>
    <n v="0"/>
    <n v="4"/>
    <n v="5"/>
    <n v="3"/>
    <x v="0"/>
  </r>
  <r>
    <n v="3283"/>
    <n v="1972"/>
    <x v="1"/>
    <x v="2"/>
    <x v="2"/>
    <n v="70932"/>
    <x v="2"/>
    <n v="0"/>
    <n v="1"/>
    <x v="2"/>
    <x v="4"/>
    <n v="57"/>
    <x v="0"/>
    <n v="0"/>
    <n v="200"/>
    <n v="193"/>
    <n v="100"/>
    <n v="46"/>
    <n v="185"/>
    <n v="185"/>
    <n v="909"/>
    <n v="2"/>
    <n v="6"/>
    <n v="2"/>
    <n v="12"/>
    <n v="20"/>
    <n v="3"/>
    <x v="0"/>
  </r>
  <r>
    <n v="3138"/>
    <n v="1956"/>
    <x v="0"/>
    <x v="0"/>
    <x v="0"/>
    <n v="91249"/>
    <x v="2"/>
    <n v="0"/>
    <n v="0"/>
    <x v="0"/>
    <x v="546"/>
    <n v="84"/>
    <x v="0"/>
    <n v="0"/>
    <n v="1324"/>
    <n v="27"/>
    <n v="119"/>
    <n v="71"/>
    <n v="108"/>
    <n v="27"/>
    <n v="1676"/>
    <n v="0"/>
    <n v="7"/>
    <n v="9"/>
    <n v="6"/>
    <n v="22"/>
    <n v="4"/>
    <x v="0"/>
  </r>
  <r>
    <n v="4994"/>
    <n v="1943"/>
    <x v="4"/>
    <x v="2"/>
    <x v="0"/>
    <n v="77598"/>
    <x v="2"/>
    <n v="0"/>
    <n v="0"/>
    <x v="0"/>
    <x v="573"/>
    <n v="53"/>
    <x v="0"/>
    <n v="0"/>
    <n v="1193"/>
    <n v="33"/>
    <n v="281"/>
    <n v="129"/>
    <n v="66"/>
    <n v="33"/>
    <n v="1735"/>
    <n v="1"/>
    <n v="7"/>
    <n v="5"/>
    <n v="13"/>
    <n v="25"/>
    <n v="3"/>
    <x v="0"/>
  </r>
  <r>
    <n v="7966"/>
    <n v="1959"/>
    <x v="0"/>
    <x v="0"/>
    <x v="0"/>
    <n v="80982"/>
    <x v="2"/>
    <n v="1"/>
    <n v="1"/>
    <x v="1"/>
    <x v="224"/>
    <n v="48"/>
    <x v="1"/>
    <n v="1"/>
    <n v="505"/>
    <n v="137"/>
    <n v="401"/>
    <n v="104"/>
    <n v="22"/>
    <n v="22"/>
    <n v="1191"/>
    <n v="3"/>
    <n v="11"/>
    <n v="5"/>
    <n v="11"/>
    <n v="27"/>
    <n v="5"/>
    <x v="0"/>
  </r>
  <r>
    <n v="3112"/>
    <n v="1977"/>
    <x v="3"/>
    <x v="2"/>
    <x v="2"/>
    <n v="22701"/>
    <x v="3"/>
    <n v="1"/>
    <n v="0"/>
    <x v="2"/>
    <x v="564"/>
    <n v="2"/>
    <x v="1"/>
    <n v="0"/>
    <n v="2"/>
    <n v="4"/>
    <n v="9"/>
    <n v="0"/>
    <n v="4"/>
    <n v="5"/>
    <n v="24"/>
    <n v="1"/>
    <n v="1"/>
    <n v="0"/>
    <n v="3"/>
    <n v="4"/>
    <n v="5"/>
    <x v="0"/>
  </r>
  <r>
    <n v="2181"/>
    <n v="1970"/>
    <x v="1"/>
    <x v="0"/>
    <x v="2"/>
    <n v="70617"/>
    <x v="2"/>
    <n v="0"/>
    <n v="0"/>
    <x v="0"/>
    <x v="73"/>
    <n v="45"/>
    <x v="1"/>
    <n v="0"/>
    <n v="353"/>
    <n v="61"/>
    <n v="753"/>
    <n v="40"/>
    <n v="46"/>
    <n v="27"/>
    <n v="1280"/>
    <n v="1"/>
    <n v="3"/>
    <n v="3"/>
    <n v="7"/>
    <n v="13"/>
    <n v="2"/>
    <x v="1"/>
  </r>
  <r>
    <n v="1867"/>
    <n v="1957"/>
    <x v="0"/>
    <x v="0"/>
    <x v="0"/>
    <n v="64849"/>
    <x v="0"/>
    <n v="0"/>
    <n v="0"/>
    <x v="0"/>
    <x v="6"/>
    <n v="42"/>
    <x v="1"/>
    <n v="0"/>
    <n v="652"/>
    <n v="48"/>
    <n v="350"/>
    <n v="94"/>
    <n v="84"/>
    <n v="108"/>
    <n v="1336"/>
    <n v="1"/>
    <n v="9"/>
    <n v="3"/>
    <n v="6"/>
    <n v="18"/>
    <n v="5"/>
    <x v="1"/>
  </r>
  <r>
    <n v="1518"/>
    <n v="1965"/>
    <x v="1"/>
    <x v="2"/>
    <x v="2"/>
    <n v="62694"/>
    <x v="0"/>
    <n v="1"/>
    <n v="1"/>
    <x v="1"/>
    <x v="51"/>
    <n v="29"/>
    <x v="1"/>
    <n v="0"/>
    <n v="379"/>
    <n v="6"/>
    <n v="157"/>
    <n v="25"/>
    <n v="91"/>
    <n v="91"/>
    <n v="749"/>
    <n v="5"/>
    <n v="9"/>
    <n v="3"/>
    <n v="7"/>
    <n v="19"/>
    <n v="7"/>
    <x v="1"/>
  </r>
  <r>
    <n v="5734"/>
    <n v="1974"/>
    <x v="3"/>
    <x v="1"/>
    <x v="2"/>
    <n v="61917"/>
    <x v="0"/>
    <n v="1"/>
    <n v="1"/>
    <x v="1"/>
    <x v="300"/>
    <n v="83"/>
    <x v="0"/>
    <n v="0"/>
    <n v="46"/>
    <n v="4"/>
    <n v="36"/>
    <n v="2"/>
    <n v="2"/>
    <n v="1"/>
    <n v="91"/>
    <n v="1"/>
    <n v="2"/>
    <n v="0"/>
    <n v="4"/>
    <n v="6"/>
    <n v="5"/>
    <x v="0"/>
  </r>
  <r>
    <n v="2878"/>
    <n v="1947"/>
    <x v="4"/>
    <x v="1"/>
    <x v="2"/>
    <n v="67472"/>
    <x v="0"/>
    <n v="0"/>
    <n v="1"/>
    <x v="2"/>
    <x v="148"/>
    <n v="93"/>
    <x v="0"/>
    <n v="0"/>
    <n v="162"/>
    <n v="31"/>
    <n v="127"/>
    <n v="8"/>
    <n v="17"/>
    <n v="69"/>
    <n v="414"/>
    <n v="2"/>
    <n v="4"/>
    <n v="2"/>
    <n v="7"/>
    <n v="13"/>
    <n v="3"/>
    <x v="0"/>
  </r>
  <r>
    <n v="1458"/>
    <n v="1982"/>
    <x v="3"/>
    <x v="2"/>
    <x v="2"/>
    <n v="21059"/>
    <x v="3"/>
    <n v="1"/>
    <n v="0"/>
    <x v="2"/>
    <x v="368"/>
    <n v="40"/>
    <x v="1"/>
    <n v="0"/>
    <n v="8"/>
    <n v="3"/>
    <n v="19"/>
    <n v="3"/>
    <n v="3"/>
    <n v="8"/>
    <n v="44"/>
    <n v="3"/>
    <n v="3"/>
    <n v="0"/>
    <n v="3"/>
    <n v="6"/>
    <n v="6"/>
    <x v="0"/>
  </r>
  <r>
    <n v="7007"/>
    <n v="1968"/>
    <x v="1"/>
    <x v="2"/>
    <x v="2"/>
    <n v="29543"/>
    <x v="3"/>
    <n v="2"/>
    <n v="0"/>
    <x v="1"/>
    <x v="175"/>
    <n v="47"/>
    <x v="1"/>
    <n v="0"/>
    <n v="17"/>
    <n v="3"/>
    <n v="18"/>
    <n v="3"/>
    <n v="4"/>
    <n v="18"/>
    <n v="63"/>
    <n v="2"/>
    <n v="3"/>
    <n v="1"/>
    <n v="2"/>
    <n v="6"/>
    <n v="7"/>
    <x v="0"/>
  </r>
  <r>
    <n v="6200"/>
    <n v="1951"/>
    <x v="4"/>
    <x v="0"/>
    <x v="2"/>
    <n v="75903"/>
    <x v="2"/>
    <n v="0"/>
    <n v="1"/>
    <x v="2"/>
    <x v="62"/>
    <n v="50"/>
    <x v="0"/>
    <n v="0"/>
    <n v="340"/>
    <n v="108"/>
    <n v="185"/>
    <n v="130"/>
    <n v="38"/>
    <n v="100"/>
    <n v="901"/>
    <n v="2"/>
    <n v="6"/>
    <n v="6"/>
    <n v="9"/>
    <n v="21"/>
    <n v="3"/>
    <x v="0"/>
  </r>
  <r>
    <n v="1403"/>
    <n v="1975"/>
    <x v="3"/>
    <x v="2"/>
    <x v="1"/>
    <n v="34984"/>
    <x v="3"/>
    <n v="1"/>
    <n v="1"/>
    <x v="1"/>
    <x v="403"/>
    <n v="40"/>
    <x v="1"/>
    <n v="0"/>
    <n v="8"/>
    <n v="4"/>
    <n v="15"/>
    <n v="3"/>
    <n v="5"/>
    <n v="3"/>
    <n v="38"/>
    <n v="2"/>
    <n v="1"/>
    <n v="0"/>
    <n v="3"/>
    <n v="4"/>
    <n v="7"/>
    <x v="0"/>
  </r>
  <r>
    <n v="4827"/>
    <n v="1956"/>
    <x v="0"/>
    <x v="1"/>
    <x v="0"/>
    <n v="54998"/>
    <x v="0"/>
    <n v="0"/>
    <n v="1"/>
    <x v="2"/>
    <x v="112"/>
    <n v="3"/>
    <x v="1"/>
    <n v="0"/>
    <n v="154"/>
    <n v="22"/>
    <n v="202"/>
    <n v="39"/>
    <n v="30"/>
    <n v="8"/>
    <n v="455"/>
    <n v="5"/>
    <n v="4"/>
    <n v="2"/>
    <n v="9"/>
    <n v="15"/>
    <n v="4"/>
    <x v="0"/>
  </r>
  <r>
    <n v="6250"/>
    <n v="1949"/>
    <x v="4"/>
    <x v="1"/>
    <x v="4"/>
    <n v="54356"/>
    <x v="0"/>
    <n v="0"/>
    <n v="1"/>
    <x v="2"/>
    <x v="48"/>
    <n v="62"/>
    <x v="0"/>
    <n v="0"/>
    <n v="710"/>
    <n v="15"/>
    <n v="30"/>
    <n v="20"/>
    <n v="0"/>
    <n v="0"/>
    <n v="775"/>
    <n v="3"/>
    <n v="11"/>
    <n v="2"/>
    <n v="8"/>
    <n v="21"/>
    <n v="8"/>
    <x v="0"/>
  </r>
  <r>
    <n v="9291"/>
    <n v="1959"/>
    <x v="0"/>
    <x v="2"/>
    <x v="2"/>
    <n v="34242"/>
    <x v="3"/>
    <n v="0"/>
    <n v="1"/>
    <x v="2"/>
    <x v="82"/>
    <n v="25"/>
    <x v="1"/>
    <n v="0"/>
    <n v="8"/>
    <n v="2"/>
    <n v="4"/>
    <n v="0"/>
    <n v="0"/>
    <n v="1"/>
    <n v="15"/>
    <n v="1"/>
    <n v="0"/>
    <n v="0"/>
    <n v="3"/>
    <n v="3"/>
    <n v="5"/>
    <x v="0"/>
  </r>
  <r>
    <n v="2478"/>
    <n v="1973"/>
    <x v="3"/>
    <x v="0"/>
    <x v="2"/>
    <n v="25410"/>
    <x v="3"/>
    <n v="1"/>
    <n v="0"/>
    <x v="2"/>
    <x v="176"/>
    <n v="48"/>
    <x v="1"/>
    <n v="0"/>
    <n v="2"/>
    <n v="2"/>
    <n v="4"/>
    <n v="13"/>
    <n v="13"/>
    <n v="4"/>
    <n v="38"/>
    <n v="1"/>
    <n v="1"/>
    <n v="0"/>
    <n v="4"/>
    <n v="5"/>
    <n v="4"/>
    <x v="0"/>
  </r>
  <r>
    <n v="1139"/>
    <n v="1984"/>
    <x v="2"/>
    <x v="1"/>
    <x v="2"/>
    <n v="73356"/>
    <x v="2"/>
    <n v="0"/>
    <n v="0"/>
    <x v="0"/>
    <x v="643"/>
    <n v="56"/>
    <x v="0"/>
    <n v="0"/>
    <n v="1050"/>
    <n v="14"/>
    <n v="322"/>
    <n v="0"/>
    <n v="14"/>
    <n v="112"/>
    <n v="1512"/>
    <n v="1"/>
    <n v="5"/>
    <n v="11"/>
    <n v="5"/>
    <n v="21"/>
    <n v="2"/>
    <x v="0"/>
  </r>
  <r>
    <n v="5138"/>
    <n v="1950"/>
    <x v="4"/>
    <x v="0"/>
    <x v="1"/>
    <n v="28320"/>
    <x v="3"/>
    <n v="0"/>
    <n v="1"/>
    <x v="2"/>
    <x v="644"/>
    <n v="68"/>
    <x v="0"/>
    <n v="0"/>
    <n v="19"/>
    <n v="1"/>
    <n v="14"/>
    <n v="3"/>
    <n v="2"/>
    <n v="4"/>
    <n v="43"/>
    <n v="1"/>
    <n v="1"/>
    <n v="0"/>
    <n v="3"/>
    <n v="4"/>
    <n v="8"/>
    <x v="0"/>
  </r>
  <r>
    <n v="5393"/>
    <n v="1977"/>
    <x v="3"/>
    <x v="0"/>
    <x v="0"/>
    <n v="23763"/>
    <x v="3"/>
    <n v="1"/>
    <n v="0"/>
    <x v="2"/>
    <x v="442"/>
    <n v="64"/>
    <x v="0"/>
    <n v="0"/>
    <n v="22"/>
    <n v="0"/>
    <n v="6"/>
    <n v="6"/>
    <n v="2"/>
    <n v="6"/>
    <n v="42"/>
    <n v="1"/>
    <n v="1"/>
    <n v="0"/>
    <n v="3"/>
    <n v="4"/>
    <n v="7"/>
    <x v="0"/>
  </r>
  <r>
    <n v="10413"/>
    <n v="1984"/>
    <x v="2"/>
    <x v="0"/>
    <x v="2"/>
    <n v="72570"/>
    <x v="2"/>
    <n v="0"/>
    <n v="0"/>
    <x v="0"/>
    <x v="609"/>
    <n v="67"/>
    <x v="0"/>
    <n v="0"/>
    <n v="274"/>
    <n v="83"/>
    <n v="216"/>
    <n v="151"/>
    <n v="141"/>
    <n v="224"/>
    <n v="1089"/>
    <n v="1"/>
    <n v="4"/>
    <n v="6"/>
    <n v="12"/>
    <n v="22"/>
    <n v="1"/>
    <x v="0"/>
  </r>
  <r>
    <n v="5015"/>
    <n v="1976"/>
    <x v="3"/>
    <x v="2"/>
    <x v="2"/>
    <n v="34529"/>
    <x v="3"/>
    <n v="1"/>
    <n v="0"/>
    <x v="2"/>
    <x v="64"/>
    <n v="94"/>
    <x v="0"/>
    <n v="0"/>
    <n v="68"/>
    <n v="6"/>
    <n v="38"/>
    <n v="3"/>
    <n v="6"/>
    <n v="41"/>
    <n v="162"/>
    <n v="2"/>
    <n v="2"/>
    <n v="2"/>
    <n v="3"/>
    <n v="7"/>
    <n v="7"/>
    <x v="0"/>
  </r>
  <r>
    <n v="10868"/>
    <n v="1951"/>
    <x v="4"/>
    <x v="0"/>
    <x v="4"/>
    <n v="70792"/>
    <x v="2"/>
    <n v="0"/>
    <n v="0"/>
    <x v="0"/>
    <x v="219"/>
    <n v="82"/>
    <x v="0"/>
    <n v="0"/>
    <n v="344"/>
    <n v="45"/>
    <n v="654"/>
    <n v="104"/>
    <n v="11"/>
    <n v="114"/>
    <n v="1272"/>
    <n v="2"/>
    <n v="3"/>
    <n v="4"/>
    <n v="10"/>
    <n v="17"/>
    <n v="3"/>
    <x v="0"/>
  </r>
  <r>
    <n v="10676"/>
    <n v="1982"/>
    <x v="3"/>
    <x v="0"/>
    <x v="2"/>
    <n v="63211"/>
    <x v="0"/>
    <n v="0"/>
    <n v="0"/>
    <x v="0"/>
    <x v="165"/>
    <n v="3"/>
    <x v="1"/>
    <n v="0"/>
    <n v="145"/>
    <n v="193"/>
    <n v="459"/>
    <n v="205"/>
    <n v="26"/>
    <n v="145"/>
    <n v="1173"/>
    <n v="2"/>
    <n v="3"/>
    <n v="8"/>
    <n v="7"/>
    <n v="18"/>
    <n v="2"/>
    <x v="1"/>
  </r>
  <r>
    <n v="2495"/>
    <n v="1974"/>
    <x v="3"/>
    <x v="2"/>
    <x v="2"/>
    <n v="83891"/>
    <x v="2"/>
    <n v="0"/>
    <n v="1"/>
    <x v="2"/>
    <x v="645"/>
    <n v="24"/>
    <x v="1"/>
    <n v="0"/>
    <n v="217"/>
    <n v="38"/>
    <n v="350"/>
    <n v="111"/>
    <n v="85"/>
    <n v="15"/>
    <n v="816"/>
    <n v="1"/>
    <n v="4"/>
    <n v="7"/>
    <n v="10"/>
    <n v="21"/>
    <n v="1"/>
    <x v="1"/>
  </r>
  <r>
    <n v="7842"/>
    <n v="1968"/>
    <x v="1"/>
    <x v="0"/>
    <x v="0"/>
    <n v="36065"/>
    <x v="1"/>
    <n v="1"/>
    <n v="1"/>
    <x v="1"/>
    <x v="170"/>
    <n v="54"/>
    <x v="0"/>
    <n v="0"/>
    <n v="18"/>
    <n v="7"/>
    <n v="34"/>
    <n v="10"/>
    <n v="2"/>
    <n v="3"/>
    <n v="74"/>
    <n v="3"/>
    <n v="3"/>
    <n v="0"/>
    <n v="3"/>
    <n v="6"/>
    <n v="8"/>
    <x v="0"/>
  </r>
  <r>
    <n v="6663"/>
    <n v="1940"/>
    <x v="0"/>
    <x v="1"/>
    <x v="0"/>
    <n v="51141"/>
    <x v="1"/>
    <n v="0"/>
    <n v="0"/>
    <x v="0"/>
    <x v="129"/>
    <n v="96"/>
    <x v="0"/>
    <n v="0"/>
    <n v="144"/>
    <n v="0"/>
    <n v="7"/>
    <n v="0"/>
    <n v="0"/>
    <n v="6"/>
    <n v="157"/>
    <n v="1"/>
    <n v="3"/>
    <n v="1"/>
    <n v="4"/>
    <n v="8"/>
    <n v="5"/>
    <x v="0"/>
  </r>
  <r>
    <n v="2162"/>
    <n v="1976"/>
    <x v="3"/>
    <x v="0"/>
    <x v="2"/>
    <n v="56939"/>
    <x v="0"/>
    <n v="0"/>
    <n v="1"/>
    <x v="2"/>
    <x v="360"/>
    <n v="19"/>
    <x v="1"/>
    <n v="0"/>
    <n v="256"/>
    <n v="34"/>
    <n v="103"/>
    <n v="90"/>
    <n v="29"/>
    <n v="49"/>
    <n v="561"/>
    <n v="2"/>
    <n v="3"/>
    <n v="3"/>
    <n v="10"/>
    <n v="16"/>
    <n v="3"/>
    <x v="0"/>
  </r>
  <r>
    <n v="3434"/>
    <n v="1951"/>
    <x v="4"/>
    <x v="0"/>
    <x v="0"/>
    <n v="80872"/>
    <x v="2"/>
    <n v="0"/>
    <n v="0"/>
    <x v="0"/>
    <x v="44"/>
    <n v="60"/>
    <x v="0"/>
    <n v="0"/>
    <n v="483"/>
    <n v="72"/>
    <n v="567"/>
    <n v="94"/>
    <n v="12"/>
    <n v="108"/>
    <n v="1336"/>
    <n v="1"/>
    <n v="4"/>
    <n v="4"/>
    <n v="10"/>
    <n v="18"/>
    <n v="1"/>
    <x v="0"/>
  </r>
  <r>
    <n v="7919"/>
    <n v="1976"/>
    <x v="3"/>
    <x v="1"/>
    <x v="1"/>
    <n v="72335"/>
    <x v="2"/>
    <n v="0"/>
    <n v="0"/>
    <x v="0"/>
    <x v="585"/>
    <n v="2"/>
    <x v="1"/>
    <n v="0"/>
    <n v="1285"/>
    <n v="105"/>
    <n v="653"/>
    <n v="28"/>
    <n v="21"/>
    <n v="0"/>
    <n v="2092"/>
    <n v="1"/>
    <n v="10"/>
    <n v="4"/>
    <n v="8"/>
    <n v="22"/>
    <n v="8"/>
    <x v="1"/>
  </r>
  <r>
    <n v="5626"/>
    <n v="1964"/>
    <x v="1"/>
    <x v="1"/>
    <x v="0"/>
    <n v="61798"/>
    <x v="0"/>
    <n v="0"/>
    <n v="0"/>
    <x v="0"/>
    <x v="81"/>
    <n v="13"/>
    <x v="1"/>
    <n v="0"/>
    <n v="338"/>
    <n v="4"/>
    <n v="89"/>
    <n v="11"/>
    <n v="8"/>
    <n v="13"/>
    <n v="463"/>
    <n v="1"/>
    <n v="4"/>
    <n v="2"/>
    <n v="9"/>
    <n v="15"/>
    <n v="4"/>
    <x v="0"/>
  </r>
  <r>
    <n v="6428"/>
    <n v="1950"/>
    <x v="4"/>
    <x v="1"/>
    <x v="4"/>
    <n v="76842"/>
    <x v="2"/>
    <n v="0"/>
    <n v="0"/>
    <x v="0"/>
    <x v="531"/>
    <n v="37"/>
    <x v="1"/>
    <n v="0"/>
    <n v="605"/>
    <n v="10"/>
    <n v="345"/>
    <n v="84"/>
    <n v="54"/>
    <n v="32"/>
    <n v="1130"/>
    <n v="1"/>
    <n v="1"/>
    <n v="8"/>
    <n v="7"/>
    <n v="16"/>
    <n v="0"/>
    <x v="1"/>
  </r>
  <r>
    <n v="8514"/>
    <n v="1976"/>
    <x v="3"/>
    <x v="0"/>
    <x v="1"/>
    <n v="29478"/>
    <x v="3"/>
    <n v="1"/>
    <n v="0"/>
    <x v="2"/>
    <x v="620"/>
    <n v="59"/>
    <x v="0"/>
    <n v="0"/>
    <n v="8"/>
    <n v="0"/>
    <n v="7"/>
    <n v="3"/>
    <n v="1"/>
    <n v="1"/>
    <n v="20"/>
    <n v="1"/>
    <n v="1"/>
    <n v="0"/>
    <n v="3"/>
    <n v="4"/>
    <n v="6"/>
    <x v="0"/>
  </r>
  <r>
    <n v="10448"/>
    <n v="1956"/>
    <x v="0"/>
    <x v="0"/>
    <x v="0"/>
    <n v="46998"/>
    <x v="1"/>
    <n v="0"/>
    <n v="1"/>
    <x v="2"/>
    <x v="206"/>
    <n v="55"/>
    <x v="0"/>
    <n v="0"/>
    <n v="172"/>
    <n v="41"/>
    <n v="86"/>
    <n v="45"/>
    <n v="6"/>
    <n v="27"/>
    <n v="377"/>
    <n v="5"/>
    <n v="5"/>
    <n v="3"/>
    <n v="5"/>
    <n v="13"/>
    <n v="7"/>
    <x v="0"/>
  </r>
  <r>
    <n v="2109"/>
    <n v="1990"/>
    <x v="2"/>
    <x v="0"/>
    <x v="0"/>
    <n v="96843"/>
    <x v="2"/>
    <n v="0"/>
    <n v="0"/>
    <x v="0"/>
    <x v="327"/>
    <n v="60"/>
    <x v="0"/>
    <n v="0"/>
    <n v="448"/>
    <n v="71"/>
    <n v="951"/>
    <n v="40"/>
    <n v="17"/>
    <n v="17"/>
    <n v="1544"/>
    <n v="1"/>
    <n v="6"/>
    <n v="11"/>
    <n v="10"/>
    <n v="27"/>
    <n v="2"/>
    <x v="0"/>
  </r>
  <r>
    <n v="8925"/>
    <n v="1965"/>
    <x v="1"/>
    <x v="2"/>
    <x v="2"/>
    <n v="70053"/>
    <x v="2"/>
    <n v="0"/>
    <n v="1"/>
    <x v="2"/>
    <x v="74"/>
    <n v="38"/>
    <x v="1"/>
    <n v="0"/>
    <n v="512"/>
    <n v="53"/>
    <n v="98"/>
    <n v="81"/>
    <n v="179"/>
    <n v="89"/>
    <n v="1012"/>
    <n v="3"/>
    <n v="8"/>
    <n v="5"/>
    <n v="10"/>
    <n v="23"/>
    <n v="5"/>
    <x v="1"/>
  </r>
  <r>
    <n v="3009"/>
    <n v="1962"/>
    <x v="0"/>
    <x v="1"/>
    <x v="4"/>
    <n v="71670"/>
    <x v="2"/>
    <n v="0"/>
    <n v="0"/>
    <x v="0"/>
    <x v="381"/>
    <n v="8"/>
    <x v="1"/>
    <n v="0"/>
    <n v="1462"/>
    <n v="16"/>
    <n v="128"/>
    <n v="0"/>
    <n v="0"/>
    <n v="160"/>
    <n v="1766"/>
    <n v="1"/>
    <n v="5"/>
    <n v="3"/>
    <n v="6"/>
    <n v="14"/>
    <n v="6"/>
    <x v="1"/>
  </r>
  <r>
    <n v="6355"/>
    <n v="1978"/>
    <x v="3"/>
    <x v="0"/>
    <x v="2"/>
    <n v="44359"/>
    <x v="1"/>
    <n v="1"/>
    <n v="1"/>
    <x v="1"/>
    <x v="209"/>
    <n v="19"/>
    <x v="1"/>
    <n v="0"/>
    <n v="20"/>
    <n v="0"/>
    <n v="14"/>
    <n v="7"/>
    <n v="3"/>
    <n v="1"/>
    <n v="45"/>
    <n v="3"/>
    <n v="2"/>
    <n v="0"/>
    <n v="4"/>
    <n v="6"/>
    <n v="3"/>
    <x v="0"/>
  </r>
  <r>
    <n v="3517"/>
    <n v="1952"/>
    <x v="4"/>
    <x v="0"/>
    <x v="0"/>
    <n v="40887"/>
    <x v="1"/>
    <n v="1"/>
    <n v="1"/>
    <x v="1"/>
    <x v="397"/>
    <n v="32"/>
    <x v="1"/>
    <n v="0"/>
    <n v="50"/>
    <n v="4"/>
    <n v="44"/>
    <n v="10"/>
    <n v="10"/>
    <n v="43"/>
    <n v="161"/>
    <n v="3"/>
    <n v="3"/>
    <n v="1"/>
    <n v="3"/>
    <n v="7"/>
    <n v="9"/>
    <x v="0"/>
  </r>
  <r>
    <n v="1158"/>
    <n v="1966"/>
    <x v="1"/>
    <x v="0"/>
    <x v="3"/>
    <n v="48877"/>
    <x v="1"/>
    <n v="0"/>
    <n v="1"/>
    <x v="2"/>
    <x v="135"/>
    <n v="27"/>
    <x v="1"/>
    <n v="0"/>
    <n v="102"/>
    <n v="1"/>
    <n v="15"/>
    <n v="2"/>
    <n v="0"/>
    <n v="24"/>
    <n v="144"/>
    <n v="1"/>
    <n v="3"/>
    <n v="0"/>
    <n v="4"/>
    <n v="7"/>
    <n v="7"/>
    <x v="0"/>
  </r>
  <r>
    <n v="6203"/>
    <n v="1947"/>
    <x v="4"/>
    <x v="0"/>
    <x v="1"/>
    <n v="74485"/>
    <x v="2"/>
    <n v="0"/>
    <n v="0"/>
    <x v="0"/>
    <x v="646"/>
    <n v="58"/>
    <x v="0"/>
    <n v="0"/>
    <n v="499"/>
    <n v="149"/>
    <n v="815"/>
    <n v="173"/>
    <n v="49"/>
    <n v="49"/>
    <n v="1734"/>
    <n v="1"/>
    <n v="6"/>
    <n v="7"/>
    <n v="12"/>
    <n v="25"/>
    <n v="3"/>
    <x v="0"/>
  </r>
  <r>
    <n v="7165"/>
    <n v="1972"/>
    <x v="1"/>
    <x v="0"/>
    <x v="1"/>
    <n v="64474"/>
    <x v="0"/>
    <n v="0"/>
    <n v="1"/>
    <x v="2"/>
    <x v="294"/>
    <n v="59"/>
    <x v="0"/>
    <n v="0"/>
    <n v="381"/>
    <n v="35"/>
    <n v="172"/>
    <n v="56"/>
    <n v="86"/>
    <n v="93"/>
    <n v="823"/>
    <n v="2"/>
    <n v="8"/>
    <n v="2"/>
    <n v="10"/>
    <n v="20"/>
    <n v="5"/>
    <x v="0"/>
  </r>
  <r>
    <n v="3595"/>
    <n v="1963"/>
    <x v="1"/>
    <x v="0"/>
    <x v="1"/>
    <n v="77226"/>
    <x v="2"/>
    <n v="0"/>
    <n v="1"/>
    <x v="2"/>
    <x v="647"/>
    <n v="29"/>
    <x v="1"/>
    <n v="0"/>
    <n v="631"/>
    <n v="43"/>
    <n v="239"/>
    <n v="128"/>
    <n v="76"/>
    <n v="21"/>
    <n v="1138"/>
    <n v="2"/>
    <n v="6"/>
    <n v="8"/>
    <n v="12"/>
    <n v="26"/>
    <n v="3"/>
    <x v="1"/>
  </r>
  <r>
    <n v="8537"/>
    <n v="1949"/>
    <x v="4"/>
    <x v="0"/>
    <x v="4"/>
    <n v="72643"/>
    <x v="2"/>
    <n v="0"/>
    <n v="0"/>
    <x v="0"/>
    <x v="625"/>
    <n v="60"/>
    <x v="0"/>
    <n v="0"/>
    <n v="526"/>
    <n v="80"/>
    <n v="553"/>
    <n v="123"/>
    <n v="94"/>
    <n v="53"/>
    <n v="1429"/>
    <n v="1"/>
    <n v="3"/>
    <n v="10"/>
    <n v="7"/>
    <n v="20"/>
    <n v="2"/>
    <x v="0"/>
  </r>
  <r>
    <n v="4331"/>
    <n v="1978"/>
    <x v="3"/>
    <x v="2"/>
    <x v="1"/>
    <n v="85738"/>
    <x v="2"/>
    <n v="0"/>
    <n v="0"/>
    <x v="0"/>
    <x v="494"/>
    <n v="41"/>
    <x v="1"/>
    <n v="0"/>
    <n v="913"/>
    <n v="26"/>
    <n v="376"/>
    <n v="17"/>
    <n v="26"/>
    <n v="13"/>
    <n v="1371"/>
    <n v="1"/>
    <n v="3"/>
    <n v="6"/>
    <n v="11"/>
    <n v="20"/>
    <n v="1"/>
    <x v="1"/>
  </r>
  <r>
    <n v="6281"/>
    <n v="1966"/>
    <x v="1"/>
    <x v="0"/>
    <x v="3"/>
    <n v="55686"/>
    <x v="0"/>
    <n v="0"/>
    <n v="1"/>
    <x v="2"/>
    <x v="477"/>
    <n v="27"/>
    <x v="1"/>
    <n v="0"/>
    <n v="673"/>
    <n v="0"/>
    <n v="199"/>
    <n v="37"/>
    <n v="47"/>
    <n v="26"/>
    <n v="982"/>
    <n v="2"/>
    <n v="6"/>
    <n v="3"/>
    <n v="5"/>
    <n v="14"/>
    <n v="4"/>
    <x v="1"/>
  </r>
  <r>
    <n v="4338"/>
    <n v="1983"/>
    <x v="2"/>
    <x v="0"/>
    <x v="0"/>
    <n v="39062"/>
    <x v="1"/>
    <n v="1"/>
    <n v="0"/>
    <x v="2"/>
    <x v="622"/>
    <n v="28"/>
    <x v="1"/>
    <n v="0"/>
    <n v="23"/>
    <n v="0"/>
    <n v="9"/>
    <n v="0"/>
    <n v="0"/>
    <n v="12"/>
    <n v="44"/>
    <n v="1"/>
    <n v="1"/>
    <n v="0"/>
    <n v="3"/>
    <n v="4"/>
    <n v="4"/>
    <x v="0"/>
  </r>
  <r>
    <n v="9507"/>
    <n v="1975"/>
    <x v="3"/>
    <x v="0"/>
    <x v="2"/>
    <n v="40794"/>
    <x v="1"/>
    <n v="0"/>
    <n v="1"/>
    <x v="2"/>
    <x v="648"/>
    <n v="18"/>
    <x v="1"/>
    <n v="0"/>
    <n v="261"/>
    <n v="23"/>
    <n v="73"/>
    <n v="4"/>
    <n v="23"/>
    <n v="50"/>
    <n v="434"/>
    <n v="2"/>
    <n v="6"/>
    <n v="3"/>
    <n v="5"/>
    <n v="14"/>
    <n v="7"/>
    <x v="0"/>
  </r>
  <r>
    <n v="10311"/>
    <n v="1969"/>
    <x v="1"/>
    <x v="0"/>
    <x v="2"/>
    <n v="4428"/>
    <x v="3"/>
    <n v="0"/>
    <n v="1"/>
    <x v="2"/>
    <x v="612"/>
    <n v="0"/>
    <x v="1"/>
    <n v="0"/>
    <n v="16"/>
    <n v="4"/>
    <n v="12"/>
    <n v="2"/>
    <n v="4"/>
    <n v="321"/>
    <n v="359"/>
    <n v="0"/>
    <n v="25"/>
    <n v="0"/>
    <n v="0"/>
    <n v="25"/>
    <n v="1"/>
    <x v="0"/>
  </r>
  <r>
    <n v="5117"/>
    <n v="1963"/>
    <x v="1"/>
    <x v="2"/>
    <x v="2"/>
    <n v="32632"/>
    <x v="3"/>
    <n v="0"/>
    <n v="0"/>
    <x v="0"/>
    <x v="598"/>
    <n v="32"/>
    <x v="1"/>
    <n v="0"/>
    <n v="63"/>
    <n v="151"/>
    <n v="137"/>
    <n v="153"/>
    <n v="19"/>
    <n v="53"/>
    <n v="576"/>
    <n v="2"/>
    <n v="4"/>
    <n v="4"/>
    <n v="8"/>
    <n v="16"/>
    <n v="5"/>
    <x v="0"/>
  </r>
  <r>
    <n v="4867"/>
    <n v="1968"/>
    <x v="1"/>
    <x v="1"/>
    <x v="0"/>
    <n v="38236"/>
    <x v="1"/>
    <n v="1"/>
    <n v="1"/>
    <x v="1"/>
    <x v="537"/>
    <n v="2"/>
    <x v="1"/>
    <n v="0"/>
    <n v="58"/>
    <n v="0"/>
    <n v="18"/>
    <n v="2"/>
    <n v="0"/>
    <n v="10"/>
    <n v="88"/>
    <n v="4"/>
    <n v="3"/>
    <n v="0"/>
    <n v="4"/>
    <n v="7"/>
    <n v="7"/>
    <x v="0"/>
  </r>
  <r>
    <n v="9289"/>
    <n v="1979"/>
    <x v="3"/>
    <x v="0"/>
    <x v="2"/>
    <n v="36781"/>
    <x v="1"/>
    <n v="1"/>
    <n v="0"/>
    <x v="2"/>
    <x v="649"/>
    <n v="16"/>
    <x v="1"/>
    <n v="0"/>
    <n v="29"/>
    <n v="1"/>
    <n v="17"/>
    <n v="0"/>
    <n v="3"/>
    <n v="13"/>
    <n v="63"/>
    <n v="1"/>
    <n v="2"/>
    <n v="1"/>
    <n v="2"/>
    <n v="5"/>
    <n v="8"/>
    <x v="0"/>
  </r>
  <r>
    <n v="10913"/>
    <n v="1984"/>
    <x v="2"/>
    <x v="2"/>
    <x v="0"/>
    <n v="31385"/>
    <x v="3"/>
    <n v="1"/>
    <n v="0"/>
    <x v="2"/>
    <x v="151"/>
    <n v="56"/>
    <x v="0"/>
    <n v="0"/>
    <n v="3"/>
    <n v="2"/>
    <n v="12"/>
    <n v="0"/>
    <n v="1"/>
    <n v="9"/>
    <n v="27"/>
    <n v="1"/>
    <n v="1"/>
    <n v="0"/>
    <n v="2"/>
    <n v="3"/>
    <n v="8"/>
    <x v="0"/>
  </r>
  <r>
    <n v="3032"/>
    <n v="1984"/>
    <x v="2"/>
    <x v="0"/>
    <x v="2"/>
    <n v="24570"/>
    <x v="3"/>
    <n v="1"/>
    <n v="0"/>
    <x v="2"/>
    <x v="625"/>
    <n v="97"/>
    <x v="0"/>
    <n v="0"/>
    <n v="28"/>
    <n v="34"/>
    <n v="62"/>
    <n v="11"/>
    <n v="14"/>
    <n v="44"/>
    <n v="193"/>
    <n v="3"/>
    <n v="4"/>
    <n v="0"/>
    <n v="4"/>
    <n v="8"/>
    <n v="9"/>
    <x v="0"/>
  </r>
  <r>
    <n v="3334"/>
    <n v="1951"/>
    <x v="4"/>
    <x v="0"/>
    <x v="2"/>
    <n v="94642"/>
    <x v="2"/>
    <n v="0"/>
    <n v="0"/>
    <x v="0"/>
    <x v="593"/>
    <n v="35"/>
    <x v="1"/>
    <n v="0"/>
    <n v="879"/>
    <n v="143"/>
    <n v="797"/>
    <n v="106"/>
    <n v="143"/>
    <n v="143"/>
    <n v="2211"/>
    <n v="0"/>
    <n v="5"/>
    <n v="7"/>
    <n v="9"/>
    <n v="21"/>
    <n v="1"/>
    <x v="1"/>
  </r>
  <r>
    <n v="4470"/>
    <n v="1962"/>
    <x v="0"/>
    <x v="2"/>
    <x v="2"/>
    <n v="58646"/>
    <x v="0"/>
    <n v="0"/>
    <n v="1"/>
    <x v="2"/>
    <x v="503"/>
    <n v="3"/>
    <x v="1"/>
    <n v="0"/>
    <n v="62"/>
    <n v="1"/>
    <n v="44"/>
    <n v="6"/>
    <n v="5"/>
    <n v="22"/>
    <n v="140"/>
    <n v="1"/>
    <n v="2"/>
    <n v="1"/>
    <n v="4"/>
    <n v="7"/>
    <n v="4"/>
    <x v="0"/>
  </r>
  <r>
    <n v="1406"/>
    <n v="1975"/>
    <x v="3"/>
    <x v="0"/>
    <x v="0"/>
    <n v="53201"/>
    <x v="0"/>
    <n v="1"/>
    <n v="1"/>
    <x v="1"/>
    <x v="597"/>
    <n v="49"/>
    <x v="0"/>
    <n v="0"/>
    <n v="280"/>
    <n v="7"/>
    <n v="81"/>
    <n v="20"/>
    <n v="0"/>
    <n v="27"/>
    <n v="415"/>
    <n v="8"/>
    <n v="6"/>
    <n v="3"/>
    <n v="5"/>
    <n v="14"/>
    <n v="7"/>
    <x v="0"/>
  </r>
  <r>
    <n v="10821"/>
    <n v="1978"/>
    <x v="3"/>
    <x v="0"/>
    <x v="2"/>
    <n v="57113"/>
    <x v="0"/>
    <n v="1"/>
    <n v="1"/>
    <x v="1"/>
    <x v="219"/>
    <n v="45"/>
    <x v="1"/>
    <n v="0"/>
    <n v="182"/>
    <n v="4"/>
    <n v="33"/>
    <n v="0"/>
    <n v="2"/>
    <n v="42"/>
    <n v="263"/>
    <n v="6"/>
    <n v="4"/>
    <n v="1"/>
    <n v="5"/>
    <n v="10"/>
    <n v="7"/>
    <x v="0"/>
  </r>
  <r>
    <n v="4552"/>
    <n v="1991"/>
    <x v="2"/>
    <x v="0"/>
    <x v="2"/>
    <n v="51373"/>
    <x v="1"/>
    <n v="0"/>
    <n v="0"/>
    <x v="0"/>
    <x v="282"/>
    <n v="37"/>
    <x v="1"/>
    <n v="0"/>
    <n v="83"/>
    <n v="2"/>
    <n v="101"/>
    <n v="64"/>
    <n v="26"/>
    <n v="117"/>
    <n v="393"/>
    <n v="1"/>
    <n v="3"/>
    <n v="5"/>
    <n v="3"/>
    <n v="11"/>
    <n v="4"/>
    <x v="0"/>
  </r>
  <r>
    <n v="898"/>
    <n v="1986"/>
    <x v="2"/>
    <x v="0"/>
    <x v="2"/>
    <n v="23477"/>
    <x v="3"/>
    <n v="1"/>
    <n v="0"/>
    <x v="2"/>
    <x v="413"/>
    <n v="39"/>
    <x v="1"/>
    <n v="0"/>
    <n v="38"/>
    <n v="15"/>
    <n v="54"/>
    <n v="3"/>
    <n v="8"/>
    <n v="29"/>
    <n v="147"/>
    <n v="3"/>
    <n v="3"/>
    <n v="0"/>
    <n v="4"/>
    <n v="7"/>
    <n v="8"/>
    <x v="0"/>
  </r>
  <r>
    <n v="9797"/>
    <n v="1956"/>
    <x v="0"/>
    <x v="0"/>
    <x v="2"/>
    <n v="58116"/>
    <x v="0"/>
    <n v="0"/>
    <n v="1"/>
    <x v="2"/>
    <x v="235"/>
    <n v="38"/>
    <x v="1"/>
    <n v="0"/>
    <n v="228"/>
    <n v="19"/>
    <n v="130"/>
    <n v="4"/>
    <n v="11"/>
    <n v="51"/>
    <n v="443"/>
    <n v="2"/>
    <n v="3"/>
    <n v="3"/>
    <n v="8"/>
    <n v="14"/>
    <n v="2"/>
    <x v="0"/>
  </r>
  <r>
    <n v="10949"/>
    <n v="1963"/>
    <x v="1"/>
    <x v="1"/>
    <x v="3"/>
    <n v="72968"/>
    <x v="2"/>
    <n v="0"/>
    <n v="0"/>
    <x v="0"/>
    <x v="419"/>
    <n v="8"/>
    <x v="1"/>
    <n v="0"/>
    <n v="1092"/>
    <n v="37"/>
    <n v="592"/>
    <n v="145"/>
    <n v="37"/>
    <n v="55"/>
    <n v="1958"/>
    <n v="1"/>
    <n v="5"/>
    <n v="5"/>
    <n v="8"/>
    <n v="18"/>
    <n v="3"/>
    <x v="1"/>
  </r>
  <r>
    <n v="8212"/>
    <n v="1971"/>
    <x v="1"/>
    <x v="2"/>
    <x v="2"/>
    <n v="39791"/>
    <x v="1"/>
    <n v="0"/>
    <n v="1"/>
    <x v="2"/>
    <x v="15"/>
    <n v="89"/>
    <x v="0"/>
    <n v="0"/>
    <n v="85"/>
    <n v="15"/>
    <n v="27"/>
    <n v="13"/>
    <n v="13"/>
    <n v="21"/>
    <n v="174"/>
    <n v="2"/>
    <n v="3"/>
    <n v="1"/>
    <n v="4"/>
    <n v="8"/>
    <n v="7"/>
    <x v="0"/>
  </r>
  <r>
    <n v="6248"/>
    <n v="1947"/>
    <x v="4"/>
    <x v="2"/>
    <x v="0"/>
    <n v="91712"/>
    <x v="2"/>
    <n v="0"/>
    <n v="0"/>
    <x v="0"/>
    <x v="131"/>
    <n v="47"/>
    <x v="1"/>
    <n v="0"/>
    <n v="1276"/>
    <n v="24"/>
    <n v="746"/>
    <n v="94"/>
    <n v="29"/>
    <n v="48"/>
    <n v="2217"/>
    <n v="0"/>
    <n v="9"/>
    <n v="7"/>
    <n v="11"/>
    <n v="27"/>
    <n v="3"/>
    <x v="1"/>
  </r>
  <r>
    <n v="10164"/>
    <n v="1958"/>
    <x v="0"/>
    <x v="0"/>
    <x v="0"/>
    <n v="94472"/>
    <x v="2"/>
    <n v="0"/>
    <n v="1"/>
    <x v="2"/>
    <x v="383"/>
    <n v="75"/>
    <x v="0"/>
    <n v="0"/>
    <n v="1017"/>
    <n v="33"/>
    <n v="417"/>
    <n v="108"/>
    <n v="100"/>
    <n v="16"/>
    <n v="1691"/>
    <n v="1"/>
    <n v="5"/>
    <n v="5"/>
    <n v="5"/>
    <n v="15"/>
    <n v="5"/>
    <x v="0"/>
  </r>
  <r>
    <n v="4547"/>
    <n v="1960"/>
    <x v="0"/>
    <x v="0"/>
    <x v="1"/>
    <n v="13672"/>
    <x v="3"/>
    <n v="1"/>
    <n v="1"/>
    <x v="1"/>
    <x v="500"/>
    <n v="86"/>
    <x v="0"/>
    <n v="0"/>
    <n v="6"/>
    <n v="2"/>
    <n v="9"/>
    <n v="2"/>
    <n v="1"/>
    <n v="5"/>
    <n v="25"/>
    <n v="2"/>
    <n v="1"/>
    <n v="0"/>
    <n v="3"/>
    <n v="4"/>
    <n v="8"/>
    <x v="0"/>
  </r>
  <r>
    <n v="6815"/>
    <n v="1980"/>
    <x v="3"/>
    <x v="2"/>
    <x v="2"/>
    <n v="96547"/>
    <x v="2"/>
    <n v="0"/>
    <n v="0"/>
    <x v="0"/>
    <x v="146"/>
    <n v="4"/>
    <x v="1"/>
    <n v="0"/>
    <n v="448"/>
    <n v="21"/>
    <n v="125"/>
    <n v="52"/>
    <n v="101"/>
    <n v="62"/>
    <n v="809"/>
    <n v="0"/>
    <n v="7"/>
    <n v="6"/>
    <n v="8"/>
    <n v="21"/>
    <n v="2"/>
    <x v="1"/>
  </r>
  <r>
    <n v="4122"/>
    <n v="1975"/>
    <x v="3"/>
    <x v="0"/>
    <x v="2"/>
    <n v="79205"/>
    <x v="2"/>
    <n v="0"/>
    <n v="0"/>
    <x v="0"/>
    <x v="72"/>
    <n v="73"/>
    <x v="0"/>
    <n v="0"/>
    <n v="504"/>
    <n v="23"/>
    <n v="117"/>
    <n v="179"/>
    <n v="28"/>
    <n v="44"/>
    <n v="895"/>
    <n v="1"/>
    <n v="6"/>
    <n v="5"/>
    <n v="4"/>
    <n v="15"/>
    <n v="4"/>
    <x v="0"/>
  </r>
  <r>
    <n v="10841"/>
    <n v="1975"/>
    <x v="3"/>
    <x v="1"/>
    <x v="1"/>
    <n v="56559"/>
    <x v="0"/>
    <n v="0"/>
    <n v="1"/>
    <x v="2"/>
    <x v="267"/>
    <n v="46"/>
    <x v="1"/>
    <n v="0"/>
    <n v="226"/>
    <n v="22"/>
    <n v="133"/>
    <n v="41"/>
    <n v="31"/>
    <n v="31"/>
    <n v="484"/>
    <n v="3"/>
    <n v="4"/>
    <n v="3"/>
    <n v="8"/>
    <n v="15"/>
    <n v="4"/>
    <x v="0"/>
  </r>
  <r>
    <n v="5370"/>
    <n v="1973"/>
    <x v="3"/>
    <x v="1"/>
    <x v="2"/>
    <n v="32644"/>
    <x v="3"/>
    <n v="1"/>
    <n v="0"/>
    <x v="2"/>
    <x v="538"/>
    <n v="38"/>
    <x v="1"/>
    <n v="0"/>
    <n v="239"/>
    <n v="3"/>
    <n v="141"/>
    <n v="0"/>
    <n v="7"/>
    <n v="23"/>
    <n v="413"/>
    <n v="4"/>
    <n v="7"/>
    <n v="1"/>
    <n v="6"/>
    <n v="14"/>
    <n v="8"/>
    <x v="0"/>
  </r>
  <r>
    <n v="176"/>
    <n v="1980"/>
    <x v="3"/>
    <x v="2"/>
    <x v="0"/>
    <n v="67506"/>
    <x v="0"/>
    <n v="0"/>
    <n v="1"/>
    <x v="2"/>
    <x v="421"/>
    <n v="73"/>
    <x v="0"/>
    <n v="0"/>
    <n v="90"/>
    <n v="38"/>
    <n v="67"/>
    <n v="33"/>
    <n v="36"/>
    <n v="67"/>
    <n v="331"/>
    <n v="1"/>
    <n v="4"/>
    <n v="1"/>
    <n v="6"/>
    <n v="11"/>
    <n v="3"/>
    <x v="0"/>
  </r>
  <r>
    <n v="4860"/>
    <n v="1970"/>
    <x v="1"/>
    <x v="0"/>
    <x v="0"/>
    <n v="24206"/>
    <x v="3"/>
    <n v="1"/>
    <n v="0"/>
    <x v="2"/>
    <x v="606"/>
    <n v="66"/>
    <x v="0"/>
    <n v="0"/>
    <n v="7"/>
    <n v="2"/>
    <n v="8"/>
    <n v="3"/>
    <n v="2"/>
    <n v="3"/>
    <n v="25"/>
    <n v="1"/>
    <n v="1"/>
    <n v="0"/>
    <n v="3"/>
    <n v="4"/>
    <n v="6"/>
    <x v="0"/>
  </r>
  <r>
    <n v="10757"/>
    <n v="1967"/>
    <x v="1"/>
    <x v="1"/>
    <x v="3"/>
    <n v="28420"/>
    <x v="3"/>
    <n v="1"/>
    <n v="0"/>
    <x v="2"/>
    <x v="539"/>
    <n v="36"/>
    <x v="1"/>
    <n v="0"/>
    <n v="4"/>
    <n v="2"/>
    <n v="5"/>
    <n v="2"/>
    <n v="0"/>
    <n v="0"/>
    <n v="13"/>
    <n v="1"/>
    <n v="1"/>
    <n v="0"/>
    <n v="2"/>
    <n v="3"/>
    <n v="6"/>
    <x v="0"/>
  </r>
  <r>
    <n v="4023"/>
    <n v="1970"/>
    <x v="1"/>
    <x v="0"/>
    <x v="2"/>
    <n v="22979"/>
    <x v="3"/>
    <n v="1"/>
    <n v="0"/>
    <x v="2"/>
    <x v="403"/>
    <n v="29"/>
    <x v="1"/>
    <n v="0"/>
    <n v="16"/>
    <n v="17"/>
    <n v="19"/>
    <n v="20"/>
    <n v="21"/>
    <n v="22"/>
    <n v="115"/>
    <n v="3"/>
    <n v="3"/>
    <n v="2"/>
    <n v="2"/>
    <n v="7"/>
    <n v="8"/>
    <x v="0"/>
  </r>
  <r>
    <n v="6679"/>
    <n v="1966"/>
    <x v="1"/>
    <x v="0"/>
    <x v="0"/>
    <n v="33279"/>
    <x v="3"/>
    <n v="0"/>
    <n v="0"/>
    <x v="0"/>
    <x v="650"/>
    <n v="29"/>
    <x v="1"/>
    <n v="0"/>
    <n v="10"/>
    <n v="3"/>
    <n v="3"/>
    <n v="0"/>
    <n v="0"/>
    <n v="0"/>
    <n v="16"/>
    <n v="1"/>
    <n v="0"/>
    <n v="0"/>
    <n v="3"/>
    <n v="3"/>
    <n v="3"/>
    <x v="0"/>
  </r>
  <r>
    <n v="7181"/>
    <n v="1977"/>
    <x v="3"/>
    <x v="0"/>
    <x v="2"/>
    <n v="30368"/>
    <x v="3"/>
    <n v="0"/>
    <n v="1"/>
    <x v="2"/>
    <x v="251"/>
    <n v="97"/>
    <x v="0"/>
    <n v="0"/>
    <n v="35"/>
    <n v="0"/>
    <n v="13"/>
    <n v="2"/>
    <n v="0"/>
    <n v="2"/>
    <n v="52"/>
    <n v="2"/>
    <n v="2"/>
    <n v="0"/>
    <n v="3"/>
    <n v="5"/>
    <n v="8"/>
    <x v="0"/>
  </r>
  <r>
    <n v="3599"/>
    <n v="1970"/>
    <x v="1"/>
    <x v="0"/>
    <x v="2"/>
    <n v="63684"/>
    <x v="0"/>
    <n v="0"/>
    <n v="1"/>
    <x v="2"/>
    <x v="491"/>
    <n v="61"/>
    <x v="0"/>
    <n v="0"/>
    <n v="575"/>
    <n v="80"/>
    <n v="428"/>
    <n v="208"/>
    <n v="93"/>
    <n v="80"/>
    <n v="1464"/>
    <n v="3"/>
    <n v="8"/>
    <n v="4"/>
    <n v="8"/>
    <n v="20"/>
    <n v="5"/>
    <x v="0"/>
  </r>
  <r>
    <n v="405"/>
    <n v="1964"/>
    <x v="1"/>
    <x v="0"/>
    <x v="3"/>
    <n v="41638"/>
    <x v="1"/>
    <n v="0"/>
    <n v="1"/>
    <x v="2"/>
    <x v="253"/>
    <n v="68"/>
    <x v="0"/>
    <n v="0"/>
    <n v="315"/>
    <n v="0"/>
    <n v="31"/>
    <n v="4"/>
    <n v="0"/>
    <n v="91"/>
    <n v="441"/>
    <n v="4"/>
    <n v="5"/>
    <n v="5"/>
    <n v="3"/>
    <n v="13"/>
    <n v="8"/>
    <x v="0"/>
  </r>
  <r>
    <n v="6870"/>
    <n v="1959"/>
    <x v="0"/>
    <x v="1"/>
    <x v="3"/>
    <n v="68805"/>
    <x v="2"/>
    <n v="0"/>
    <n v="1"/>
    <x v="2"/>
    <x v="390"/>
    <n v="73"/>
    <x v="0"/>
    <n v="0"/>
    <n v="182"/>
    <n v="2"/>
    <n v="49"/>
    <n v="17"/>
    <n v="13"/>
    <n v="20"/>
    <n v="283"/>
    <n v="1"/>
    <n v="3"/>
    <n v="1"/>
    <n v="7"/>
    <n v="11"/>
    <n v="2"/>
    <x v="0"/>
  </r>
  <r>
    <n v="832"/>
    <n v="1966"/>
    <x v="1"/>
    <x v="1"/>
    <x v="1"/>
    <n v="65814"/>
    <x v="0"/>
    <n v="0"/>
    <n v="1"/>
    <x v="2"/>
    <x v="582"/>
    <n v="90"/>
    <x v="0"/>
    <n v="0"/>
    <n v="561"/>
    <n v="14"/>
    <n v="113"/>
    <n v="10"/>
    <n v="14"/>
    <n v="35"/>
    <n v="747"/>
    <n v="3"/>
    <n v="8"/>
    <n v="2"/>
    <n v="10"/>
    <n v="20"/>
    <n v="5"/>
    <x v="0"/>
  </r>
  <r>
    <n v="2002"/>
    <n v="1958"/>
    <x v="0"/>
    <x v="0"/>
    <x v="3"/>
    <n v="71964"/>
    <x v="2"/>
    <n v="0"/>
    <n v="0"/>
    <x v="0"/>
    <x v="199"/>
    <n v="81"/>
    <x v="0"/>
    <n v="0"/>
    <n v="587"/>
    <n v="51"/>
    <n v="932"/>
    <n v="180"/>
    <n v="34"/>
    <n v="86"/>
    <n v="1870"/>
    <n v="1"/>
    <n v="5"/>
    <n v="6"/>
    <n v="5"/>
    <n v="16"/>
    <n v="3"/>
    <x v="0"/>
  </r>
  <r>
    <n v="3657"/>
    <n v="1986"/>
    <x v="2"/>
    <x v="0"/>
    <x v="0"/>
    <n v="39146"/>
    <x v="1"/>
    <n v="1"/>
    <n v="0"/>
    <x v="2"/>
    <x v="477"/>
    <n v="1"/>
    <x v="1"/>
    <n v="0"/>
    <n v="94"/>
    <n v="1"/>
    <n v="33"/>
    <n v="13"/>
    <n v="12"/>
    <n v="12"/>
    <n v="165"/>
    <n v="3"/>
    <n v="4"/>
    <n v="0"/>
    <n v="4"/>
    <n v="8"/>
    <n v="8"/>
    <x v="0"/>
  </r>
  <r>
    <n v="500"/>
    <n v="1977"/>
    <x v="3"/>
    <x v="0"/>
    <x v="1"/>
    <n v="96876"/>
    <x v="2"/>
    <n v="0"/>
    <n v="0"/>
    <x v="0"/>
    <x v="315"/>
    <n v="79"/>
    <x v="0"/>
    <n v="0"/>
    <n v="908"/>
    <n v="43"/>
    <n v="735"/>
    <n v="40"/>
    <n v="194"/>
    <n v="21"/>
    <n v="1941"/>
    <n v="1"/>
    <n v="7"/>
    <n v="7"/>
    <n v="9"/>
    <n v="23"/>
    <n v="2"/>
    <x v="0"/>
  </r>
  <r>
    <n v="1951"/>
    <n v="1981"/>
    <x v="3"/>
    <x v="3"/>
    <x v="2"/>
    <n v="34445"/>
    <x v="3"/>
    <n v="0"/>
    <n v="0"/>
    <x v="0"/>
    <x v="640"/>
    <n v="92"/>
    <x v="0"/>
    <n v="0"/>
    <n v="228"/>
    <n v="122"/>
    <n v="122"/>
    <n v="208"/>
    <n v="129"/>
    <n v="30"/>
    <n v="839"/>
    <n v="6"/>
    <n v="11"/>
    <n v="2"/>
    <n v="8"/>
    <n v="21"/>
    <n v="9"/>
    <x v="0"/>
  </r>
  <r>
    <n v="3262"/>
    <n v="1958"/>
    <x v="0"/>
    <x v="0"/>
    <x v="0"/>
    <n v="68281"/>
    <x v="0"/>
    <n v="0"/>
    <n v="0"/>
    <x v="0"/>
    <x v="442"/>
    <n v="31"/>
    <x v="1"/>
    <n v="0"/>
    <n v="995"/>
    <n v="112"/>
    <n v="417"/>
    <n v="42"/>
    <n v="48"/>
    <n v="41"/>
    <n v="1655"/>
    <n v="1"/>
    <n v="2"/>
    <n v="9"/>
    <n v="13"/>
    <n v="24"/>
    <n v="5"/>
    <x v="1"/>
  </r>
  <r>
    <n v="7042"/>
    <n v="1983"/>
    <x v="2"/>
    <x v="0"/>
    <x v="2"/>
    <n v="36790"/>
    <x v="1"/>
    <n v="0"/>
    <n v="0"/>
    <x v="0"/>
    <x v="374"/>
    <n v="14"/>
    <x v="1"/>
    <n v="0"/>
    <n v="3"/>
    <n v="3"/>
    <n v="14"/>
    <n v="15"/>
    <n v="21"/>
    <n v="10"/>
    <n v="66"/>
    <n v="1"/>
    <n v="2"/>
    <n v="1"/>
    <n v="2"/>
    <n v="5"/>
    <n v="9"/>
    <x v="0"/>
  </r>
  <r>
    <n v="10598"/>
    <n v="1967"/>
    <x v="1"/>
    <x v="0"/>
    <x v="1"/>
    <n v="27943"/>
    <x v="3"/>
    <n v="1"/>
    <n v="1"/>
    <x v="1"/>
    <x v="382"/>
    <n v="89"/>
    <x v="0"/>
    <n v="0"/>
    <n v="12"/>
    <n v="1"/>
    <n v="16"/>
    <n v="4"/>
    <n v="1"/>
    <n v="3"/>
    <n v="37"/>
    <n v="3"/>
    <n v="2"/>
    <n v="0"/>
    <n v="3"/>
    <n v="5"/>
    <n v="8"/>
    <x v="0"/>
  </r>
  <r>
    <n v="255"/>
    <n v="1951"/>
    <x v="4"/>
    <x v="0"/>
    <x v="3"/>
    <n v="22263"/>
    <x v="3"/>
    <n v="1"/>
    <n v="1"/>
    <x v="1"/>
    <x v="89"/>
    <n v="31"/>
    <x v="1"/>
    <n v="1"/>
    <n v="17"/>
    <n v="0"/>
    <n v="2"/>
    <n v="0"/>
    <n v="0"/>
    <n v="2"/>
    <n v="21"/>
    <n v="2"/>
    <n v="1"/>
    <n v="0"/>
    <n v="3"/>
    <n v="4"/>
    <n v="6"/>
    <x v="0"/>
  </r>
  <r>
    <n v="2375"/>
    <n v="1972"/>
    <x v="1"/>
    <x v="0"/>
    <x v="1"/>
    <n v="30261"/>
    <x v="3"/>
    <n v="1"/>
    <n v="2"/>
    <x v="3"/>
    <x v="324"/>
    <n v="75"/>
    <x v="0"/>
    <n v="0"/>
    <n v="8"/>
    <n v="0"/>
    <n v="5"/>
    <n v="0"/>
    <n v="3"/>
    <n v="6"/>
    <n v="22"/>
    <n v="1"/>
    <n v="0"/>
    <n v="0"/>
    <n v="3"/>
    <n v="3"/>
    <n v="8"/>
    <x v="0"/>
  </r>
  <r>
    <n v="9829"/>
    <n v="1978"/>
    <x v="3"/>
    <x v="0"/>
    <x v="1"/>
    <n v="28587"/>
    <x v="3"/>
    <n v="1"/>
    <n v="0"/>
    <x v="2"/>
    <x v="593"/>
    <n v="42"/>
    <x v="1"/>
    <n v="0"/>
    <n v="22"/>
    <n v="4"/>
    <n v="17"/>
    <n v="12"/>
    <n v="10"/>
    <n v="13"/>
    <n v="78"/>
    <n v="3"/>
    <n v="2"/>
    <n v="0"/>
    <n v="4"/>
    <n v="6"/>
    <n v="6"/>
    <x v="0"/>
  </r>
  <r>
    <n v="6214"/>
    <n v="1982"/>
    <x v="3"/>
    <x v="2"/>
    <x v="2"/>
    <n v="43815"/>
    <x v="1"/>
    <n v="1"/>
    <n v="0"/>
    <x v="2"/>
    <x v="66"/>
    <n v="53"/>
    <x v="0"/>
    <n v="0"/>
    <n v="14"/>
    <n v="10"/>
    <n v="29"/>
    <n v="4"/>
    <n v="7"/>
    <n v="15"/>
    <n v="79"/>
    <n v="1"/>
    <n v="2"/>
    <n v="0"/>
    <n v="3"/>
    <n v="5"/>
    <n v="6"/>
    <x v="0"/>
  </r>
  <r>
    <n v="4954"/>
    <n v="1956"/>
    <x v="0"/>
    <x v="0"/>
    <x v="2"/>
    <n v="48195"/>
    <x v="1"/>
    <n v="1"/>
    <n v="1"/>
    <x v="1"/>
    <x v="79"/>
    <n v="53"/>
    <x v="0"/>
    <n v="0"/>
    <n v="106"/>
    <n v="27"/>
    <n v="68"/>
    <n v="52"/>
    <n v="7"/>
    <n v="5"/>
    <n v="265"/>
    <n v="6"/>
    <n v="4"/>
    <n v="2"/>
    <n v="5"/>
    <n v="11"/>
    <n v="6"/>
    <x v="0"/>
  </r>
  <r>
    <n v="7861"/>
    <n v="1952"/>
    <x v="4"/>
    <x v="2"/>
    <x v="2"/>
    <n v="77027"/>
    <x v="2"/>
    <n v="0"/>
    <n v="1"/>
    <x v="2"/>
    <x v="641"/>
    <n v="23"/>
    <x v="1"/>
    <n v="0"/>
    <n v="820"/>
    <n v="57"/>
    <n v="242"/>
    <n v="45"/>
    <n v="0"/>
    <n v="11"/>
    <n v="1175"/>
    <n v="2"/>
    <n v="8"/>
    <n v="3"/>
    <n v="6"/>
    <n v="17"/>
    <n v="4"/>
    <x v="1"/>
  </r>
  <r>
    <n v="4837"/>
    <n v="1965"/>
    <x v="1"/>
    <x v="1"/>
    <x v="2"/>
    <n v="71322"/>
    <x v="2"/>
    <n v="0"/>
    <n v="1"/>
    <x v="2"/>
    <x v="320"/>
    <n v="57"/>
    <x v="0"/>
    <n v="0"/>
    <n v="753"/>
    <n v="43"/>
    <n v="226"/>
    <n v="69"/>
    <n v="10"/>
    <n v="204"/>
    <n v="1305"/>
    <n v="2"/>
    <n v="8"/>
    <n v="5"/>
    <n v="13"/>
    <n v="26"/>
    <n v="4"/>
    <x v="0"/>
  </r>
  <r>
    <n v="9423"/>
    <n v="1979"/>
    <x v="3"/>
    <x v="2"/>
    <x v="2"/>
    <n v="32765"/>
    <x v="3"/>
    <n v="1"/>
    <n v="0"/>
    <x v="2"/>
    <x v="586"/>
    <n v="49"/>
    <x v="0"/>
    <n v="0"/>
    <n v="13"/>
    <n v="3"/>
    <n v="17"/>
    <n v="7"/>
    <n v="3"/>
    <n v="3"/>
    <n v="46"/>
    <n v="2"/>
    <n v="2"/>
    <n v="0"/>
    <n v="4"/>
    <n v="6"/>
    <n v="5"/>
    <x v="0"/>
  </r>
  <r>
    <n v="153"/>
    <n v="1953"/>
    <x v="0"/>
    <x v="0"/>
    <x v="3"/>
    <n v="23272"/>
    <x v="3"/>
    <n v="0"/>
    <n v="0"/>
    <x v="0"/>
    <x v="131"/>
    <n v="29"/>
    <x v="1"/>
    <n v="0"/>
    <n v="19"/>
    <n v="3"/>
    <n v="6"/>
    <n v="4"/>
    <n v="2"/>
    <n v="12"/>
    <n v="46"/>
    <n v="1"/>
    <n v="1"/>
    <n v="0"/>
    <n v="3"/>
    <n v="4"/>
    <n v="4"/>
    <x v="0"/>
  </r>
  <r>
    <n v="9323"/>
    <n v="1949"/>
    <x v="4"/>
    <x v="2"/>
    <x v="1"/>
    <n v="49912"/>
    <x v="1"/>
    <n v="0"/>
    <n v="1"/>
    <x v="2"/>
    <x v="54"/>
    <n v="5"/>
    <x v="1"/>
    <n v="0"/>
    <n v="520"/>
    <n v="8"/>
    <n v="223"/>
    <n v="32"/>
    <n v="49"/>
    <n v="42"/>
    <n v="874"/>
    <n v="4"/>
    <n v="10"/>
    <n v="5"/>
    <n v="7"/>
    <n v="22"/>
    <n v="8"/>
    <x v="0"/>
  </r>
  <r>
    <n v="10001"/>
    <n v="1985"/>
    <x v="2"/>
    <x v="2"/>
    <x v="1"/>
    <n v="7500"/>
    <x v="3"/>
    <n v="1"/>
    <n v="0"/>
    <x v="2"/>
    <x v="439"/>
    <n v="98"/>
    <x v="0"/>
    <n v="0"/>
    <n v="5"/>
    <n v="17"/>
    <n v="17"/>
    <n v="13"/>
    <n v="14"/>
    <n v="34"/>
    <n v="100"/>
    <n v="4"/>
    <n v="2"/>
    <n v="1"/>
    <n v="3"/>
    <n v="6"/>
    <n v="9"/>
    <x v="0"/>
  </r>
  <r>
    <n v="3945"/>
    <n v="1947"/>
    <x v="4"/>
    <x v="1"/>
    <x v="4"/>
    <n v="68117"/>
    <x v="0"/>
    <n v="0"/>
    <n v="1"/>
    <x v="2"/>
    <x v="112"/>
    <n v="80"/>
    <x v="0"/>
    <n v="0"/>
    <n v="618"/>
    <n v="44"/>
    <n v="215"/>
    <n v="0"/>
    <n v="17"/>
    <n v="36"/>
    <n v="930"/>
    <n v="2"/>
    <n v="11"/>
    <n v="8"/>
    <n v="4"/>
    <n v="23"/>
    <n v="6"/>
    <x v="0"/>
  </r>
  <r>
    <n v="3799"/>
    <n v="1955"/>
    <x v="0"/>
    <x v="0"/>
    <x v="2"/>
    <n v="67225"/>
    <x v="0"/>
    <n v="0"/>
    <n v="1"/>
    <x v="2"/>
    <x v="630"/>
    <n v="4"/>
    <x v="1"/>
    <n v="0"/>
    <n v="315"/>
    <n v="35"/>
    <n v="322"/>
    <n v="46"/>
    <n v="7"/>
    <n v="143"/>
    <n v="868"/>
    <n v="3"/>
    <n v="7"/>
    <n v="2"/>
    <n v="11"/>
    <n v="20"/>
    <n v="5"/>
    <x v="1"/>
  </r>
  <r>
    <n v="8625"/>
    <n v="1976"/>
    <x v="3"/>
    <x v="0"/>
    <x v="2"/>
    <n v="17649"/>
    <x v="3"/>
    <n v="1"/>
    <n v="0"/>
    <x v="2"/>
    <x v="543"/>
    <n v="70"/>
    <x v="0"/>
    <n v="0"/>
    <n v="15"/>
    <n v="1"/>
    <n v="23"/>
    <n v="0"/>
    <n v="5"/>
    <n v="1"/>
    <n v="45"/>
    <n v="3"/>
    <n v="3"/>
    <n v="0"/>
    <n v="3"/>
    <n v="6"/>
    <n v="8"/>
    <x v="0"/>
  </r>
  <r>
    <n v="3491"/>
    <n v="1975"/>
    <x v="3"/>
    <x v="0"/>
    <x v="1"/>
    <n v="55914"/>
    <x v="0"/>
    <n v="0"/>
    <n v="1"/>
    <x v="2"/>
    <x v="35"/>
    <n v="32"/>
    <x v="1"/>
    <n v="0"/>
    <n v="384"/>
    <n v="60"/>
    <n v="364"/>
    <n v="119"/>
    <n v="101"/>
    <n v="232"/>
    <n v="1260"/>
    <n v="4"/>
    <n v="11"/>
    <n v="6"/>
    <n v="8"/>
    <n v="25"/>
    <n v="7"/>
    <x v="1"/>
  </r>
  <r>
    <n v="983"/>
    <n v="1984"/>
    <x v="2"/>
    <x v="0"/>
    <x v="2"/>
    <n v="40059"/>
    <x v="1"/>
    <n v="1"/>
    <n v="0"/>
    <x v="2"/>
    <x v="148"/>
    <n v="82"/>
    <x v="0"/>
    <n v="0"/>
    <n v="110"/>
    <n v="29"/>
    <n v="92"/>
    <n v="28"/>
    <n v="10"/>
    <n v="145"/>
    <n v="414"/>
    <n v="1"/>
    <n v="6"/>
    <n v="2"/>
    <n v="3"/>
    <n v="11"/>
    <n v="8"/>
    <x v="0"/>
  </r>
  <r>
    <n v="9119"/>
    <n v="1950"/>
    <x v="4"/>
    <x v="0"/>
    <x v="1"/>
    <n v="60905"/>
    <x v="0"/>
    <n v="0"/>
    <n v="1"/>
    <x v="2"/>
    <x v="558"/>
    <n v="27"/>
    <x v="1"/>
    <n v="0"/>
    <n v="208"/>
    <n v="17"/>
    <n v="76"/>
    <n v="36"/>
    <n v="17"/>
    <n v="38"/>
    <n v="392"/>
    <n v="2"/>
    <n v="3"/>
    <n v="3"/>
    <n v="7"/>
    <n v="13"/>
    <n v="2"/>
    <x v="0"/>
  </r>
  <r>
    <n v="4786"/>
    <n v="1977"/>
    <x v="3"/>
    <x v="0"/>
    <x v="2"/>
    <n v="75330"/>
    <x v="2"/>
    <n v="1"/>
    <n v="1"/>
    <x v="1"/>
    <x v="427"/>
    <n v="94"/>
    <x v="0"/>
    <n v="0"/>
    <n v="555"/>
    <n v="82"/>
    <n v="257"/>
    <n v="93"/>
    <n v="61"/>
    <n v="61"/>
    <n v="1109"/>
    <n v="4"/>
    <n v="10"/>
    <n v="3"/>
    <n v="12"/>
    <n v="25"/>
    <n v="6"/>
    <x v="0"/>
  </r>
  <r>
    <n v="5872"/>
    <n v="1951"/>
    <x v="4"/>
    <x v="0"/>
    <x v="0"/>
    <n v="60689"/>
    <x v="0"/>
    <n v="0"/>
    <n v="1"/>
    <x v="2"/>
    <x v="611"/>
    <n v="23"/>
    <x v="1"/>
    <n v="0"/>
    <n v="240"/>
    <n v="90"/>
    <n v="216"/>
    <n v="63"/>
    <n v="6"/>
    <n v="24"/>
    <n v="639"/>
    <n v="4"/>
    <n v="4"/>
    <n v="4"/>
    <n v="10"/>
    <n v="18"/>
    <n v="3"/>
    <x v="1"/>
  </r>
  <r>
    <n v="6568"/>
    <n v="1984"/>
    <x v="2"/>
    <x v="0"/>
    <x v="2"/>
    <n v="38680"/>
    <x v="1"/>
    <n v="1"/>
    <n v="0"/>
    <x v="2"/>
    <x v="15"/>
    <n v="97"/>
    <x v="0"/>
    <n v="0"/>
    <n v="11"/>
    <n v="0"/>
    <n v="36"/>
    <n v="15"/>
    <n v="5"/>
    <n v="12"/>
    <n v="79"/>
    <n v="1"/>
    <n v="2"/>
    <n v="0"/>
    <n v="3"/>
    <n v="5"/>
    <n v="7"/>
    <x v="0"/>
  </r>
  <r>
    <n v="5628"/>
    <n v="1982"/>
    <x v="3"/>
    <x v="0"/>
    <x v="1"/>
    <n v="61416"/>
    <x v="0"/>
    <n v="0"/>
    <n v="0"/>
    <x v="0"/>
    <x v="559"/>
    <n v="25"/>
    <x v="1"/>
    <n v="0"/>
    <n v="848"/>
    <n v="154"/>
    <n v="323"/>
    <n v="201"/>
    <n v="61"/>
    <n v="78"/>
    <n v="1665"/>
    <n v="1"/>
    <n v="10"/>
    <n v="3"/>
    <n v="10"/>
    <n v="23"/>
    <n v="6"/>
    <x v="1"/>
  </r>
  <r>
    <n v="5631"/>
    <n v="1991"/>
    <x v="2"/>
    <x v="0"/>
    <x v="0"/>
    <n v="49767"/>
    <x v="1"/>
    <n v="0"/>
    <n v="0"/>
    <x v="0"/>
    <x v="319"/>
    <n v="92"/>
    <x v="0"/>
    <n v="0"/>
    <n v="202"/>
    <n v="47"/>
    <n v="197"/>
    <n v="55"/>
    <n v="42"/>
    <n v="149"/>
    <n v="692"/>
    <n v="1"/>
    <n v="5"/>
    <n v="4"/>
    <n v="8"/>
    <n v="17"/>
    <n v="4"/>
    <x v="0"/>
  </r>
  <r>
    <n v="4974"/>
    <n v="1970"/>
    <x v="1"/>
    <x v="0"/>
    <x v="0"/>
    <n v="83273"/>
    <x v="2"/>
    <n v="1"/>
    <n v="2"/>
    <x v="3"/>
    <x v="324"/>
    <n v="98"/>
    <x v="0"/>
    <n v="0"/>
    <n v="433"/>
    <n v="89"/>
    <n v="650"/>
    <n v="16"/>
    <n v="102"/>
    <n v="102"/>
    <n v="1392"/>
    <n v="10"/>
    <n v="4"/>
    <n v="6"/>
    <n v="9"/>
    <n v="19"/>
    <n v="7"/>
    <x v="0"/>
  </r>
  <r>
    <n v="8416"/>
    <n v="1981"/>
    <x v="3"/>
    <x v="0"/>
    <x v="2"/>
    <n v="29009"/>
    <x v="3"/>
    <n v="1"/>
    <n v="0"/>
    <x v="2"/>
    <x v="271"/>
    <n v="19"/>
    <x v="1"/>
    <n v="0"/>
    <n v="6"/>
    <n v="6"/>
    <n v="15"/>
    <n v="10"/>
    <n v="5"/>
    <n v="2"/>
    <n v="44"/>
    <n v="2"/>
    <n v="2"/>
    <n v="0"/>
    <n v="3"/>
    <n v="5"/>
    <n v="6"/>
    <x v="0"/>
  </r>
  <r>
    <n v="5454"/>
    <n v="1979"/>
    <x v="3"/>
    <x v="2"/>
    <x v="2"/>
    <n v="45057"/>
    <x v="1"/>
    <n v="1"/>
    <n v="0"/>
    <x v="2"/>
    <x v="86"/>
    <n v="80"/>
    <x v="0"/>
    <n v="0"/>
    <n v="37"/>
    <n v="0"/>
    <n v="7"/>
    <n v="3"/>
    <n v="0"/>
    <n v="3"/>
    <n v="50"/>
    <n v="1"/>
    <n v="2"/>
    <n v="0"/>
    <n v="3"/>
    <n v="5"/>
    <n v="5"/>
    <x v="0"/>
  </r>
  <r>
    <n v="4095"/>
    <n v="1971"/>
    <x v="1"/>
    <x v="0"/>
    <x v="2"/>
    <n v="37150"/>
    <x v="1"/>
    <n v="1"/>
    <n v="0"/>
    <x v="2"/>
    <x v="63"/>
    <n v="80"/>
    <x v="0"/>
    <n v="0"/>
    <n v="167"/>
    <n v="37"/>
    <n v="64"/>
    <n v="49"/>
    <n v="34"/>
    <n v="116"/>
    <n v="467"/>
    <n v="8"/>
    <n v="4"/>
    <n v="3"/>
    <n v="6"/>
    <n v="13"/>
    <n v="7"/>
    <x v="0"/>
  </r>
  <r>
    <n v="5474"/>
    <n v="1970"/>
    <x v="1"/>
    <x v="0"/>
    <x v="0"/>
    <n v="43020"/>
    <x v="1"/>
    <n v="1"/>
    <n v="0"/>
    <x v="2"/>
    <x v="651"/>
    <n v="79"/>
    <x v="0"/>
    <n v="0"/>
    <n v="45"/>
    <n v="7"/>
    <n v="99"/>
    <n v="4"/>
    <n v="25"/>
    <n v="43"/>
    <n v="223"/>
    <n v="3"/>
    <n v="4"/>
    <n v="1"/>
    <n v="4"/>
    <n v="9"/>
    <n v="6"/>
    <x v="0"/>
  </r>
  <r>
    <n v="4268"/>
    <n v="1959"/>
    <x v="0"/>
    <x v="0"/>
    <x v="2"/>
    <n v="53154"/>
    <x v="0"/>
    <n v="0"/>
    <n v="1"/>
    <x v="2"/>
    <x v="295"/>
    <n v="50"/>
    <x v="0"/>
    <n v="0"/>
    <n v="129"/>
    <n v="0"/>
    <n v="21"/>
    <n v="0"/>
    <n v="1"/>
    <n v="7"/>
    <n v="158"/>
    <n v="1"/>
    <n v="3"/>
    <n v="1"/>
    <n v="4"/>
    <n v="8"/>
    <n v="4"/>
    <x v="0"/>
  </r>
  <r>
    <n v="10701"/>
    <n v="1973"/>
    <x v="3"/>
    <x v="0"/>
    <x v="2"/>
    <n v="65308"/>
    <x v="0"/>
    <n v="0"/>
    <n v="0"/>
    <x v="0"/>
    <x v="255"/>
    <n v="60"/>
    <x v="0"/>
    <n v="0"/>
    <n v="713"/>
    <n v="0"/>
    <n v="264"/>
    <n v="120"/>
    <n v="80"/>
    <n v="34"/>
    <n v="1211"/>
    <n v="1"/>
    <n v="7"/>
    <n v="8"/>
    <n v="12"/>
    <n v="27"/>
    <n v="4"/>
    <x v="0"/>
  </r>
  <r>
    <n v="3507"/>
    <n v="1970"/>
    <x v="1"/>
    <x v="0"/>
    <x v="0"/>
    <n v="76467"/>
    <x v="2"/>
    <n v="1"/>
    <n v="0"/>
    <x v="2"/>
    <x v="197"/>
    <n v="44"/>
    <x v="1"/>
    <n v="0"/>
    <n v="676"/>
    <n v="161"/>
    <n v="426"/>
    <n v="210"/>
    <n v="44"/>
    <n v="58"/>
    <n v="1575"/>
    <n v="2"/>
    <n v="2"/>
    <n v="5"/>
    <n v="5"/>
    <n v="12"/>
    <n v="6"/>
    <x v="0"/>
  </r>
  <r>
    <n v="2079"/>
    <n v="1947"/>
    <x v="4"/>
    <x v="2"/>
    <x v="2"/>
    <n v="81044"/>
    <x v="2"/>
    <n v="0"/>
    <n v="0"/>
    <x v="0"/>
    <x v="226"/>
    <n v="0"/>
    <x v="1"/>
    <n v="0"/>
    <n v="450"/>
    <n v="26"/>
    <n v="535"/>
    <n v="73"/>
    <n v="98"/>
    <n v="26"/>
    <n v="1208"/>
    <n v="1"/>
    <n v="5"/>
    <n v="6"/>
    <n v="10"/>
    <n v="21"/>
    <n v="1"/>
    <x v="1"/>
  </r>
  <r>
    <n v="626"/>
    <n v="1951"/>
    <x v="4"/>
    <x v="0"/>
    <x v="2"/>
    <n v="32871"/>
    <x v="3"/>
    <n v="1"/>
    <n v="1"/>
    <x v="1"/>
    <x v="652"/>
    <n v="28"/>
    <x v="1"/>
    <n v="0"/>
    <n v="22"/>
    <n v="2"/>
    <n v="12"/>
    <n v="0"/>
    <n v="2"/>
    <n v="5"/>
    <n v="43"/>
    <n v="1"/>
    <n v="1"/>
    <n v="0"/>
    <n v="3"/>
    <n v="4"/>
    <n v="4"/>
    <x v="0"/>
  </r>
  <r>
    <n v="4426"/>
    <n v="1975"/>
    <x v="3"/>
    <x v="0"/>
    <x v="0"/>
    <n v="55801"/>
    <x v="0"/>
    <n v="1"/>
    <n v="1"/>
    <x v="1"/>
    <x v="325"/>
    <n v="35"/>
    <x v="1"/>
    <n v="0"/>
    <n v="367"/>
    <n v="4"/>
    <n v="51"/>
    <n v="6"/>
    <n v="4"/>
    <n v="95"/>
    <n v="527"/>
    <n v="6"/>
    <n v="7"/>
    <n v="2"/>
    <n v="6"/>
    <n v="15"/>
    <n v="7"/>
    <x v="0"/>
  </r>
  <r>
    <n v="2591"/>
    <n v="1959"/>
    <x v="0"/>
    <x v="0"/>
    <x v="4"/>
    <n v="76320"/>
    <x v="2"/>
    <n v="0"/>
    <n v="1"/>
    <x v="2"/>
    <x v="511"/>
    <n v="49"/>
    <x v="0"/>
    <n v="0"/>
    <n v="526"/>
    <n v="35"/>
    <n v="214"/>
    <n v="69"/>
    <n v="53"/>
    <n v="35"/>
    <n v="932"/>
    <n v="2"/>
    <n v="6"/>
    <n v="3"/>
    <n v="4"/>
    <n v="13"/>
    <n v="2"/>
    <x v="0"/>
  </r>
  <r>
    <n v="10509"/>
    <n v="1955"/>
    <x v="0"/>
    <x v="2"/>
    <x v="0"/>
    <n v="36927"/>
    <x v="1"/>
    <n v="1"/>
    <n v="1"/>
    <x v="1"/>
    <x v="533"/>
    <n v="46"/>
    <x v="1"/>
    <n v="0"/>
    <n v="51"/>
    <n v="0"/>
    <n v="16"/>
    <n v="0"/>
    <n v="0"/>
    <n v="4"/>
    <n v="71"/>
    <n v="2"/>
    <n v="3"/>
    <n v="0"/>
    <n v="3"/>
    <n v="6"/>
    <n v="8"/>
    <x v="0"/>
  </r>
  <r>
    <n v="6382"/>
    <n v="1953"/>
    <x v="0"/>
    <x v="0"/>
    <x v="1"/>
    <n v="48794"/>
    <x v="1"/>
    <n v="1"/>
    <n v="1"/>
    <x v="1"/>
    <x v="213"/>
    <n v="97"/>
    <x v="0"/>
    <n v="0"/>
    <n v="25"/>
    <n v="0"/>
    <n v="11"/>
    <n v="3"/>
    <n v="0"/>
    <n v="15"/>
    <n v="54"/>
    <n v="1"/>
    <n v="1"/>
    <n v="0"/>
    <n v="3"/>
    <n v="4"/>
    <n v="4"/>
    <x v="0"/>
  </r>
  <r>
    <n v="6673"/>
    <n v="1965"/>
    <x v="1"/>
    <x v="0"/>
    <x v="0"/>
    <n v="23478"/>
    <x v="3"/>
    <n v="0"/>
    <n v="0"/>
    <x v="0"/>
    <x v="120"/>
    <n v="51"/>
    <x v="0"/>
    <n v="0"/>
    <n v="28"/>
    <n v="6"/>
    <n v="27"/>
    <n v="12"/>
    <n v="17"/>
    <n v="39"/>
    <n v="129"/>
    <n v="1"/>
    <n v="3"/>
    <n v="0"/>
    <n v="3"/>
    <n v="6"/>
    <n v="8"/>
    <x v="0"/>
  </r>
  <r>
    <n v="7441"/>
    <n v="1973"/>
    <x v="3"/>
    <x v="0"/>
    <x v="3"/>
    <n v="71128"/>
    <x v="2"/>
    <n v="1"/>
    <n v="0"/>
    <x v="2"/>
    <x v="581"/>
    <n v="80"/>
    <x v="0"/>
    <n v="0"/>
    <n v="958"/>
    <n v="159"/>
    <n v="447"/>
    <n v="20"/>
    <n v="0"/>
    <n v="31"/>
    <n v="1615"/>
    <n v="3"/>
    <n v="2"/>
    <n v="10"/>
    <n v="12"/>
    <n v="24"/>
    <n v="7"/>
    <x v="0"/>
  </r>
  <r>
    <n v="10061"/>
    <n v="1950"/>
    <x v="4"/>
    <x v="0"/>
    <x v="2"/>
    <n v="59462"/>
    <x v="0"/>
    <n v="0"/>
    <n v="1"/>
    <x v="2"/>
    <x v="180"/>
    <n v="29"/>
    <x v="1"/>
    <n v="0"/>
    <n v="724"/>
    <n v="17"/>
    <n v="143"/>
    <n v="0"/>
    <n v="8"/>
    <n v="196"/>
    <n v="1088"/>
    <n v="2"/>
    <n v="9"/>
    <n v="2"/>
    <n v="12"/>
    <n v="23"/>
    <n v="7"/>
    <x v="1"/>
  </r>
  <r>
    <n v="7187"/>
    <n v="1969"/>
    <x v="1"/>
    <x v="2"/>
    <x v="1"/>
    <m/>
    <x v="3"/>
    <n v="1"/>
    <n v="1"/>
    <x v="1"/>
    <x v="499"/>
    <n v="52"/>
    <x v="0"/>
    <n v="0"/>
    <n v="375"/>
    <n v="42"/>
    <n v="48"/>
    <n v="94"/>
    <n v="66"/>
    <n v="96"/>
    <n v="721"/>
    <n v="7"/>
    <n v="4"/>
    <n v="10"/>
    <n v="4"/>
    <n v="18"/>
    <n v="3"/>
    <x v="0"/>
  </r>
  <r>
    <n v="1612"/>
    <n v="1981"/>
    <x v="3"/>
    <x v="1"/>
    <x v="0"/>
    <m/>
    <x v="3"/>
    <n v="1"/>
    <n v="0"/>
    <x v="2"/>
    <x v="25"/>
    <n v="82"/>
    <x v="0"/>
    <n v="0"/>
    <n v="23"/>
    <n v="0"/>
    <n v="15"/>
    <n v="0"/>
    <n v="2"/>
    <n v="7"/>
    <n v="47"/>
    <n v="2"/>
    <n v="3"/>
    <n v="0"/>
    <n v="3"/>
    <n v="6"/>
    <n v="6"/>
    <x v="0"/>
  </r>
  <r>
    <n v="322"/>
    <n v="1978"/>
    <x v="3"/>
    <x v="0"/>
    <x v="1"/>
    <n v="42554"/>
    <x v="1"/>
    <n v="1"/>
    <n v="1"/>
    <x v="1"/>
    <x v="232"/>
    <n v="93"/>
    <x v="0"/>
    <n v="0"/>
    <n v="29"/>
    <n v="1"/>
    <n v="11"/>
    <n v="0"/>
    <n v="0"/>
    <n v="0"/>
    <n v="41"/>
    <n v="2"/>
    <n v="2"/>
    <n v="0"/>
    <n v="3"/>
    <n v="5"/>
    <n v="4"/>
    <x v="0"/>
  </r>
  <r>
    <n v="123"/>
    <n v="1951"/>
    <x v="4"/>
    <x v="0"/>
    <x v="4"/>
    <n v="67046"/>
    <x v="0"/>
    <n v="0"/>
    <n v="1"/>
    <x v="2"/>
    <x v="18"/>
    <n v="92"/>
    <x v="0"/>
    <n v="0"/>
    <n v="544"/>
    <n v="35"/>
    <n v="133"/>
    <n v="23"/>
    <n v="151"/>
    <n v="107"/>
    <n v="993"/>
    <n v="2"/>
    <n v="4"/>
    <n v="5"/>
    <n v="4"/>
    <n v="13"/>
    <n v="2"/>
    <x v="0"/>
  </r>
  <r>
    <n v="6103"/>
    <n v="1948"/>
    <x v="4"/>
    <x v="0"/>
    <x v="2"/>
    <n v="42192"/>
    <x v="1"/>
    <n v="0"/>
    <n v="0"/>
    <x v="0"/>
    <x v="638"/>
    <n v="40"/>
    <x v="1"/>
    <n v="0"/>
    <n v="40"/>
    <n v="15"/>
    <n v="15"/>
    <n v="17"/>
    <n v="6"/>
    <n v="7"/>
    <n v="100"/>
    <n v="1"/>
    <n v="2"/>
    <n v="1"/>
    <n v="3"/>
    <n v="6"/>
    <n v="4"/>
    <x v="0"/>
  </r>
  <r>
    <n v="7899"/>
    <n v="1952"/>
    <x v="4"/>
    <x v="1"/>
    <x v="2"/>
    <n v="77610"/>
    <x v="2"/>
    <n v="0"/>
    <n v="1"/>
    <x v="2"/>
    <x v="29"/>
    <n v="70"/>
    <x v="0"/>
    <n v="0"/>
    <n v="1245"/>
    <n v="33"/>
    <n v="332"/>
    <n v="21"/>
    <n v="33"/>
    <n v="16"/>
    <n v="1680"/>
    <n v="2"/>
    <n v="4"/>
    <n v="7"/>
    <n v="4"/>
    <n v="15"/>
    <n v="7"/>
    <x v="0"/>
  </r>
  <r>
    <n v="10500"/>
    <n v="1984"/>
    <x v="2"/>
    <x v="0"/>
    <x v="2"/>
    <n v="31761"/>
    <x v="3"/>
    <n v="1"/>
    <n v="0"/>
    <x v="2"/>
    <x v="306"/>
    <n v="96"/>
    <x v="0"/>
    <n v="0"/>
    <n v="19"/>
    <n v="1"/>
    <n v="20"/>
    <n v="16"/>
    <n v="14"/>
    <n v="28"/>
    <n v="98"/>
    <n v="2"/>
    <n v="3"/>
    <n v="0"/>
    <n v="4"/>
    <n v="7"/>
    <n v="5"/>
    <x v="0"/>
  </r>
  <r>
    <n v="1655"/>
    <n v="1979"/>
    <x v="3"/>
    <x v="0"/>
    <x v="1"/>
    <n v="34350"/>
    <x v="3"/>
    <n v="1"/>
    <n v="0"/>
    <x v="2"/>
    <x v="388"/>
    <n v="81"/>
    <x v="0"/>
    <n v="0"/>
    <n v="16"/>
    <n v="3"/>
    <n v="15"/>
    <n v="2"/>
    <n v="1"/>
    <n v="11"/>
    <n v="48"/>
    <n v="1"/>
    <n v="1"/>
    <n v="0"/>
    <n v="3"/>
    <n v="4"/>
    <n v="7"/>
    <x v="0"/>
  </r>
  <r>
    <n v="2406"/>
    <n v="1949"/>
    <x v="4"/>
    <x v="0"/>
    <x v="1"/>
    <n v="54591"/>
    <x v="0"/>
    <n v="0"/>
    <n v="1"/>
    <x v="2"/>
    <x v="479"/>
    <n v="63"/>
    <x v="0"/>
    <n v="0"/>
    <n v="376"/>
    <n v="4"/>
    <n v="94"/>
    <n v="12"/>
    <n v="9"/>
    <n v="24"/>
    <n v="519"/>
    <n v="3"/>
    <n v="6"/>
    <n v="2"/>
    <n v="8"/>
    <n v="16"/>
    <n v="5"/>
    <x v="0"/>
  </r>
  <r>
    <n v="2712"/>
    <n v="1956"/>
    <x v="0"/>
    <x v="0"/>
    <x v="2"/>
    <n v="71866"/>
    <x v="2"/>
    <n v="0"/>
    <n v="1"/>
    <x v="2"/>
    <x v="414"/>
    <n v="85"/>
    <x v="0"/>
    <n v="0"/>
    <n v="184"/>
    <n v="178"/>
    <n v="178"/>
    <n v="103"/>
    <n v="39"/>
    <n v="33"/>
    <n v="715"/>
    <n v="1"/>
    <n v="6"/>
    <n v="3"/>
    <n v="10"/>
    <n v="19"/>
    <n v="3"/>
    <x v="0"/>
  </r>
  <r>
    <n v="2254"/>
    <n v="1983"/>
    <x v="2"/>
    <x v="0"/>
    <x v="2"/>
    <n v="69520"/>
    <x v="2"/>
    <n v="0"/>
    <n v="0"/>
    <x v="0"/>
    <x v="114"/>
    <n v="95"/>
    <x v="0"/>
    <n v="0"/>
    <n v="627"/>
    <n v="120"/>
    <n v="414"/>
    <n v="121"/>
    <n v="80"/>
    <n v="93"/>
    <n v="1455"/>
    <n v="1"/>
    <n v="9"/>
    <n v="6"/>
    <n v="5"/>
    <n v="20"/>
    <n v="5"/>
    <x v="0"/>
  </r>
  <r>
    <n v="10281"/>
    <n v="1970"/>
    <x v="1"/>
    <x v="0"/>
    <x v="3"/>
    <n v="64713"/>
    <x v="0"/>
    <n v="1"/>
    <n v="0"/>
    <x v="2"/>
    <x v="372"/>
    <n v="11"/>
    <x v="1"/>
    <n v="0"/>
    <n v="180"/>
    <n v="60"/>
    <n v="241"/>
    <n v="13"/>
    <n v="54"/>
    <n v="54"/>
    <n v="602"/>
    <n v="2"/>
    <n v="5"/>
    <n v="5"/>
    <n v="7"/>
    <n v="17"/>
    <n v="4"/>
    <x v="0"/>
  </r>
  <r>
    <n v="6958"/>
    <n v="1977"/>
    <x v="3"/>
    <x v="2"/>
    <x v="2"/>
    <n v="27889"/>
    <x v="3"/>
    <n v="1"/>
    <n v="0"/>
    <x v="2"/>
    <x v="249"/>
    <n v="42"/>
    <x v="1"/>
    <n v="0"/>
    <n v="14"/>
    <n v="0"/>
    <n v="4"/>
    <n v="0"/>
    <n v="0"/>
    <n v="8"/>
    <n v="26"/>
    <n v="1"/>
    <n v="1"/>
    <n v="1"/>
    <n v="2"/>
    <n v="4"/>
    <n v="6"/>
    <x v="0"/>
  </r>
  <r>
    <n v="954"/>
    <n v="1960"/>
    <x v="0"/>
    <x v="3"/>
    <x v="4"/>
    <n v="22123"/>
    <x v="3"/>
    <n v="0"/>
    <n v="0"/>
    <x v="0"/>
    <x v="653"/>
    <n v="77"/>
    <x v="0"/>
    <n v="0"/>
    <n v="3"/>
    <n v="3"/>
    <n v="24"/>
    <n v="34"/>
    <n v="7"/>
    <n v="31"/>
    <n v="102"/>
    <n v="1"/>
    <n v="2"/>
    <n v="1"/>
    <n v="3"/>
    <n v="6"/>
    <n v="5"/>
    <x v="0"/>
  </r>
  <r>
    <n v="5079"/>
    <n v="1971"/>
    <x v="1"/>
    <x v="0"/>
    <x v="2"/>
    <m/>
    <x v="3"/>
    <n v="1"/>
    <n v="1"/>
    <x v="1"/>
    <x v="261"/>
    <n v="82"/>
    <x v="0"/>
    <n v="0"/>
    <n v="71"/>
    <n v="1"/>
    <n v="16"/>
    <n v="0"/>
    <n v="0"/>
    <n v="9"/>
    <n v="97"/>
    <n v="4"/>
    <n v="2"/>
    <n v="1"/>
    <n v="3"/>
    <n v="6"/>
    <n v="8"/>
    <x v="0"/>
  </r>
  <r>
    <n v="10339"/>
    <n v="1954"/>
    <x v="0"/>
    <x v="2"/>
    <x v="1"/>
    <m/>
    <x v="3"/>
    <n v="0"/>
    <n v="1"/>
    <x v="2"/>
    <x v="73"/>
    <n v="83"/>
    <x v="0"/>
    <n v="0"/>
    <n v="161"/>
    <n v="0"/>
    <n v="22"/>
    <n v="0"/>
    <n v="0"/>
    <n v="24"/>
    <n v="207"/>
    <n v="2"/>
    <n v="4"/>
    <n v="1"/>
    <n v="4"/>
    <n v="9"/>
    <n v="6"/>
    <x v="0"/>
  </r>
  <r>
    <n v="4643"/>
    <n v="1973"/>
    <x v="3"/>
    <x v="0"/>
    <x v="2"/>
    <n v="27803"/>
    <x v="3"/>
    <n v="1"/>
    <n v="0"/>
    <x v="2"/>
    <x v="548"/>
    <n v="40"/>
    <x v="1"/>
    <n v="0"/>
    <n v="8"/>
    <n v="26"/>
    <n v="46"/>
    <n v="38"/>
    <n v="9"/>
    <n v="49"/>
    <n v="176"/>
    <n v="2"/>
    <n v="3"/>
    <n v="0"/>
    <n v="4"/>
    <n v="7"/>
    <n v="8"/>
    <x v="0"/>
  </r>
  <r>
    <n v="3117"/>
    <n v="1955"/>
    <x v="0"/>
    <x v="0"/>
    <x v="0"/>
    <m/>
    <x v="3"/>
    <n v="0"/>
    <n v="1"/>
    <x v="2"/>
    <x v="422"/>
    <n v="95"/>
    <x v="0"/>
    <n v="0"/>
    <n v="264"/>
    <n v="0"/>
    <n v="21"/>
    <n v="12"/>
    <n v="6"/>
    <n v="147"/>
    <n v="450"/>
    <n v="3"/>
    <n v="6"/>
    <n v="1"/>
    <n v="5"/>
    <n v="12"/>
    <n v="7"/>
    <x v="0"/>
  </r>
  <r>
    <n v="6497"/>
    <n v="1960"/>
    <x v="0"/>
    <x v="0"/>
    <x v="2"/>
    <n v="51651"/>
    <x v="0"/>
    <n v="0"/>
    <n v="1"/>
    <x v="2"/>
    <x v="347"/>
    <n v="32"/>
    <x v="1"/>
    <n v="0"/>
    <n v="293"/>
    <n v="6"/>
    <n v="23"/>
    <n v="13"/>
    <n v="6"/>
    <n v="92"/>
    <n v="433"/>
    <n v="4"/>
    <n v="6"/>
    <n v="2"/>
    <n v="5"/>
    <n v="13"/>
    <n v="8"/>
    <x v="0"/>
  </r>
  <r>
    <n v="5250"/>
    <n v="1943"/>
    <x v="4"/>
    <x v="2"/>
    <x v="4"/>
    <m/>
    <x v="3"/>
    <n v="0"/>
    <n v="0"/>
    <x v="0"/>
    <x v="338"/>
    <n v="75"/>
    <x v="0"/>
    <n v="0"/>
    <n v="532"/>
    <n v="126"/>
    <n v="490"/>
    <n v="164"/>
    <n v="126"/>
    <n v="126"/>
    <n v="1564"/>
    <n v="1"/>
    <n v="5"/>
    <n v="5"/>
    <n v="11"/>
    <n v="21"/>
    <n v="1"/>
    <x v="0"/>
  </r>
  <r>
    <n v="2802"/>
    <n v="1992"/>
    <x v="2"/>
    <x v="2"/>
    <x v="2"/>
    <n v="87000"/>
    <x v="2"/>
    <n v="0"/>
    <n v="0"/>
    <x v="0"/>
    <x v="654"/>
    <n v="61"/>
    <x v="0"/>
    <n v="0"/>
    <n v="196"/>
    <n v="25"/>
    <n v="607"/>
    <n v="67"/>
    <n v="17"/>
    <n v="49"/>
    <n v="961"/>
    <n v="1"/>
    <n v="4"/>
    <n v="6"/>
    <n v="7"/>
    <n v="17"/>
    <n v="2"/>
    <x v="0"/>
  </r>
  <r>
    <n v="6343"/>
    <n v="1959"/>
    <x v="0"/>
    <x v="0"/>
    <x v="2"/>
    <n v="79823"/>
    <x v="2"/>
    <n v="0"/>
    <n v="1"/>
    <x v="2"/>
    <x v="161"/>
    <n v="6"/>
    <x v="1"/>
    <n v="0"/>
    <n v="835"/>
    <n v="73"/>
    <n v="380"/>
    <n v="114"/>
    <n v="73"/>
    <n v="43"/>
    <n v="1518"/>
    <n v="1"/>
    <n v="6"/>
    <n v="9"/>
    <n v="7"/>
    <n v="22"/>
    <n v="2"/>
    <x v="1"/>
  </r>
  <r>
    <n v="6507"/>
    <n v="1980"/>
    <x v="3"/>
    <x v="0"/>
    <x v="0"/>
    <n v="30828"/>
    <x v="3"/>
    <n v="1"/>
    <n v="0"/>
    <x v="2"/>
    <x v="191"/>
    <n v="16"/>
    <x v="1"/>
    <n v="0"/>
    <n v="16"/>
    <n v="11"/>
    <n v="15"/>
    <n v="2"/>
    <n v="0"/>
    <n v="12"/>
    <n v="56"/>
    <n v="2"/>
    <n v="1"/>
    <n v="1"/>
    <n v="4"/>
    <n v="6"/>
    <n v="3"/>
    <x v="0"/>
  </r>
  <r>
    <n v="7901"/>
    <n v="1971"/>
    <x v="1"/>
    <x v="2"/>
    <x v="2"/>
    <n v="34109"/>
    <x v="3"/>
    <n v="0"/>
    <n v="1"/>
    <x v="2"/>
    <x v="373"/>
    <n v="39"/>
    <x v="1"/>
    <n v="0"/>
    <n v="9"/>
    <n v="1"/>
    <n v="5"/>
    <n v="2"/>
    <n v="1"/>
    <n v="4"/>
    <n v="22"/>
    <n v="1"/>
    <n v="0"/>
    <n v="0"/>
    <n v="3"/>
    <n v="3"/>
    <n v="4"/>
    <x v="0"/>
  </r>
  <r>
    <n v="4865"/>
    <n v="1974"/>
    <x v="3"/>
    <x v="2"/>
    <x v="3"/>
    <n v="53367"/>
    <x v="0"/>
    <n v="1"/>
    <n v="1"/>
    <x v="1"/>
    <x v="176"/>
    <n v="2"/>
    <x v="1"/>
    <n v="0"/>
    <n v="229"/>
    <n v="7"/>
    <n v="140"/>
    <n v="10"/>
    <n v="3"/>
    <n v="11"/>
    <n v="400"/>
    <n v="7"/>
    <n v="5"/>
    <n v="1"/>
    <n v="8"/>
    <n v="14"/>
    <n v="7"/>
    <x v="0"/>
  </r>
  <r>
    <n v="2686"/>
    <n v="1969"/>
    <x v="1"/>
    <x v="3"/>
    <x v="1"/>
    <n v="22390"/>
    <x v="3"/>
    <n v="0"/>
    <n v="0"/>
    <x v="0"/>
    <x v="413"/>
    <n v="49"/>
    <x v="0"/>
    <n v="0"/>
    <n v="0"/>
    <n v="1"/>
    <n v="4"/>
    <n v="15"/>
    <n v="1"/>
    <n v="5"/>
    <n v="26"/>
    <n v="1"/>
    <n v="1"/>
    <n v="0"/>
    <n v="2"/>
    <n v="3"/>
    <n v="7"/>
    <x v="0"/>
  </r>
  <r>
    <n v="3107"/>
    <n v="1976"/>
    <x v="3"/>
    <x v="0"/>
    <x v="1"/>
    <n v="71322"/>
    <x v="2"/>
    <n v="0"/>
    <n v="1"/>
    <x v="2"/>
    <x v="453"/>
    <n v="31"/>
    <x v="1"/>
    <n v="0"/>
    <n v="121"/>
    <n v="24"/>
    <n v="124"/>
    <n v="24"/>
    <n v="15"/>
    <n v="42"/>
    <n v="350"/>
    <n v="1"/>
    <n v="4"/>
    <n v="1"/>
    <n v="7"/>
    <n v="12"/>
    <n v="2"/>
    <x v="0"/>
  </r>
  <r>
    <n v="7734"/>
    <n v="1993"/>
    <x v="2"/>
    <x v="0"/>
    <x v="0"/>
    <n v="79244"/>
    <x v="2"/>
    <n v="0"/>
    <n v="0"/>
    <x v="0"/>
    <x v="68"/>
    <n v="58"/>
    <x v="0"/>
    <n v="0"/>
    <n v="471"/>
    <n v="102"/>
    <n v="125"/>
    <n v="212"/>
    <n v="61"/>
    <n v="245"/>
    <n v="1216"/>
    <n v="1"/>
    <n v="4"/>
    <n v="10"/>
    <n v="7"/>
    <n v="21"/>
    <n v="1"/>
    <x v="0"/>
  </r>
  <r>
    <n v="11031"/>
    <n v="1950"/>
    <x v="4"/>
    <x v="1"/>
    <x v="2"/>
    <n v="48699"/>
    <x v="1"/>
    <n v="1"/>
    <n v="1"/>
    <x v="1"/>
    <x v="58"/>
    <n v="90"/>
    <x v="0"/>
    <n v="0"/>
    <n v="26"/>
    <n v="1"/>
    <n v="10"/>
    <n v="2"/>
    <n v="0"/>
    <n v="1"/>
    <n v="40"/>
    <n v="1"/>
    <n v="1"/>
    <n v="0"/>
    <n v="3"/>
    <n v="4"/>
    <n v="5"/>
    <x v="0"/>
  </r>
  <r>
    <n v="7428"/>
    <n v="1975"/>
    <x v="3"/>
    <x v="0"/>
    <x v="1"/>
    <n v="80144"/>
    <x v="2"/>
    <n v="0"/>
    <n v="0"/>
    <x v="0"/>
    <x v="111"/>
    <n v="47"/>
    <x v="1"/>
    <n v="0"/>
    <n v="240"/>
    <n v="132"/>
    <n v="445"/>
    <n v="250"/>
    <n v="192"/>
    <n v="108"/>
    <n v="1367"/>
    <n v="1"/>
    <n v="3"/>
    <n v="7"/>
    <n v="8"/>
    <n v="18"/>
    <n v="1"/>
    <x v="1"/>
  </r>
  <r>
    <n v="975"/>
    <n v="1956"/>
    <x v="0"/>
    <x v="0"/>
    <x v="0"/>
    <n v="54252"/>
    <x v="0"/>
    <n v="1"/>
    <n v="1"/>
    <x v="1"/>
    <x v="505"/>
    <n v="25"/>
    <x v="1"/>
    <n v="0"/>
    <n v="178"/>
    <n v="4"/>
    <n v="26"/>
    <n v="8"/>
    <n v="4"/>
    <n v="44"/>
    <n v="264"/>
    <n v="5"/>
    <n v="4"/>
    <n v="1"/>
    <n v="5"/>
    <n v="10"/>
    <n v="6"/>
    <x v="0"/>
  </r>
  <r>
    <n v="1103"/>
    <n v="1976"/>
    <x v="3"/>
    <x v="2"/>
    <x v="2"/>
    <n v="81929"/>
    <x v="2"/>
    <n v="1"/>
    <n v="0"/>
    <x v="2"/>
    <x v="483"/>
    <n v="60"/>
    <x v="0"/>
    <n v="0"/>
    <n v="1486"/>
    <n v="55"/>
    <n v="278"/>
    <n v="49"/>
    <n v="0"/>
    <n v="185"/>
    <n v="2053"/>
    <n v="2"/>
    <n v="4"/>
    <n v="4"/>
    <n v="10"/>
    <n v="18"/>
    <n v="6"/>
    <x v="0"/>
  </r>
  <r>
    <n v="3422"/>
    <n v="1975"/>
    <x v="3"/>
    <x v="0"/>
    <x v="2"/>
    <n v="76068"/>
    <x v="2"/>
    <n v="0"/>
    <n v="1"/>
    <x v="2"/>
    <x v="480"/>
    <n v="67"/>
    <x v="0"/>
    <n v="0"/>
    <n v="1115"/>
    <n v="12"/>
    <n v="128"/>
    <n v="33"/>
    <n v="12"/>
    <n v="76"/>
    <n v="1376"/>
    <n v="1"/>
    <n v="2"/>
    <n v="3"/>
    <n v="4"/>
    <n v="9"/>
    <n v="6"/>
    <x v="0"/>
  </r>
  <r>
    <n v="1055"/>
    <n v="1976"/>
    <x v="3"/>
    <x v="2"/>
    <x v="2"/>
    <n v="53204"/>
    <x v="0"/>
    <n v="1"/>
    <n v="1"/>
    <x v="1"/>
    <x v="216"/>
    <n v="40"/>
    <x v="1"/>
    <n v="0"/>
    <n v="29"/>
    <n v="0"/>
    <n v="8"/>
    <n v="2"/>
    <n v="0"/>
    <n v="6"/>
    <n v="45"/>
    <n v="1"/>
    <n v="1"/>
    <n v="0"/>
    <n v="3"/>
    <n v="4"/>
    <n v="4"/>
    <x v="0"/>
  </r>
  <r>
    <n v="1241"/>
    <n v="1984"/>
    <x v="2"/>
    <x v="2"/>
    <x v="2"/>
    <n v="14796"/>
    <x v="3"/>
    <n v="1"/>
    <n v="0"/>
    <x v="2"/>
    <x v="655"/>
    <n v="1"/>
    <x v="1"/>
    <n v="0"/>
    <n v="13"/>
    <n v="3"/>
    <n v="8"/>
    <n v="7"/>
    <n v="4"/>
    <n v="16"/>
    <n v="51"/>
    <n v="2"/>
    <n v="1"/>
    <n v="0"/>
    <n v="3"/>
    <n v="4"/>
    <n v="9"/>
    <x v="0"/>
  </r>
  <r>
    <n v="2909"/>
    <n v="1974"/>
    <x v="3"/>
    <x v="1"/>
    <x v="2"/>
    <n v="78128"/>
    <x v="2"/>
    <n v="0"/>
    <n v="1"/>
    <x v="2"/>
    <x v="567"/>
    <n v="89"/>
    <x v="0"/>
    <n v="0"/>
    <n v="934"/>
    <n v="24"/>
    <n v="230"/>
    <n v="16"/>
    <n v="24"/>
    <n v="36"/>
    <n v="1264"/>
    <n v="2"/>
    <n v="8"/>
    <n v="4"/>
    <n v="6"/>
    <n v="18"/>
    <n v="3"/>
    <x v="0"/>
  </r>
  <r>
    <n v="5802"/>
    <n v="1972"/>
    <x v="1"/>
    <x v="3"/>
    <x v="2"/>
    <n v="14188"/>
    <x v="3"/>
    <n v="0"/>
    <n v="0"/>
    <x v="0"/>
    <x v="452"/>
    <n v="40"/>
    <x v="1"/>
    <n v="0"/>
    <n v="2"/>
    <n v="7"/>
    <n v="11"/>
    <n v="16"/>
    <n v="12"/>
    <n v="27"/>
    <n v="75"/>
    <n v="1"/>
    <n v="2"/>
    <n v="0"/>
    <n v="4"/>
    <n v="6"/>
    <n v="6"/>
    <x v="0"/>
  </r>
  <r>
    <n v="340"/>
    <n v="1970"/>
    <x v="1"/>
    <x v="0"/>
    <x v="3"/>
    <n v="72967"/>
    <x v="2"/>
    <n v="0"/>
    <n v="1"/>
    <x v="2"/>
    <x v="654"/>
    <n v="1"/>
    <x v="1"/>
    <n v="0"/>
    <n v="158"/>
    <n v="35"/>
    <n v="179"/>
    <n v="0"/>
    <n v="0"/>
    <n v="125"/>
    <n v="497"/>
    <n v="2"/>
    <n v="7"/>
    <n v="2"/>
    <n v="8"/>
    <n v="17"/>
    <n v="5"/>
    <x v="0"/>
  </r>
  <r>
    <n v="5991"/>
    <n v="1949"/>
    <x v="4"/>
    <x v="2"/>
    <x v="2"/>
    <n v="48150"/>
    <x v="1"/>
    <n v="0"/>
    <n v="1"/>
    <x v="2"/>
    <x v="563"/>
    <n v="24"/>
    <x v="1"/>
    <n v="0"/>
    <n v="173"/>
    <n v="2"/>
    <n v="39"/>
    <n v="3"/>
    <n v="2"/>
    <n v="47"/>
    <n v="266"/>
    <n v="3"/>
    <n v="5"/>
    <n v="1"/>
    <n v="4"/>
    <n v="10"/>
    <n v="7"/>
    <x v="0"/>
  </r>
  <r>
    <n v="3104"/>
    <n v="1961"/>
    <x v="0"/>
    <x v="0"/>
    <x v="0"/>
    <n v="82332"/>
    <x v="2"/>
    <n v="0"/>
    <n v="0"/>
    <x v="0"/>
    <x v="655"/>
    <n v="89"/>
    <x v="0"/>
    <n v="0"/>
    <n v="830"/>
    <n v="59"/>
    <n v="968"/>
    <n v="51"/>
    <n v="79"/>
    <n v="19"/>
    <n v="2006"/>
    <n v="1"/>
    <n v="5"/>
    <n v="3"/>
    <n v="12"/>
    <n v="20"/>
    <n v="2"/>
    <x v="0"/>
  </r>
  <r>
    <n v="9729"/>
    <n v="1955"/>
    <x v="0"/>
    <x v="0"/>
    <x v="4"/>
    <n v="58275"/>
    <x v="0"/>
    <n v="1"/>
    <n v="1"/>
    <x v="1"/>
    <x v="656"/>
    <n v="48"/>
    <x v="1"/>
    <n v="0"/>
    <n v="189"/>
    <n v="10"/>
    <n v="253"/>
    <n v="56"/>
    <n v="43"/>
    <n v="64"/>
    <n v="615"/>
    <n v="6"/>
    <n v="8"/>
    <n v="2"/>
    <n v="7"/>
    <n v="17"/>
    <n v="7"/>
    <x v="1"/>
  </r>
  <r>
    <n v="1008"/>
    <n v="1981"/>
    <x v="3"/>
    <x v="1"/>
    <x v="1"/>
    <n v="44953"/>
    <x v="1"/>
    <n v="0"/>
    <n v="0"/>
    <x v="0"/>
    <x v="657"/>
    <n v="31"/>
    <x v="1"/>
    <n v="0"/>
    <n v="728"/>
    <n v="17"/>
    <n v="133"/>
    <n v="11"/>
    <n v="8"/>
    <n v="124"/>
    <n v="1021"/>
    <n v="1"/>
    <n v="7"/>
    <n v="3"/>
    <n v="13"/>
    <n v="23"/>
    <n v="6"/>
    <x v="0"/>
  </r>
  <r>
    <n v="11091"/>
    <n v="1953"/>
    <x v="0"/>
    <x v="0"/>
    <x v="1"/>
    <n v="34587"/>
    <x v="3"/>
    <n v="1"/>
    <n v="1"/>
    <x v="1"/>
    <x v="426"/>
    <n v="68"/>
    <x v="0"/>
    <n v="0"/>
    <n v="7"/>
    <n v="2"/>
    <n v="9"/>
    <n v="2"/>
    <n v="0"/>
    <n v="2"/>
    <n v="22"/>
    <n v="2"/>
    <n v="1"/>
    <n v="0"/>
    <n v="3"/>
    <n v="4"/>
    <n v="4"/>
    <x v="0"/>
  </r>
  <r>
    <n v="3969"/>
    <n v="1974"/>
    <x v="3"/>
    <x v="2"/>
    <x v="1"/>
    <n v="43018"/>
    <x v="1"/>
    <n v="0"/>
    <n v="1"/>
    <x v="2"/>
    <x v="658"/>
    <n v="46"/>
    <x v="1"/>
    <n v="0"/>
    <n v="35"/>
    <n v="4"/>
    <n v="17"/>
    <n v="7"/>
    <n v="6"/>
    <n v="64"/>
    <n v="133"/>
    <n v="1"/>
    <n v="2"/>
    <n v="2"/>
    <n v="2"/>
    <n v="6"/>
    <n v="5"/>
    <x v="0"/>
  </r>
  <r>
    <n v="1916"/>
    <n v="1954"/>
    <x v="0"/>
    <x v="2"/>
    <x v="2"/>
    <n v="45736"/>
    <x v="1"/>
    <n v="0"/>
    <n v="1"/>
    <x v="2"/>
    <x v="616"/>
    <n v="92"/>
    <x v="0"/>
    <n v="0"/>
    <n v="188"/>
    <n v="3"/>
    <n v="180"/>
    <n v="20"/>
    <n v="3"/>
    <n v="43"/>
    <n v="437"/>
    <n v="5"/>
    <n v="7"/>
    <n v="1"/>
    <n v="6"/>
    <n v="14"/>
    <n v="7"/>
    <x v="0"/>
  </r>
  <r>
    <n v="9907"/>
    <n v="1969"/>
    <x v="1"/>
    <x v="2"/>
    <x v="1"/>
    <n v="66476"/>
    <x v="0"/>
    <n v="0"/>
    <n v="1"/>
    <x v="2"/>
    <x v="190"/>
    <n v="80"/>
    <x v="0"/>
    <n v="0"/>
    <n v="742"/>
    <n v="28"/>
    <n v="152"/>
    <n v="25"/>
    <n v="9"/>
    <n v="57"/>
    <n v="1013"/>
    <n v="2"/>
    <n v="6"/>
    <n v="8"/>
    <n v="10"/>
    <n v="24"/>
    <n v="4"/>
    <x v="0"/>
  </r>
  <r>
    <n v="87"/>
    <n v="1981"/>
    <x v="3"/>
    <x v="2"/>
    <x v="2"/>
    <n v="27733"/>
    <x v="3"/>
    <n v="1"/>
    <n v="0"/>
    <x v="2"/>
    <x v="572"/>
    <n v="16"/>
    <x v="1"/>
    <n v="0"/>
    <n v="0"/>
    <n v="7"/>
    <n v="5"/>
    <n v="26"/>
    <n v="2"/>
    <n v="17"/>
    <n v="57"/>
    <n v="2"/>
    <n v="2"/>
    <n v="0"/>
    <n v="3"/>
    <n v="5"/>
    <n v="7"/>
    <x v="0"/>
  </r>
  <r>
    <n v="8659"/>
    <n v="1952"/>
    <x v="4"/>
    <x v="1"/>
    <x v="1"/>
    <n v="69805"/>
    <x v="2"/>
    <n v="0"/>
    <n v="1"/>
    <x v="2"/>
    <x v="79"/>
    <n v="50"/>
    <x v="0"/>
    <n v="0"/>
    <n v="750"/>
    <n v="71"/>
    <n v="174"/>
    <n v="13"/>
    <n v="10"/>
    <n v="20"/>
    <n v="1038"/>
    <n v="2"/>
    <n v="6"/>
    <n v="8"/>
    <n v="11"/>
    <n v="25"/>
    <n v="2"/>
    <x v="0"/>
  </r>
  <r>
    <n v="6262"/>
    <n v="1962"/>
    <x v="0"/>
    <x v="2"/>
    <x v="0"/>
    <n v="72217"/>
    <x v="2"/>
    <n v="0"/>
    <n v="0"/>
    <x v="0"/>
    <x v="435"/>
    <n v="93"/>
    <x v="0"/>
    <n v="0"/>
    <n v="816"/>
    <n v="42"/>
    <n v="450"/>
    <n v="55"/>
    <n v="56"/>
    <n v="154"/>
    <n v="1573"/>
    <n v="1"/>
    <n v="3"/>
    <n v="10"/>
    <n v="8"/>
    <n v="21"/>
    <n v="2"/>
    <x v="0"/>
  </r>
  <r>
    <n v="6147"/>
    <n v="1971"/>
    <x v="1"/>
    <x v="0"/>
    <x v="3"/>
    <n v="25818"/>
    <x v="3"/>
    <n v="1"/>
    <n v="0"/>
    <x v="2"/>
    <x v="121"/>
    <n v="51"/>
    <x v="0"/>
    <n v="0"/>
    <n v="5"/>
    <n v="2"/>
    <n v="8"/>
    <n v="2"/>
    <n v="2"/>
    <n v="9"/>
    <n v="28"/>
    <n v="1"/>
    <n v="0"/>
    <n v="1"/>
    <n v="2"/>
    <n v="3"/>
    <n v="7"/>
    <x v="0"/>
  </r>
  <r>
    <n v="8832"/>
    <n v="1976"/>
    <x v="3"/>
    <x v="2"/>
    <x v="1"/>
    <n v="37509"/>
    <x v="1"/>
    <n v="1"/>
    <n v="0"/>
    <x v="2"/>
    <x v="144"/>
    <n v="24"/>
    <x v="1"/>
    <n v="0"/>
    <n v="37"/>
    <n v="5"/>
    <n v="56"/>
    <n v="12"/>
    <n v="8"/>
    <n v="5"/>
    <n v="123"/>
    <n v="2"/>
    <n v="3"/>
    <n v="0"/>
    <n v="4"/>
    <n v="7"/>
    <n v="7"/>
    <x v="0"/>
  </r>
  <r>
    <n v="10067"/>
    <n v="1976"/>
    <x v="3"/>
    <x v="2"/>
    <x v="1"/>
    <n v="25176"/>
    <x v="3"/>
    <n v="1"/>
    <n v="1"/>
    <x v="1"/>
    <x v="659"/>
    <n v="79"/>
    <x v="0"/>
    <n v="0"/>
    <n v="4"/>
    <n v="0"/>
    <n v="4"/>
    <n v="0"/>
    <n v="0"/>
    <n v="5"/>
    <n v="13"/>
    <n v="1"/>
    <n v="1"/>
    <n v="0"/>
    <n v="2"/>
    <n v="3"/>
    <n v="7"/>
    <x v="0"/>
  </r>
  <r>
    <n v="7532"/>
    <n v="1980"/>
    <x v="3"/>
    <x v="0"/>
    <x v="2"/>
    <n v="43586"/>
    <x v="1"/>
    <n v="0"/>
    <n v="1"/>
    <x v="2"/>
    <x v="287"/>
    <n v="26"/>
    <x v="1"/>
    <n v="0"/>
    <n v="99"/>
    <n v="2"/>
    <n v="11"/>
    <n v="4"/>
    <n v="0"/>
    <n v="16"/>
    <n v="132"/>
    <n v="3"/>
    <n v="3"/>
    <n v="0"/>
    <n v="4"/>
    <n v="7"/>
    <n v="8"/>
    <x v="0"/>
  </r>
  <r>
    <n v="4915"/>
    <n v="1956"/>
    <x v="0"/>
    <x v="2"/>
    <x v="2"/>
    <n v="53230"/>
    <x v="0"/>
    <n v="0"/>
    <n v="1"/>
    <x v="2"/>
    <x v="411"/>
    <n v="86"/>
    <x v="0"/>
    <n v="0"/>
    <n v="176"/>
    <n v="72"/>
    <n v="98"/>
    <n v="136"/>
    <n v="21"/>
    <n v="229"/>
    <n v="732"/>
    <n v="4"/>
    <n v="5"/>
    <n v="2"/>
    <n v="12"/>
    <n v="19"/>
    <n v="5"/>
    <x v="0"/>
  </r>
  <r>
    <n v="2115"/>
    <n v="1957"/>
    <x v="0"/>
    <x v="0"/>
    <x v="1"/>
    <n v="50116"/>
    <x v="1"/>
    <n v="1"/>
    <n v="1"/>
    <x v="1"/>
    <x v="645"/>
    <n v="68"/>
    <x v="0"/>
    <n v="0"/>
    <n v="54"/>
    <n v="0"/>
    <n v="10"/>
    <n v="0"/>
    <n v="0"/>
    <n v="2"/>
    <n v="66"/>
    <n v="2"/>
    <n v="1"/>
    <n v="0"/>
    <n v="4"/>
    <n v="5"/>
    <n v="5"/>
    <x v="0"/>
  </r>
  <r>
    <n v="6292"/>
    <n v="1986"/>
    <x v="2"/>
    <x v="1"/>
    <x v="2"/>
    <n v="82333"/>
    <x v="2"/>
    <n v="0"/>
    <n v="0"/>
    <x v="0"/>
    <x v="298"/>
    <n v="60"/>
    <x v="0"/>
    <n v="0"/>
    <n v="1311"/>
    <n v="0"/>
    <n v="359"/>
    <n v="46"/>
    <n v="89"/>
    <n v="17"/>
    <n v="1822"/>
    <n v="1"/>
    <n v="4"/>
    <n v="3"/>
    <n v="10"/>
    <n v="17"/>
    <n v="2"/>
    <x v="0"/>
  </r>
  <r>
    <n v="1631"/>
    <n v="1965"/>
    <x v="1"/>
    <x v="1"/>
    <x v="1"/>
    <n v="65220"/>
    <x v="0"/>
    <n v="0"/>
    <n v="0"/>
    <x v="0"/>
    <x v="576"/>
    <n v="3"/>
    <x v="1"/>
    <n v="0"/>
    <n v="890"/>
    <n v="63"/>
    <n v="292"/>
    <n v="0"/>
    <n v="25"/>
    <n v="12"/>
    <n v="1282"/>
    <n v="4"/>
    <n v="8"/>
    <n v="4"/>
    <n v="7"/>
    <n v="19"/>
    <n v="6"/>
    <x v="1"/>
  </r>
  <r>
    <n v="10104"/>
    <n v="1974"/>
    <x v="3"/>
    <x v="0"/>
    <x v="1"/>
    <n v="33590"/>
    <x v="3"/>
    <n v="2"/>
    <n v="1"/>
    <x v="3"/>
    <x v="358"/>
    <n v="65"/>
    <x v="0"/>
    <n v="0"/>
    <n v="4"/>
    <n v="0"/>
    <n v="2"/>
    <n v="0"/>
    <n v="0"/>
    <n v="2"/>
    <n v="8"/>
    <n v="1"/>
    <n v="1"/>
    <n v="0"/>
    <n v="2"/>
    <n v="3"/>
    <n v="7"/>
    <x v="0"/>
  </r>
  <r>
    <n v="3919"/>
    <n v="1976"/>
    <x v="3"/>
    <x v="2"/>
    <x v="0"/>
    <n v="72309"/>
    <x v="2"/>
    <n v="0"/>
    <n v="0"/>
    <x v="0"/>
    <x v="293"/>
    <n v="64"/>
    <x v="0"/>
    <n v="0"/>
    <n v="960"/>
    <n v="0"/>
    <n v="883"/>
    <n v="50"/>
    <n v="38"/>
    <n v="0"/>
    <n v="1931"/>
    <n v="1"/>
    <n v="5"/>
    <n v="6"/>
    <n v="8"/>
    <n v="19"/>
    <n v="3"/>
    <x v="0"/>
  </r>
  <r>
    <n v="11181"/>
    <n v="1949"/>
    <x v="4"/>
    <x v="1"/>
    <x v="2"/>
    <n v="156924"/>
    <x v="2"/>
    <n v="0"/>
    <n v="0"/>
    <x v="0"/>
    <x v="30"/>
    <n v="85"/>
    <x v="0"/>
    <n v="0"/>
    <n v="2"/>
    <n v="1"/>
    <n v="2"/>
    <n v="1"/>
    <n v="1"/>
    <n v="1"/>
    <n v="8"/>
    <n v="0"/>
    <n v="0"/>
    <n v="0"/>
    <n v="0"/>
    <n v="0"/>
    <n v="0"/>
    <x v="0"/>
  </r>
  <r>
    <n v="642"/>
    <n v="1980"/>
    <x v="3"/>
    <x v="3"/>
    <x v="2"/>
    <n v="16005"/>
    <x v="3"/>
    <n v="1"/>
    <n v="0"/>
    <x v="2"/>
    <x v="244"/>
    <n v="69"/>
    <x v="0"/>
    <n v="0"/>
    <n v="1"/>
    <n v="3"/>
    <n v="2"/>
    <n v="20"/>
    <n v="30"/>
    <n v="47"/>
    <n v="103"/>
    <n v="3"/>
    <n v="2"/>
    <n v="1"/>
    <n v="2"/>
    <n v="5"/>
    <n v="8"/>
    <x v="0"/>
  </r>
  <r>
    <n v="4369"/>
    <n v="1957"/>
    <x v="0"/>
    <x v="2"/>
    <x v="0"/>
    <n v="65487"/>
    <x v="0"/>
    <n v="0"/>
    <n v="0"/>
    <x v="0"/>
    <x v="618"/>
    <n v="48"/>
    <x v="1"/>
    <n v="0"/>
    <n v="240"/>
    <n v="67"/>
    <n v="500"/>
    <n v="199"/>
    <n v="0"/>
    <n v="163"/>
    <n v="1169"/>
    <n v="3"/>
    <n v="3"/>
    <n v="5"/>
    <n v="6"/>
    <n v="14"/>
    <n v="2"/>
    <x v="1"/>
  </r>
  <r>
    <n v="10127"/>
    <n v="1965"/>
    <x v="1"/>
    <x v="0"/>
    <x v="2"/>
    <n v="58692"/>
    <x v="0"/>
    <n v="0"/>
    <n v="1"/>
    <x v="2"/>
    <x v="218"/>
    <n v="21"/>
    <x v="1"/>
    <n v="0"/>
    <n v="301"/>
    <n v="11"/>
    <n v="61"/>
    <n v="4"/>
    <n v="7"/>
    <n v="11"/>
    <n v="395"/>
    <n v="1"/>
    <n v="8"/>
    <n v="2"/>
    <n v="4"/>
    <n v="14"/>
    <n v="7"/>
    <x v="0"/>
  </r>
  <r>
    <n v="271"/>
    <n v="1969"/>
    <x v="1"/>
    <x v="0"/>
    <x v="4"/>
    <n v="40590"/>
    <x v="1"/>
    <n v="1"/>
    <n v="1"/>
    <x v="1"/>
    <x v="38"/>
    <n v="30"/>
    <x v="1"/>
    <n v="0"/>
    <n v="154"/>
    <n v="0"/>
    <n v="50"/>
    <n v="6"/>
    <n v="11"/>
    <n v="37"/>
    <n v="258"/>
    <n v="5"/>
    <n v="3"/>
    <n v="4"/>
    <n v="3"/>
    <n v="10"/>
    <n v="6"/>
    <x v="0"/>
  </r>
  <r>
    <n v="2948"/>
    <n v="1954"/>
    <x v="0"/>
    <x v="2"/>
    <x v="3"/>
    <n v="62637"/>
    <x v="0"/>
    <n v="0"/>
    <n v="1"/>
    <x v="2"/>
    <x v="137"/>
    <n v="76"/>
    <x v="0"/>
    <n v="0"/>
    <n v="104"/>
    <n v="12"/>
    <n v="48"/>
    <n v="4"/>
    <n v="12"/>
    <n v="5"/>
    <n v="185"/>
    <n v="1"/>
    <n v="2"/>
    <n v="2"/>
    <n v="5"/>
    <n v="9"/>
    <n v="2"/>
    <x v="0"/>
  </r>
  <r>
    <n v="2715"/>
    <n v="1966"/>
    <x v="1"/>
    <x v="2"/>
    <x v="3"/>
    <n v="29435"/>
    <x v="3"/>
    <n v="1"/>
    <n v="1"/>
    <x v="1"/>
    <x v="344"/>
    <n v="11"/>
    <x v="1"/>
    <n v="0"/>
    <n v="70"/>
    <n v="3"/>
    <n v="37"/>
    <n v="4"/>
    <n v="2"/>
    <n v="64"/>
    <n v="180"/>
    <n v="4"/>
    <n v="3"/>
    <n v="2"/>
    <n v="2"/>
    <n v="7"/>
    <n v="9"/>
    <x v="0"/>
  </r>
  <r>
    <n v="10432"/>
    <n v="1974"/>
    <x v="3"/>
    <x v="0"/>
    <x v="3"/>
    <n v="19346"/>
    <x v="3"/>
    <n v="1"/>
    <n v="0"/>
    <x v="2"/>
    <x v="142"/>
    <n v="26"/>
    <x v="1"/>
    <n v="0"/>
    <n v="2"/>
    <n v="0"/>
    <n v="9"/>
    <n v="3"/>
    <n v="6"/>
    <n v="2"/>
    <n v="22"/>
    <n v="1"/>
    <n v="1"/>
    <n v="0"/>
    <n v="3"/>
    <n v="4"/>
    <n v="8"/>
    <x v="0"/>
  </r>
  <r>
    <n v="9216"/>
    <n v="1971"/>
    <x v="1"/>
    <x v="0"/>
    <x v="2"/>
    <n v="35788"/>
    <x v="1"/>
    <n v="1"/>
    <n v="1"/>
    <x v="1"/>
    <x v="494"/>
    <n v="34"/>
    <x v="1"/>
    <n v="0"/>
    <n v="23"/>
    <n v="2"/>
    <n v="11"/>
    <n v="3"/>
    <n v="1"/>
    <n v="4"/>
    <n v="44"/>
    <n v="2"/>
    <n v="2"/>
    <n v="0"/>
    <n v="3"/>
    <n v="5"/>
    <n v="6"/>
    <x v="0"/>
  </r>
  <r>
    <n v="7124"/>
    <n v="1968"/>
    <x v="1"/>
    <x v="0"/>
    <x v="3"/>
    <n v="36997"/>
    <x v="1"/>
    <n v="1"/>
    <n v="1"/>
    <x v="1"/>
    <x v="34"/>
    <n v="72"/>
    <x v="0"/>
    <n v="0"/>
    <n v="43"/>
    <n v="4"/>
    <n v="12"/>
    <n v="8"/>
    <n v="0"/>
    <n v="27"/>
    <n v="94"/>
    <n v="5"/>
    <n v="2"/>
    <n v="1"/>
    <n v="4"/>
    <n v="7"/>
    <n v="5"/>
    <x v="0"/>
  </r>
  <r>
    <n v="9727"/>
    <n v="1957"/>
    <x v="0"/>
    <x v="0"/>
    <x v="2"/>
    <n v="23539"/>
    <x v="3"/>
    <n v="0"/>
    <n v="0"/>
    <x v="0"/>
    <x v="647"/>
    <n v="13"/>
    <x v="1"/>
    <n v="0"/>
    <n v="4"/>
    <n v="24"/>
    <n v="11"/>
    <n v="16"/>
    <n v="1"/>
    <n v="25"/>
    <n v="81"/>
    <n v="1"/>
    <n v="2"/>
    <n v="0"/>
    <n v="4"/>
    <n v="6"/>
    <n v="6"/>
    <x v="0"/>
  </r>
  <r>
    <n v="5136"/>
    <n v="1973"/>
    <x v="3"/>
    <x v="0"/>
    <x v="0"/>
    <n v="65333"/>
    <x v="0"/>
    <n v="0"/>
    <n v="1"/>
    <x v="2"/>
    <x v="620"/>
    <n v="58"/>
    <x v="0"/>
    <n v="0"/>
    <n v="654"/>
    <n v="7"/>
    <n v="92"/>
    <n v="0"/>
    <n v="15"/>
    <n v="30"/>
    <n v="798"/>
    <n v="7"/>
    <n v="9"/>
    <n v="4"/>
    <n v="8"/>
    <n v="21"/>
    <n v="6"/>
    <x v="0"/>
  </r>
  <r>
    <n v="9790"/>
    <n v="1957"/>
    <x v="0"/>
    <x v="0"/>
    <x v="0"/>
    <n v="78499"/>
    <x v="2"/>
    <n v="0"/>
    <n v="0"/>
    <x v="0"/>
    <x v="81"/>
    <n v="12"/>
    <x v="1"/>
    <n v="0"/>
    <n v="912"/>
    <n v="72"/>
    <n v="170"/>
    <n v="47"/>
    <n v="36"/>
    <n v="97"/>
    <n v="1334"/>
    <n v="1"/>
    <n v="11"/>
    <n v="3"/>
    <n v="4"/>
    <n v="18"/>
    <n v="4"/>
    <x v="1"/>
  </r>
  <r>
    <n v="1818"/>
    <n v="1971"/>
    <x v="1"/>
    <x v="1"/>
    <x v="1"/>
    <n v="29732"/>
    <x v="3"/>
    <n v="1"/>
    <n v="0"/>
    <x v="2"/>
    <x v="622"/>
    <n v="23"/>
    <x v="1"/>
    <n v="0"/>
    <n v="25"/>
    <n v="0"/>
    <n v="8"/>
    <n v="0"/>
    <n v="1"/>
    <n v="4"/>
    <n v="38"/>
    <n v="1"/>
    <n v="2"/>
    <n v="0"/>
    <n v="2"/>
    <n v="4"/>
    <n v="9"/>
    <x v="0"/>
  </r>
  <r>
    <n v="1100"/>
    <n v="1960"/>
    <x v="0"/>
    <x v="2"/>
    <x v="1"/>
    <n v="41275"/>
    <x v="1"/>
    <n v="1"/>
    <n v="2"/>
    <x v="3"/>
    <x v="535"/>
    <n v="33"/>
    <x v="1"/>
    <n v="0"/>
    <n v="24"/>
    <n v="4"/>
    <n v="22"/>
    <n v="0"/>
    <n v="2"/>
    <n v="9"/>
    <n v="61"/>
    <n v="4"/>
    <n v="3"/>
    <n v="1"/>
    <n v="3"/>
    <n v="7"/>
    <n v="5"/>
    <x v="0"/>
  </r>
  <r>
    <n v="7873"/>
    <n v="1973"/>
    <x v="3"/>
    <x v="1"/>
    <x v="1"/>
    <n v="63516"/>
    <x v="0"/>
    <n v="1"/>
    <n v="1"/>
    <x v="1"/>
    <x v="544"/>
    <n v="30"/>
    <x v="1"/>
    <n v="0"/>
    <n v="141"/>
    <n v="11"/>
    <n v="114"/>
    <n v="15"/>
    <n v="14"/>
    <n v="5"/>
    <n v="300"/>
    <n v="4"/>
    <n v="4"/>
    <n v="1"/>
    <n v="7"/>
    <n v="12"/>
    <n v="5"/>
    <x v="0"/>
  </r>
  <r>
    <n v="10609"/>
    <n v="1962"/>
    <x v="0"/>
    <x v="1"/>
    <x v="2"/>
    <n v="42769"/>
    <x v="1"/>
    <n v="0"/>
    <n v="1"/>
    <x v="2"/>
    <x v="234"/>
    <n v="15"/>
    <x v="1"/>
    <n v="0"/>
    <n v="71"/>
    <n v="0"/>
    <n v="13"/>
    <n v="3"/>
    <n v="1"/>
    <n v="0"/>
    <n v="88"/>
    <n v="2"/>
    <n v="1"/>
    <n v="1"/>
    <n v="4"/>
    <n v="6"/>
    <n v="4"/>
    <x v="0"/>
  </r>
  <r>
    <n v="6950"/>
    <n v="1958"/>
    <x v="0"/>
    <x v="2"/>
    <x v="2"/>
    <n v="49572"/>
    <x v="1"/>
    <n v="1"/>
    <n v="1"/>
    <x v="1"/>
    <x v="636"/>
    <n v="25"/>
    <x v="1"/>
    <n v="0"/>
    <n v="35"/>
    <n v="1"/>
    <n v="16"/>
    <n v="0"/>
    <n v="1"/>
    <n v="1"/>
    <n v="54"/>
    <n v="2"/>
    <n v="2"/>
    <n v="0"/>
    <n v="3"/>
    <n v="5"/>
    <n v="7"/>
    <x v="0"/>
  </r>
  <r>
    <n v="7233"/>
    <n v="1972"/>
    <x v="1"/>
    <x v="0"/>
    <x v="2"/>
    <n v="69209"/>
    <x v="2"/>
    <n v="0"/>
    <n v="0"/>
    <x v="0"/>
    <x v="655"/>
    <n v="4"/>
    <x v="1"/>
    <n v="0"/>
    <n v="496"/>
    <n v="32"/>
    <n v="849"/>
    <n v="229"/>
    <n v="48"/>
    <n v="128"/>
    <n v="1782"/>
    <n v="2"/>
    <n v="5"/>
    <n v="3"/>
    <n v="6"/>
    <n v="14"/>
    <n v="4"/>
    <x v="1"/>
  </r>
  <r>
    <n v="9481"/>
    <n v="1976"/>
    <x v="3"/>
    <x v="0"/>
    <x v="2"/>
    <n v="17148"/>
    <x v="3"/>
    <n v="1"/>
    <n v="0"/>
    <x v="2"/>
    <x v="326"/>
    <n v="80"/>
    <x v="0"/>
    <n v="0"/>
    <n v="9"/>
    <n v="9"/>
    <n v="11"/>
    <n v="13"/>
    <n v="10"/>
    <n v="16"/>
    <n v="68"/>
    <n v="4"/>
    <n v="3"/>
    <n v="1"/>
    <n v="3"/>
    <n v="7"/>
    <n v="8"/>
    <x v="0"/>
  </r>
  <r>
    <n v="8933"/>
    <n v="1983"/>
    <x v="2"/>
    <x v="2"/>
    <x v="2"/>
    <n v="32146"/>
    <x v="3"/>
    <n v="1"/>
    <n v="0"/>
    <x v="2"/>
    <x v="44"/>
    <n v="16"/>
    <x v="1"/>
    <n v="0"/>
    <n v="26"/>
    <n v="3"/>
    <n v="23"/>
    <n v="4"/>
    <n v="7"/>
    <n v="3"/>
    <n v="66"/>
    <n v="2"/>
    <n v="2"/>
    <n v="0"/>
    <n v="4"/>
    <n v="6"/>
    <n v="6"/>
    <x v="0"/>
  </r>
  <r>
    <n v="8726"/>
    <n v="1964"/>
    <x v="1"/>
    <x v="2"/>
    <x v="3"/>
    <n v="41713"/>
    <x v="1"/>
    <n v="1"/>
    <n v="1"/>
    <x v="1"/>
    <x v="433"/>
    <n v="57"/>
    <x v="0"/>
    <n v="0"/>
    <n v="77"/>
    <n v="8"/>
    <n v="44"/>
    <n v="10"/>
    <n v="10"/>
    <n v="25"/>
    <n v="174"/>
    <n v="5"/>
    <n v="3"/>
    <n v="1"/>
    <n v="4"/>
    <n v="8"/>
    <n v="6"/>
    <x v="0"/>
  </r>
  <r>
    <n v="1515"/>
    <n v="1975"/>
    <x v="3"/>
    <x v="2"/>
    <x v="1"/>
    <n v="34176"/>
    <x v="3"/>
    <n v="0"/>
    <n v="1"/>
    <x v="2"/>
    <x v="149"/>
    <n v="9"/>
    <x v="1"/>
    <n v="0"/>
    <n v="11"/>
    <n v="2"/>
    <n v="7"/>
    <n v="4"/>
    <n v="2"/>
    <n v="2"/>
    <n v="28"/>
    <n v="1"/>
    <n v="1"/>
    <n v="0"/>
    <n v="3"/>
    <n v="4"/>
    <n v="3"/>
    <x v="0"/>
  </r>
  <r>
    <n v="5186"/>
    <n v="1955"/>
    <x v="0"/>
    <x v="1"/>
    <x v="2"/>
    <n v="58482"/>
    <x v="0"/>
    <n v="0"/>
    <n v="1"/>
    <x v="2"/>
    <x v="432"/>
    <n v="59"/>
    <x v="0"/>
    <n v="0"/>
    <n v="576"/>
    <n v="7"/>
    <n v="115"/>
    <n v="19"/>
    <n v="7"/>
    <n v="7"/>
    <n v="731"/>
    <n v="2"/>
    <n v="7"/>
    <n v="4"/>
    <n v="9"/>
    <n v="20"/>
    <n v="6"/>
    <x v="0"/>
  </r>
  <r>
    <n v="10157"/>
    <n v="1965"/>
    <x v="1"/>
    <x v="0"/>
    <x v="0"/>
    <n v="59686"/>
    <x v="0"/>
    <n v="0"/>
    <n v="1"/>
    <x v="2"/>
    <x v="440"/>
    <n v="78"/>
    <x v="0"/>
    <n v="0"/>
    <n v="89"/>
    <n v="15"/>
    <n v="89"/>
    <n v="34"/>
    <n v="42"/>
    <n v="5"/>
    <n v="274"/>
    <n v="1"/>
    <n v="4"/>
    <n v="1"/>
    <n v="6"/>
    <n v="11"/>
    <n v="4"/>
    <x v="0"/>
  </r>
  <r>
    <n v="5667"/>
    <n v="1964"/>
    <x v="1"/>
    <x v="1"/>
    <x v="2"/>
    <n v="60896"/>
    <x v="0"/>
    <n v="0"/>
    <n v="1"/>
    <x v="2"/>
    <x v="660"/>
    <n v="90"/>
    <x v="0"/>
    <n v="0"/>
    <n v="1013"/>
    <n v="30"/>
    <n v="399"/>
    <n v="60"/>
    <n v="46"/>
    <n v="153"/>
    <n v="1701"/>
    <n v="3"/>
    <n v="9"/>
    <n v="10"/>
    <n v="4"/>
    <n v="23"/>
    <n v="6"/>
    <x v="0"/>
  </r>
  <r>
    <n v="902"/>
    <n v="1980"/>
    <x v="3"/>
    <x v="0"/>
    <x v="1"/>
    <n v="62994"/>
    <x v="0"/>
    <n v="1"/>
    <n v="0"/>
    <x v="2"/>
    <x v="487"/>
    <n v="74"/>
    <x v="0"/>
    <n v="0"/>
    <n v="224"/>
    <n v="12"/>
    <n v="48"/>
    <n v="4"/>
    <n v="12"/>
    <n v="12"/>
    <n v="312"/>
    <n v="1"/>
    <n v="6"/>
    <n v="2"/>
    <n v="4"/>
    <n v="12"/>
    <n v="6"/>
    <x v="0"/>
  </r>
  <r>
    <n v="977"/>
    <n v="1957"/>
    <x v="0"/>
    <x v="0"/>
    <x v="1"/>
    <n v="47320"/>
    <x v="1"/>
    <n v="0"/>
    <n v="1"/>
    <x v="2"/>
    <x v="379"/>
    <n v="10"/>
    <x v="1"/>
    <n v="0"/>
    <n v="200"/>
    <n v="19"/>
    <n v="111"/>
    <n v="50"/>
    <n v="15"/>
    <n v="19"/>
    <n v="414"/>
    <n v="6"/>
    <n v="5"/>
    <n v="1"/>
    <n v="8"/>
    <n v="14"/>
    <n v="6"/>
    <x v="0"/>
  </r>
  <r>
    <n v="7313"/>
    <n v="1949"/>
    <x v="4"/>
    <x v="2"/>
    <x v="4"/>
    <n v="74859"/>
    <x v="2"/>
    <n v="0"/>
    <n v="0"/>
    <x v="0"/>
    <x v="240"/>
    <n v="63"/>
    <x v="0"/>
    <n v="0"/>
    <n v="570"/>
    <n v="73"/>
    <n v="614"/>
    <n v="133"/>
    <n v="102"/>
    <n v="73"/>
    <n v="1565"/>
    <n v="1"/>
    <n v="6"/>
    <n v="5"/>
    <n v="11"/>
    <n v="22"/>
    <n v="3"/>
    <x v="0"/>
  </r>
  <r>
    <n v="7600"/>
    <n v="1992"/>
    <x v="2"/>
    <x v="3"/>
    <x v="0"/>
    <n v="15253"/>
    <x v="3"/>
    <n v="1"/>
    <n v="0"/>
    <x v="2"/>
    <x v="194"/>
    <n v="13"/>
    <x v="1"/>
    <n v="0"/>
    <n v="1"/>
    <n v="3"/>
    <n v="3"/>
    <n v="8"/>
    <n v="1"/>
    <n v="13"/>
    <n v="29"/>
    <n v="2"/>
    <n v="1"/>
    <n v="0"/>
    <n v="3"/>
    <n v="4"/>
    <n v="7"/>
    <x v="0"/>
  </r>
  <r>
    <n v="9706"/>
    <n v="1974"/>
    <x v="3"/>
    <x v="1"/>
    <x v="0"/>
    <n v="31560"/>
    <x v="3"/>
    <n v="1"/>
    <n v="0"/>
    <x v="2"/>
    <x v="566"/>
    <n v="98"/>
    <x v="0"/>
    <n v="0"/>
    <n v="62"/>
    <n v="1"/>
    <n v="20"/>
    <n v="4"/>
    <n v="0"/>
    <n v="7"/>
    <n v="94"/>
    <n v="2"/>
    <n v="2"/>
    <n v="1"/>
    <n v="3"/>
    <n v="6"/>
    <n v="8"/>
    <x v="0"/>
  </r>
  <r>
    <n v="3520"/>
    <n v="1990"/>
    <x v="2"/>
    <x v="2"/>
    <x v="0"/>
    <n v="91172"/>
    <x v="2"/>
    <n v="0"/>
    <n v="0"/>
    <x v="0"/>
    <x v="330"/>
    <n v="94"/>
    <x v="0"/>
    <n v="0"/>
    <n v="162"/>
    <n v="28"/>
    <n v="818"/>
    <n v="0"/>
    <n v="28"/>
    <n v="56"/>
    <n v="1092"/>
    <n v="0"/>
    <n v="4"/>
    <n v="3"/>
    <n v="7"/>
    <n v="14"/>
    <n v="3"/>
    <x v="0"/>
  </r>
  <r>
    <n v="10394"/>
    <n v="1984"/>
    <x v="2"/>
    <x v="0"/>
    <x v="2"/>
    <n v="90000"/>
    <x v="2"/>
    <n v="0"/>
    <n v="0"/>
    <x v="0"/>
    <x v="365"/>
    <n v="91"/>
    <x v="0"/>
    <n v="0"/>
    <n v="675"/>
    <n v="144"/>
    <n v="133"/>
    <n v="94"/>
    <n v="192"/>
    <n v="241"/>
    <n v="1479"/>
    <n v="1"/>
    <n v="4"/>
    <n v="8"/>
    <n v="5"/>
    <n v="17"/>
    <n v="1"/>
    <x v="0"/>
  </r>
  <r>
    <n v="4548"/>
    <n v="1981"/>
    <x v="3"/>
    <x v="0"/>
    <x v="0"/>
    <n v="41967"/>
    <x v="1"/>
    <n v="1"/>
    <n v="1"/>
    <x v="1"/>
    <x v="81"/>
    <n v="66"/>
    <x v="0"/>
    <n v="0"/>
    <n v="23"/>
    <n v="4"/>
    <n v="10"/>
    <n v="0"/>
    <n v="2"/>
    <n v="15"/>
    <n v="54"/>
    <n v="1"/>
    <n v="1"/>
    <n v="0"/>
    <n v="3"/>
    <n v="4"/>
    <n v="4"/>
    <x v="0"/>
  </r>
  <r>
    <n v="9362"/>
    <n v="1965"/>
    <x v="1"/>
    <x v="0"/>
    <x v="0"/>
    <n v="69263"/>
    <x v="2"/>
    <n v="0"/>
    <n v="1"/>
    <x v="2"/>
    <x v="237"/>
    <n v="14"/>
    <x v="1"/>
    <n v="0"/>
    <n v="492"/>
    <n v="5"/>
    <n v="32"/>
    <n v="13"/>
    <n v="5"/>
    <n v="21"/>
    <n v="568"/>
    <n v="1"/>
    <n v="9"/>
    <n v="1"/>
    <n v="7"/>
    <n v="17"/>
    <n v="6"/>
    <x v="0"/>
  </r>
  <r>
    <n v="3968"/>
    <n v="1970"/>
    <x v="1"/>
    <x v="2"/>
    <x v="3"/>
    <n v="65706"/>
    <x v="0"/>
    <n v="0"/>
    <n v="0"/>
    <x v="0"/>
    <x v="553"/>
    <n v="77"/>
    <x v="0"/>
    <n v="0"/>
    <n v="918"/>
    <n v="10"/>
    <n v="129"/>
    <n v="13"/>
    <n v="0"/>
    <n v="129"/>
    <n v="1199"/>
    <n v="1"/>
    <n v="11"/>
    <n v="3"/>
    <n v="12"/>
    <n v="26"/>
    <n v="7"/>
    <x v="0"/>
  </r>
  <r>
    <n v="4084"/>
    <n v="1975"/>
    <x v="3"/>
    <x v="0"/>
    <x v="1"/>
    <n v="60934"/>
    <x v="0"/>
    <n v="0"/>
    <n v="1"/>
    <x v="2"/>
    <x v="620"/>
    <n v="41"/>
    <x v="1"/>
    <n v="0"/>
    <n v="224"/>
    <n v="155"/>
    <n v="155"/>
    <n v="192"/>
    <n v="93"/>
    <n v="54"/>
    <n v="873"/>
    <n v="2"/>
    <n v="6"/>
    <n v="4"/>
    <n v="11"/>
    <n v="21"/>
    <n v="4"/>
    <x v="1"/>
  </r>
  <r>
    <n v="6721"/>
    <n v="1951"/>
    <x v="4"/>
    <x v="0"/>
    <x v="2"/>
    <n v="71965"/>
    <x v="2"/>
    <n v="0"/>
    <n v="1"/>
    <x v="2"/>
    <x v="243"/>
    <n v="21"/>
    <x v="1"/>
    <n v="0"/>
    <n v="572"/>
    <n v="19"/>
    <n v="286"/>
    <n v="50"/>
    <n v="38"/>
    <n v="248"/>
    <n v="1213"/>
    <n v="3"/>
    <n v="6"/>
    <n v="3"/>
    <n v="5"/>
    <n v="14"/>
    <n v="3"/>
    <x v="1"/>
  </r>
  <r>
    <n v="2829"/>
    <n v="1955"/>
    <x v="0"/>
    <x v="0"/>
    <x v="2"/>
    <n v="65210"/>
    <x v="0"/>
    <n v="0"/>
    <n v="1"/>
    <x v="2"/>
    <x v="399"/>
    <n v="25"/>
    <x v="1"/>
    <n v="0"/>
    <n v="626"/>
    <n v="0"/>
    <n v="70"/>
    <n v="0"/>
    <n v="7"/>
    <n v="28"/>
    <n v="731"/>
    <n v="2"/>
    <n v="9"/>
    <n v="3"/>
    <n v="8"/>
    <n v="20"/>
    <n v="6"/>
    <x v="1"/>
  </r>
  <r>
    <n v="1772"/>
    <n v="1975"/>
    <x v="3"/>
    <x v="1"/>
    <x v="2"/>
    <n v="79174"/>
    <x v="2"/>
    <n v="0"/>
    <n v="0"/>
    <x v="0"/>
    <x v="248"/>
    <n v="2"/>
    <x v="1"/>
    <n v="0"/>
    <n v="1074"/>
    <n v="37"/>
    <n v="518"/>
    <n v="193"/>
    <n v="92"/>
    <n v="129"/>
    <n v="2043"/>
    <n v="1"/>
    <n v="5"/>
    <n v="6"/>
    <n v="7"/>
    <n v="18"/>
    <n v="2"/>
    <x v="1"/>
  </r>
  <r>
    <n v="1544"/>
    <n v="1967"/>
    <x v="1"/>
    <x v="2"/>
    <x v="3"/>
    <n v="81380"/>
    <x v="2"/>
    <n v="0"/>
    <n v="0"/>
    <x v="0"/>
    <x v="270"/>
    <n v="51"/>
    <x v="0"/>
    <n v="0"/>
    <n v="741"/>
    <n v="68"/>
    <n v="689"/>
    <n v="224"/>
    <n v="68"/>
    <n v="103"/>
    <n v="1893"/>
    <n v="1"/>
    <n v="4"/>
    <n v="2"/>
    <n v="10"/>
    <n v="16"/>
    <n v="2"/>
    <x v="0"/>
  </r>
  <r>
    <n v="492"/>
    <n v="1973"/>
    <x v="3"/>
    <x v="1"/>
    <x v="0"/>
    <n v="48432"/>
    <x v="1"/>
    <n v="0"/>
    <n v="1"/>
    <x v="2"/>
    <x v="121"/>
    <n v="3"/>
    <x v="1"/>
    <n v="0"/>
    <n v="322"/>
    <n v="3"/>
    <n v="50"/>
    <n v="4"/>
    <n v="3"/>
    <n v="42"/>
    <n v="424"/>
    <n v="5"/>
    <n v="7"/>
    <n v="1"/>
    <n v="6"/>
    <n v="14"/>
    <n v="8"/>
    <x v="0"/>
  </r>
  <r>
    <n v="4377"/>
    <n v="1971"/>
    <x v="1"/>
    <x v="0"/>
    <x v="2"/>
    <n v="52914"/>
    <x v="0"/>
    <n v="0"/>
    <n v="1"/>
    <x v="2"/>
    <x v="629"/>
    <n v="32"/>
    <x v="1"/>
    <n v="0"/>
    <n v="254"/>
    <n v="10"/>
    <n v="44"/>
    <n v="30"/>
    <n v="10"/>
    <n v="227"/>
    <n v="575"/>
    <n v="2"/>
    <n v="7"/>
    <n v="3"/>
    <n v="3"/>
    <n v="13"/>
    <n v="7"/>
    <x v="0"/>
  </r>
  <r>
    <n v="1321"/>
    <n v="1974"/>
    <x v="3"/>
    <x v="0"/>
    <x v="2"/>
    <n v="26067"/>
    <x v="3"/>
    <n v="1"/>
    <n v="0"/>
    <x v="2"/>
    <x v="472"/>
    <n v="49"/>
    <x v="0"/>
    <n v="0"/>
    <n v="22"/>
    <n v="2"/>
    <n v="18"/>
    <n v="0"/>
    <n v="2"/>
    <n v="12"/>
    <n v="56"/>
    <n v="3"/>
    <n v="3"/>
    <n v="0"/>
    <n v="3"/>
    <n v="6"/>
    <n v="8"/>
    <x v="0"/>
  </r>
  <r>
    <n v="8858"/>
    <n v="1972"/>
    <x v="1"/>
    <x v="1"/>
    <x v="2"/>
    <n v="44325"/>
    <x v="1"/>
    <n v="0"/>
    <n v="1"/>
    <x v="2"/>
    <x v="230"/>
    <n v="69"/>
    <x v="0"/>
    <n v="0"/>
    <n v="516"/>
    <n v="0"/>
    <n v="21"/>
    <n v="0"/>
    <n v="0"/>
    <n v="5"/>
    <n v="542"/>
    <n v="4"/>
    <n v="8"/>
    <n v="2"/>
    <n v="7"/>
    <n v="17"/>
    <n v="8"/>
    <x v="0"/>
  </r>
  <r>
    <n v="11187"/>
    <n v="1978"/>
    <x v="3"/>
    <x v="3"/>
    <x v="0"/>
    <n v="26487"/>
    <x v="3"/>
    <n v="1"/>
    <n v="0"/>
    <x v="2"/>
    <x v="199"/>
    <n v="23"/>
    <x v="1"/>
    <n v="0"/>
    <n v="2"/>
    <n v="8"/>
    <n v="10"/>
    <n v="12"/>
    <n v="14"/>
    <n v="23"/>
    <n v="69"/>
    <n v="3"/>
    <n v="2"/>
    <n v="1"/>
    <n v="3"/>
    <n v="6"/>
    <n v="5"/>
    <x v="0"/>
  </r>
  <r>
    <n v="8207"/>
    <n v="1957"/>
    <x v="0"/>
    <x v="2"/>
    <x v="2"/>
    <n v="53233"/>
    <x v="0"/>
    <n v="0"/>
    <n v="1"/>
    <x v="2"/>
    <x v="171"/>
    <n v="18"/>
    <x v="1"/>
    <n v="0"/>
    <n v="28"/>
    <n v="0"/>
    <n v="9"/>
    <n v="3"/>
    <n v="0"/>
    <n v="0"/>
    <n v="40"/>
    <n v="1"/>
    <n v="1"/>
    <n v="0"/>
    <n v="3"/>
    <n v="4"/>
    <n v="4"/>
    <x v="0"/>
  </r>
  <r>
    <n v="9723"/>
    <n v="1960"/>
    <x v="0"/>
    <x v="0"/>
    <x v="2"/>
    <n v="67716"/>
    <x v="0"/>
    <n v="0"/>
    <n v="1"/>
    <x v="2"/>
    <x v="257"/>
    <n v="8"/>
    <x v="1"/>
    <n v="0"/>
    <n v="530"/>
    <n v="142"/>
    <n v="217"/>
    <n v="62"/>
    <n v="9"/>
    <n v="56"/>
    <n v="1016"/>
    <n v="4"/>
    <n v="7"/>
    <n v="4"/>
    <n v="13"/>
    <n v="24"/>
    <n v="5"/>
    <x v="1"/>
  </r>
  <r>
    <n v="2666"/>
    <n v="1972"/>
    <x v="1"/>
    <x v="2"/>
    <x v="2"/>
    <n v="76234"/>
    <x v="2"/>
    <n v="0"/>
    <n v="1"/>
    <x v="2"/>
    <x v="643"/>
    <n v="21"/>
    <x v="1"/>
    <n v="0"/>
    <n v="519"/>
    <n v="50"/>
    <n v="167"/>
    <n v="130"/>
    <n v="0"/>
    <n v="41"/>
    <n v="907"/>
    <n v="1"/>
    <n v="8"/>
    <n v="3"/>
    <n v="11"/>
    <n v="22"/>
    <n v="3"/>
    <x v="1"/>
  </r>
  <r>
    <n v="5721"/>
    <n v="1956"/>
    <x v="0"/>
    <x v="1"/>
    <x v="2"/>
    <n v="84117"/>
    <x v="2"/>
    <n v="0"/>
    <n v="0"/>
    <x v="0"/>
    <x v="59"/>
    <n v="60"/>
    <x v="0"/>
    <n v="0"/>
    <n v="611"/>
    <n v="76"/>
    <n v="749"/>
    <n v="59"/>
    <n v="45"/>
    <n v="26"/>
    <n v="1566"/>
    <n v="1"/>
    <n v="7"/>
    <n v="10"/>
    <n v="6"/>
    <n v="23"/>
    <n v="2"/>
    <x v="0"/>
  </r>
  <r>
    <n v="10652"/>
    <n v="1957"/>
    <x v="0"/>
    <x v="2"/>
    <x v="1"/>
    <n v="65487"/>
    <x v="0"/>
    <n v="0"/>
    <n v="0"/>
    <x v="0"/>
    <x v="618"/>
    <n v="48"/>
    <x v="1"/>
    <n v="0"/>
    <n v="240"/>
    <n v="67"/>
    <n v="500"/>
    <n v="199"/>
    <n v="0"/>
    <n v="163"/>
    <n v="1169"/>
    <n v="3"/>
    <n v="3"/>
    <n v="5"/>
    <n v="6"/>
    <n v="14"/>
    <n v="2"/>
    <x v="1"/>
  </r>
  <r>
    <n v="1646"/>
    <n v="1972"/>
    <x v="1"/>
    <x v="3"/>
    <x v="2"/>
    <n v="25224"/>
    <x v="3"/>
    <n v="1"/>
    <n v="0"/>
    <x v="2"/>
    <x v="587"/>
    <n v="36"/>
    <x v="1"/>
    <n v="0"/>
    <n v="4"/>
    <n v="9"/>
    <n v="12"/>
    <n v="11"/>
    <n v="2"/>
    <n v="8"/>
    <n v="46"/>
    <n v="2"/>
    <n v="1"/>
    <n v="1"/>
    <n v="3"/>
    <n v="5"/>
    <n v="3"/>
    <x v="0"/>
  </r>
  <r>
    <n v="4418"/>
    <n v="1983"/>
    <x v="2"/>
    <x v="2"/>
    <x v="0"/>
    <n v="89616"/>
    <x v="2"/>
    <n v="0"/>
    <n v="0"/>
    <x v="0"/>
    <x v="536"/>
    <n v="36"/>
    <x v="1"/>
    <n v="0"/>
    <n v="671"/>
    <n v="47"/>
    <n v="655"/>
    <n v="145"/>
    <n v="111"/>
    <n v="15"/>
    <n v="1644"/>
    <n v="1"/>
    <n v="7"/>
    <n v="5"/>
    <n v="12"/>
    <n v="24"/>
    <n v="2"/>
    <x v="1"/>
  </r>
  <r>
    <n v="2656"/>
    <n v="1971"/>
    <x v="1"/>
    <x v="0"/>
    <x v="3"/>
    <n v="40851"/>
    <x v="1"/>
    <n v="1"/>
    <n v="1"/>
    <x v="1"/>
    <x v="389"/>
    <n v="63"/>
    <x v="0"/>
    <n v="0"/>
    <n v="23"/>
    <n v="1"/>
    <n v="7"/>
    <n v="0"/>
    <n v="4"/>
    <n v="24"/>
    <n v="59"/>
    <n v="1"/>
    <n v="1"/>
    <n v="1"/>
    <n v="2"/>
    <n v="4"/>
    <n v="7"/>
    <x v="0"/>
  </r>
  <r>
    <n v="7990"/>
    <n v="1947"/>
    <x v="4"/>
    <x v="0"/>
    <x v="2"/>
    <n v="27469"/>
    <x v="3"/>
    <n v="0"/>
    <n v="0"/>
    <x v="0"/>
    <x v="598"/>
    <n v="2"/>
    <x v="1"/>
    <n v="0"/>
    <n v="9"/>
    <n v="1"/>
    <n v="2"/>
    <n v="3"/>
    <n v="2"/>
    <n v="0"/>
    <n v="17"/>
    <n v="1"/>
    <n v="0"/>
    <n v="0"/>
    <n v="3"/>
    <n v="3"/>
    <n v="6"/>
    <x v="0"/>
  </r>
  <r>
    <n v="8722"/>
    <n v="1957"/>
    <x v="0"/>
    <x v="2"/>
    <x v="2"/>
    <n v="82347"/>
    <x v="2"/>
    <n v="0"/>
    <n v="0"/>
    <x v="0"/>
    <x v="485"/>
    <n v="38"/>
    <x v="1"/>
    <n v="0"/>
    <n v="556"/>
    <n v="54"/>
    <n v="845"/>
    <n v="202"/>
    <n v="133"/>
    <n v="63"/>
    <n v="1853"/>
    <n v="1"/>
    <n v="7"/>
    <n v="7"/>
    <n v="10"/>
    <n v="24"/>
    <n v="3"/>
    <x v="1"/>
  </r>
  <r>
    <n v="7118"/>
    <n v="1957"/>
    <x v="0"/>
    <x v="0"/>
    <x v="2"/>
    <n v="73803"/>
    <x v="2"/>
    <n v="0"/>
    <n v="1"/>
    <x v="2"/>
    <x v="439"/>
    <n v="61"/>
    <x v="0"/>
    <n v="0"/>
    <n v="833"/>
    <n v="80"/>
    <n v="363"/>
    <n v="52"/>
    <n v="26"/>
    <n v="174"/>
    <n v="1528"/>
    <n v="2"/>
    <n v="9"/>
    <n v="5"/>
    <n v="6"/>
    <n v="20"/>
    <n v="6"/>
    <x v="0"/>
  </r>
  <r>
    <n v="2980"/>
    <n v="1952"/>
    <x v="4"/>
    <x v="2"/>
    <x v="0"/>
    <n v="8820"/>
    <x v="3"/>
    <n v="1"/>
    <n v="1"/>
    <x v="1"/>
    <x v="473"/>
    <n v="52"/>
    <x v="0"/>
    <n v="0"/>
    <n v="12"/>
    <n v="0"/>
    <n v="13"/>
    <n v="4"/>
    <n v="2"/>
    <n v="4"/>
    <n v="35"/>
    <n v="4"/>
    <n v="3"/>
    <n v="0"/>
    <n v="3"/>
    <n v="6"/>
    <n v="8"/>
    <x v="0"/>
  </r>
  <r>
    <n v="1839"/>
    <n v="1974"/>
    <x v="3"/>
    <x v="0"/>
    <x v="0"/>
    <n v="43322"/>
    <x v="1"/>
    <n v="0"/>
    <n v="0"/>
    <x v="0"/>
    <x v="140"/>
    <n v="25"/>
    <x v="1"/>
    <n v="0"/>
    <n v="56"/>
    <n v="7"/>
    <n v="48"/>
    <n v="10"/>
    <n v="2"/>
    <n v="18"/>
    <n v="141"/>
    <n v="1"/>
    <n v="3"/>
    <n v="0"/>
    <n v="4"/>
    <n v="7"/>
    <n v="7"/>
    <x v="0"/>
  </r>
  <r>
    <n v="10722"/>
    <n v="1973"/>
    <x v="3"/>
    <x v="0"/>
    <x v="1"/>
    <n v="55593"/>
    <x v="0"/>
    <n v="0"/>
    <n v="1"/>
    <x v="2"/>
    <x v="2"/>
    <n v="63"/>
    <x v="0"/>
    <n v="0"/>
    <n v="293"/>
    <n v="8"/>
    <n v="124"/>
    <n v="11"/>
    <n v="4"/>
    <n v="106"/>
    <n v="546"/>
    <n v="2"/>
    <n v="6"/>
    <n v="6"/>
    <n v="3"/>
    <n v="15"/>
    <n v="6"/>
    <x v="0"/>
  </r>
  <r>
    <n v="2632"/>
    <n v="1954"/>
    <x v="0"/>
    <x v="0"/>
    <x v="2"/>
    <n v="50501"/>
    <x v="1"/>
    <n v="1"/>
    <n v="1"/>
    <x v="1"/>
    <x v="464"/>
    <n v="10"/>
    <x v="1"/>
    <n v="0"/>
    <n v="297"/>
    <n v="0"/>
    <n v="38"/>
    <n v="13"/>
    <n v="0"/>
    <n v="152"/>
    <n v="500"/>
    <n v="7"/>
    <n v="5"/>
    <n v="4"/>
    <n v="4"/>
    <n v="13"/>
    <n v="6"/>
    <x v="0"/>
  </r>
  <r>
    <n v="9014"/>
    <n v="1975"/>
    <x v="3"/>
    <x v="0"/>
    <x v="2"/>
    <n v="37085"/>
    <x v="1"/>
    <n v="1"/>
    <n v="1"/>
    <x v="1"/>
    <x v="213"/>
    <n v="65"/>
    <x v="0"/>
    <n v="0"/>
    <n v="39"/>
    <n v="1"/>
    <n v="16"/>
    <n v="2"/>
    <n v="0"/>
    <n v="3"/>
    <n v="61"/>
    <n v="4"/>
    <n v="3"/>
    <n v="0"/>
    <n v="3"/>
    <n v="6"/>
    <n v="8"/>
    <x v="0"/>
  </r>
  <r>
    <n v="7620"/>
    <n v="1990"/>
    <x v="2"/>
    <x v="3"/>
    <x v="0"/>
    <n v="16185"/>
    <x v="3"/>
    <n v="1"/>
    <n v="0"/>
    <x v="2"/>
    <x v="479"/>
    <n v="71"/>
    <x v="0"/>
    <n v="0"/>
    <n v="5"/>
    <n v="11"/>
    <n v="16"/>
    <n v="21"/>
    <n v="8"/>
    <n v="45"/>
    <n v="106"/>
    <n v="2"/>
    <n v="2"/>
    <n v="2"/>
    <n v="2"/>
    <n v="6"/>
    <n v="8"/>
    <x v="0"/>
  </r>
  <r>
    <n v="10968"/>
    <n v="1969"/>
    <x v="1"/>
    <x v="0"/>
    <x v="0"/>
    <n v="57731"/>
    <x v="0"/>
    <n v="0"/>
    <n v="1"/>
    <x v="2"/>
    <x v="210"/>
    <n v="0"/>
    <x v="1"/>
    <n v="0"/>
    <n v="266"/>
    <n v="21"/>
    <n v="300"/>
    <n v="65"/>
    <n v="8"/>
    <n v="44"/>
    <n v="704"/>
    <n v="4"/>
    <n v="8"/>
    <n v="8"/>
    <n v="6"/>
    <n v="22"/>
    <n v="6"/>
    <x v="1"/>
  </r>
  <r>
    <n v="2736"/>
    <n v="1978"/>
    <x v="3"/>
    <x v="0"/>
    <x v="2"/>
    <n v="73807"/>
    <x v="2"/>
    <n v="0"/>
    <n v="1"/>
    <x v="2"/>
    <x v="22"/>
    <n v="88"/>
    <x v="0"/>
    <n v="0"/>
    <n v="366"/>
    <n v="124"/>
    <n v="156"/>
    <n v="71"/>
    <n v="78"/>
    <n v="54"/>
    <n v="849"/>
    <n v="2"/>
    <n v="5"/>
    <n v="5"/>
    <n v="11"/>
    <n v="21"/>
    <n v="2"/>
    <x v="0"/>
  </r>
  <r>
    <n v="5959"/>
    <n v="1968"/>
    <x v="1"/>
    <x v="0"/>
    <x v="0"/>
    <n v="35893"/>
    <x v="1"/>
    <n v="1"/>
    <n v="1"/>
    <x v="1"/>
    <x v="214"/>
    <n v="80"/>
    <x v="0"/>
    <n v="0"/>
    <n v="158"/>
    <n v="0"/>
    <n v="23"/>
    <n v="0"/>
    <n v="0"/>
    <n v="18"/>
    <n v="199"/>
    <n v="6"/>
    <n v="3"/>
    <n v="1"/>
    <n v="5"/>
    <n v="9"/>
    <n v="8"/>
    <x v="0"/>
  </r>
  <r>
    <n v="1092"/>
    <n v="1980"/>
    <x v="3"/>
    <x v="0"/>
    <x v="2"/>
    <n v="61014"/>
    <x v="0"/>
    <n v="0"/>
    <n v="1"/>
    <x v="2"/>
    <x v="45"/>
    <n v="17"/>
    <x v="1"/>
    <n v="0"/>
    <n v="269"/>
    <n v="129"/>
    <n v="495"/>
    <n v="182"/>
    <n v="43"/>
    <n v="29"/>
    <n v="1147"/>
    <n v="4"/>
    <n v="9"/>
    <n v="3"/>
    <n v="4"/>
    <n v="16"/>
    <n v="7"/>
    <x v="1"/>
  </r>
  <r>
    <n v="4333"/>
    <n v="1954"/>
    <x v="0"/>
    <x v="0"/>
    <x v="1"/>
    <n v="32144"/>
    <x v="3"/>
    <n v="1"/>
    <n v="1"/>
    <x v="1"/>
    <x v="82"/>
    <n v="76"/>
    <x v="0"/>
    <n v="0"/>
    <n v="41"/>
    <n v="0"/>
    <n v="10"/>
    <n v="0"/>
    <n v="0"/>
    <n v="3"/>
    <n v="54"/>
    <n v="4"/>
    <n v="2"/>
    <n v="1"/>
    <n v="3"/>
    <n v="6"/>
    <n v="7"/>
    <x v="0"/>
  </r>
  <r>
    <n v="3850"/>
    <n v="1963"/>
    <x v="1"/>
    <x v="3"/>
    <x v="1"/>
    <n v="14918"/>
    <x v="3"/>
    <n v="0"/>
    <n v="1"/>
    <x v="2"/>
    <x v="96"/>
    <n v="52"/>
    <x v="0"/>
    <n v="0"/>
    <n v="3"/>
    <n v="3"/>
    <n v="3"/>
    <n v="15"/>
    <n v="4"/>
    <n v="15"/>
    <n v="43"/>
    <n v="1"/>
    <n v="1"/>
    <n v="0"/>
    <n v="3"/>
    <n v="4"/>
    <n v="6"/>
    <x v="0"/>
  </r>
  <r>
    <n v="6168"/>
    <n v="1963"/>
    <x v="1"/>
    <x v="0"/>
    <x v="3"/>
    <n v="45146"/>
    <x v="1"/>
    <n v="1"/>
    <n v="1"/>
    <x v="1"/>
    <x v="639"/>
    <n v="28"/>
    <x v="1"/>
    <n v="0"/>
    <n v="33"/>
    <n v="0"/>
    <n v="5"/>
    <n v="0"/>
    <n v="0"/>
    <n v="15"/>
    <n v="53"/>
    <n v="2"/>
    <n v="1"/>
    <n v="1"/>
    <n v="2"/>
    <n v="4"/>
    <n v="4"/>
    <x v="0"/>
  </r>
  <r>
    <n v="607"/>
    <n v="1955"/>
    <x v="0"/>
    <x v="2"/>
    <x v="3"/>
    <n v="41769"/>
    <x v="1"/>
    <n v="0"/>
    <n v="1"/>
    <x v="2"/>
    <x v="253"/>
    <n v="31"/>
    <x v="1"/>
    <n v="0"/>
    <n v="302"/>
    <n v="29"/>
    <n v="131"/>
    <n v="32"/>
    <n v="0"/>
    <n v="27"/>
    <n v="521"/>
    <n v="6"/>
    <n v="8"/>
    <n v="1"/>
    <n v="7"/>
    <n v="16"/>
    <n v="8"/>
    <x v="0"/>
  </r>
  <r>
    <n v="10469"/>
    <n v="1981"/>
    <x v="3"/>
    <x v="0"/>
    <x v="1"/>
    <n v="88325"/>
    <x v="2"/>
    <n v="0"/>
    <n v="0"/>
    <x v="0"/>
    <x v="641"/>
    <n v="42"/>
    <x v="1"/>
    <n v="0"/>
    <n v="519"/>
    <n v="71"/>
    <n v="860"/>
    <n v="93"/>
    <n v="27"/>
    <n v="53"/>
    <n v="1623"/>
    <n v="1"/>
    <n v="6"/>
    <n v="2"/>
    <n v="9"/>
    <n v="17"/>
    <n v="2"/>
    <x v="1"/>
  </r>
  <r>
    <n v="6983"/>
    <n v="1950"/>
    <x v="4"/>
    <x v="2"/>
    <x v="3"/>
    <n v="38054"/>
    <x v="1"/>
    <n v="1"/>
    <n v="1"/>
    <x v="1"/>
    <x v="527"/>
    <n v="24"/>
    <x v="1"/>
    <n v="0"/>
    <n v="23"/>
    <n v="2"/>
    <n v="17"/>
    <n v="2"/>
    <n v="1"/>
    <n v="0"/>
    <n v="45"/>
    <n v="2"/>
    <n v="2"/>
    <n v="0"/>
    <n v="3"/>
    <n v="5"/>
    <n v="7"/>
    <x v="0"/>
  </r>
  <r>
    <n v="3661"/>
    <n v="1995"/>
    <x v="2"/>
    <x v="2"/>
    <x v="0"/>
    <n v="80617"/>
    <x v="2"/>
    <n v="0"/>
    <n v="0"/>
    <x v="0"/>
    <x v="70"/>
    <n v="42"/>
    <x v="1"/>
    <n v="0"/>
    <n v="594"/>
    <n v="51"/>
    <n v="631"/>
    <n v="72"/>
    <n v="55"/>
    <n v="32"/>
    <n v="1435"/>
    <n v="1"/>
    <n v="4"/>
    <n v="6"/>
    <n v="8"/>
    <n v="18"/>
    <n v="2"/>
    <x v="1"/>
  </r>
  <r>
    <n v="9303"/>
    <n v="1976"/>
    <x v="3"/>
    <x v="0"/>
    <x v="2"/>
    <n v="5305"/>
    <x v="3"/>
    <n v="0"/>
    <n v="1"/>
    <x v="2"/>
    <x v="524"/>
    <n v="12"/>
    <x v="1"/>
    <n v="0"/>
    <n v="12"/>
    <n v="4"/>
    <n v="7"/>
    <n v="1"/>
    <n v="3"/>
    <n v="5"/>
    <n v="32"/>
    <n v="0"/>
    <n v="1"/>
    <n v="0"/>
    <n v="0"/>
    <n v="1"/>
    <n v="13"/>
    <x v="0"/>
  </r>
  <r>
    <n v="692"/>
    <n v="1954"/>
    <x v="0"/>
    <x v="0"/>
    <x v="1"/>
    <n v="36807"/>
    <x v="1"/>
    <n v="1"/>
    <n v="1"/>
    <x v="1"/>
    <x v="661"/>
    <n v="88"/>
    <x v="0"/>
    <n v="0"/>
    <n v="4"/>
    <n v="2"/>
    <n v="5"/>
    <n v="0"/>
    <n v="0"/>
    <n v="5"/>
    <n v="16"/>
    <n v="1"/>
    <n v="1"/>
    <n v="0"/>
    <n v="2"/>
    <n v="3"/>
    <n v="6"/>
    <x v="0"/>
  </r>
  <r>
    <n v="9246"/>
    <n v="1985"/>
    <x v="2"/>
    <x v="2"/>
    <x v="1"/>
    <n v="40101"/>
    <x v="1"/>
    <n v="1"/>
    <n v="0"/>
    <x v="2"/>
    <x v="509"/>
    <n v="73"/>
    <x v="0"/>
    <n v="0"/>
    <n v="171"/>
    <n v="3"/>
    <n v="129"/>
    <n v="26"/>
    <n v="24"/>
    <n v="62"/>
    <n v="415"/>
    <n v="4"/>
    <n v="6"/>
    <n v="1"/>
    <n v="6"/>
    <n v="13"/>
    <n v="7"/>
    <x v="0"/>
  </r>
  <r>
    <n v="6261"/>
    <n v="1979"/>
    <x v="3"/>
    <x v="0"/>
    <x v="2"/>
    <n v="58025"/>
    <x v="0"/>
    <n v="0"/>
    <n v="1"/>
    <x v="2"/>
    <x v="630"/>
    <n v="81"/>
    <x v="0"/>
    <n v="0"/>
    <n v="270"/>
    <n v="31"/>
    <n v="88"/>
    <n v="11"/>
    <n v="48"/>
    <n v="22"/>
    <n v="470"/>
    <n v="3"/>
    <n v="3"/>
    <n v="2"/>
    <n v="10"/>
    <n v="15"/>
    <n v="4"/>
    <x v="0"/>
  </r>
  <r>
    <n v="10659"/>
    <n v="1979"/>
    <x v="3"/>
    <x v="2"/>
    <x v="1"/>
    <n v="7500"/>
    <x v="3"/>
    <n v="1"/>
    <n v="0"/>
    <x v="2"/>
    <x v="407"/>
    <n v="7"/>
    <x v="1"/>
    <n v="0"/>
    <n v="2"/>
    <n v="8"/>
    <n v="11"/>
    <n v="3"/>
    <n v="8"/>
    <n v="21"/>
    <n v="53"/>
    <n v="4"/>
    <n v="3"/>
    <n v="2"/>
    <n v="2"/>
    <n v="7"/>
    <n v="7"/>
    <x v="0"/>
  </r>
  <r>
    <n v="1448"/>
    <n v="1963"/>
    <x v="1"/>
    <x v="2"/>
    <x v="2"/>
    <n v="33562"/>
    <x v="3"/>
    <n v="1"/>
    <n v="2"/>
    <x v="3"/>
    <x v="99"/>
    <n v="33"/>
    <x v="1"/>
    <n v="0"/>
    <n v="21"/>
    <n v="12"/>
    <n v="12"/>
    <n v="0"/>
    <n v="3"/>
    <n v="3"/>
    <n v="51"/>
    <n v="3"/>
    <n v="2"/>
    <n v="0"/>
    <n v="4"/>
    <n v="6"/>
    <n v="4"/>
    <x v="0"/>
  </r>
  <r>
    <n v="4286"/>
    <n v="1970"/>
    <x v="1"/>
    <x v="1"/>
    <x v="0"/>
    <n v="57642"/>
    <x v="0"/>
    <n v="0"/>
    <n v="1"/>
    <x v="2"/>
    <x v="662"/>
    <n v="24"/>
    <x v="1"/>
    <n v="0"/>
    <n v="580"/>
    <n v="6"/>
    <n v="58"/>
    <n v="8"/>
    <n v="0"/>
    <n v="27"/>
    <n v="679"/>
    <n v="3"/>
    <n v="7"/>
    <n v="6"/>
    <n v="6"/>
    <n v="19"/>
    <n v="4"/>
    <x v="1"/>
  </r>
  <r>
    <n v="4478"/>
    <n v="1979"/>
    <x v="3"/>
    <x v="0"/>
    <x v="2"/>
    <n v="63777"/>
    <x v="0"/>
    <n v="1"/>
    <n v="1"/>
    <x v="1"/>
    <x v="495"/>
    <n v="87"/>
    <x v="0"/>
    <n v="0"/>
    <n v="457"/>
    <n v="5"/>
    <n v="106"/>
    <n v="15"/>
    <n v="17"/>
    <n v="53"/>
    <n v="653"/>
    <n v="8"/>
    <n v="11"/>
    <n v="1"/>
    <n v="6"/>
    <n v="18"/>
    <n v="8"/>
    <x v="0"/>
  </r>
  <r>
    <n v="4201"/>
    <n v="1962"/>
    <x v="0"/>
    <x v="0"/>
    <x v="0"/>
    <n v="57967"/>
    <x v="0"/>
    <n v="0"/>
    <n v="1"/>
    <x v="2"/>
    <x v="261"/>
    <n v="39"/>
    <x v="1"/>
    <n v="0"/>
    <n v="229"/>
    <n v="7"/>
    <n v="137"/>
    <n v="4"/>
    <n v="0"/>
    <n v="91"/>
    <n v="468"/>
    <n v="5"/>
    <n v="4"/>
    <n v="2"/>
    <n v="8"/>
    <n v="14"/>
    <n v="5"/>
    <x v="0"/>
  </r>
  <r>
    <n v="8720"/>
    <n v="1978"/>
    <x v="3"/>
    <x v="2"/>
    <x v="1"/>
    <m/>
    <x v="3"/>
    <n v="0"/>
    <n v="0"/>
    <x v="0"/>
    <x v="357"/>
    <n v="53"/>
    <x v="0"/>
    <n v="0"/>
    <n v="32"/>
    <n v="2"/>
    <n v="1607"/>
    <n v="12"/>
    <n v="4"/>
    <n v="22"/>
    <n v="1679"/>
    <n v="0"/>
    <n v="0"/>
    <n v="0"/>
    <n v="1"/>
    <n v="1"/>
    <n v="0"/>
    <x v="0"/>
  </r>
  <r>
    <n v="10084"/>
    <n v="1972"/>
    <x v="1"/>
    <x v="0"/>
    <x v="2"/>
    <n v="24434"/>
    <x v="3"/>
    <n v="2"/>
    <n v="0"/>
    <x v="1"/>
    <x v="333"/>
    <n v="9"/>
    <x v="1"/>
    <n v="0"/>
    <n v="3"/>
    <n v="2"/>
    <n v="8"/>
    <n v="20"/>
    <n v="0"/>
    <n v="17"/>
    <n v="50"/>
    <n v="2"/>
    <n v="2"/>
    <n v="1"/>
    <n v="2"/>
    <n v="5"/>
    <n v="7"/>
    <x v="0"/>
  </r>
  <r>
    <n v="7004"/>
    <n v="1984"/>
    <x v="2"/>
    <x v="0"/>
    <x v="0"/>
    <n v="11012"/>
    <x v="3"/>
    <n v="1"/>
    <n v="0"/>
    <x v="2"/>
    <x v="277"/>
    <n v="82"/>
    <x v="0"/>
    <n v="0"/>
    <n v="24"/>
    <n v="3"/>
    <n v="26"/>
    <n v="7"/>
    <n v="1"/>
    <n v="23"/>
    <n v="84"/>
    <n v="3"/>
    <n v="3"/>
    <n v="1"/>
    <n v="2"/>
    <n v="6"/>
    <n v="9"/>
    <x v="0"/>
  </r>
  <r>
    <n v="9817"/>
    <n v="1970"/>
    <x v="1"/>
    <x v="2"/>
    <x v="0"/>
    <n v="44802"/>
    <x v="1"/>
    <n v="0"/>
    <n v="0"/>
    <x v="0"/>
    <x v="276"/>
    <n v="71"/>
    <x v="0"/>
    <n v="0"/>
    <n v="853"/>
    <n v="10"/>
    <n v="143"/>
    <n v="13"/>
    <n v="10"/>
    <n v="20"/>
    <n v="1049"/>
    <n v="2"/>
    <n v="9"/>
    <n v="4"/>
    <n v="12"/>
    <n v="25"/>
    <n v="8"/>
    <x v="0"/>
  </r>
  <r>
    <n v="8080"/>
    <n v="1986"/>
    <x v="2"/>
    <x v="0"/>
    <x v="0"/>
    <n v="26816"/>
    <x v="3"/>
    <n v="0"/>
    <n v="0"/>
    <x v="0"/>
    <x v="197"/>
    <n v="50"/>
    <x v="0"/>
    <n v="0"/>
    <n v="5"/>
    <n v="1"/>
    <n v="6"/>
    <n v="3"/>
    <n v="4"/>
    <n v="3"/>
    <n v="22"/>
    <n v="1"/>
    <n v="0"/>
    <n v="0"/>
    <n v="3"/>
    <n v="3"/>
    <n v="4"/>
    <x v="0"/>
  </r>
  <r>
    <n v="9432"/>
    <n v="1977"/>
    <x v="3"/>
    <x v="0"/>
    <x v="1"/>
    <n v="666666"/>
    <x v="2"/>
    <n v="1"/>
    <n v="0"/>
    <x v="2"/>
    <x v="656"/>
    <n v="23"/>
    <x v="1"/>
    <n v="0"/>
    <n v="9"/>
    <n v="14"/>
    <n v="18"/>
    <n v="8"/>
    <n v="1"/>
    <n v="12"/>
    <n v="62"/>
    <n v="4"/>
    <n v="3"/>
    <n v="1"/>
    <n v="3"/>
    <n v="7"/>
    <n v="6"/>
    <x v="0"/>
  </r>
  <r>
    <n v="10870"/>
    <n v="1967"/>
    <x v="1"/>
    <x v="0"/>
    <x v="2"/>
    <n v="61223"/>
    <x v="0"/>
    <n v="0"/>
    <n v="1"/>
    <x v="2"/>
    <x v="225"/>
    <n v="46"/>
    <x v="1"/>
    <n v="0"/>
    <n v="709"/>
    <n v="43"/>
    <n v="182"/>
    <n v="42"/>
    <n v="118"/>
    <n v="247"/>
    <n v="1341"/>
    <n v="2"/>
    <n v="9"/>
    <n v="3"/>
    <n v="4"/>
    <n v="16"/>
    <n v="5"/>
    <x v="1"/>
  </r>
  <r>
    <n v="7270"/>
    <n v="1981"/>
    <x v="3"/>
    <x v="0"/>
    <x v="3"/>
    <n v="56981"/>
    <x v="0"/>
    <n v="0"/>
    <n v="0"/>
    <x v="0"/>
    <x v="440"/>
    <n v="91"/>
    <x v="0"/>
    <n v="0"/>
    <n v="908"/>
    <n v="48"/>
    <n v="217"/>
    <n v="32"/>
    <n v="12"/>
    <n v="24"/>
    <n v="1241"/>
    <n v="1"/>
    <n v="2"/>
    <n v="3"/>
    <n v="13"/>
    <n v="18"/>
    <n v="6"/>
    <x v="0"/>
  </r>
  <r>
    <n v="8235"/>
    <n v="1956"/>
    <x v="0"/>
    <x v="2"/>
    <x v="1"/>
    <n v="69245"/>
    <x v="2"/>
    <n v="0"/>
    <n v="1"/>
    <x v="2"/>
    <x v="102"/>
    <n v="8"/>
    <x v="1"/>
    <n v="0"/>
    <n v="428"/>
    <n v="30"/>
    <n v="214"/>
    <n v="80"/>
    <n v="30"/>
    <n v="61"/>
    <n v="843"/>
    <n v="2"/>
    <n v="6"/>
    <n v="5"/>
    <n v="10"/>
    <n v="21"/>
    <n v="3"/>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FA173F4-0D6E-4E13-9719-78EDAE49F592}" name="Purchases by education" cacheId="13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D3:E8" firstHeaderRow="1" firstDataRow="1" firstDataCol="1"/>
  <pivotFields count="28">
    <pivotField showAll="0"/>
    <pivotField showAll="0"/>
    <pivotField showAll="0"/>
    <pivotField axis="axisRow" showAll="0">
      <items count="6">
        <item m="1" x="4"/>
        <item x="3"/>
        <item x="0"/>
        <item x="2"/>
        <item x="1"/>
        <item t="default"/>
      </items>
    </pivotField>
    <pivotField showAll="0">
      <items count="6">
        <item x="3"/>
        <item x="2"/>
        <item x="0"/>
        <item x="1"/>
        <item x="4"/>
        <item t="default"/>
      </items>
    </pivotField>
    <pivotField showAll="0"/>
    <pivotField showAll="0">
      <items count="5">
        <item x="3"/>
        <item x="1"/>
        <item x="0"/>
        <item x="2"/>
        <item t="default"/>
      </items>
    </pivotField>
    <pivotField showAll="0"/>
    <pivotField showAll="0"/>
    <pivotField showAll="0"/>
    <pivotField numFmtId="1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s>
  <rowFields count="1">
    <field x="3"/>
  </rowFields>
  <rowItems count="5">
    <i>
      <x v="1"/>
    </i>
    <i>
      <x v="2"/>
    </i>
    <i>
      <x v="3"/>
    </i>
    <i>
      <x v="4"/>
    </i>
    <i t="grand">
      <x/>
    </i>
  </rowItems>
  <colItems count="1">
    <i/>
  </colItems>
  <dataFields count="1">
    <dataField name="Average of TotalPurchases" fld="25" subtotal="average" baseField="3" baseItem="0" numFmtId="2"/>
  </dataFields>
  <formats count="1">
    <format dxfId="0">
      <pivotArea outline="0" collapsedLevelsAreSubtotals="1" fieldPosition="0"/>
    </format>
  </formats>
  <chartFormats count="6">
    <chartFormat chart="4" format="19" series="1">
      <pivotArea type="data" outline="0" fieldPosition="0">
        <references count="1">
          <reference field="4294967294" count="1" selected="0">
            <x v="0"/>
          </reference>
        </references>
      </pivotArea>
    </chartFormat>
    <chartFormat chart="4" format="20">
      <pivotArea type="data" outline="0" fieldPosition="0">
        <references count="2">
          <reference field="4294967294" count="1" selected="0">
            <x v="0"/>
          </reference>
          <reference field="3" count="1" selected="0">
            <x v="0"/>
          </reference>
        </references>
      </pivotArea>
    </chartFormat>
    <chartFormat chart="4" format="21">
      <pivotArea type="data" outline="0" fieldPosition="0">
        <references count="2">
          <reference field="4294967294" count="1" selected="0">
            <x v="0"/>
          </reference>
          <reference field="3" count="1" selected="0">
            <x v="1"/>
          </reference>
        </references>
      </pivotArea>
    </chartFormat>
    <chartFormat chart="4" format="22">
      <pivotArea type="data" outline="0" fieldPosition="0">
        <references count="2">
          <reference field="4294967294" count="1" selected="0">
            <x v="0"/>
          </reference>
          <reference field="3" count="1" selected="0">
            <x v="2"/>
          </reference>
        </references>
      </pivotArea>
    </chartFormat>
    <chartFormat chart="4" format="23">
      <pivotArea type="data" outline="0" fieldPosition="0">
        <references count="2">
          <reference field="4294967294" count="1" selected="0">
            <x v="0"/>
          </reference>
          <reference field="3" count="1" selected="0">
            <x v="3"/>
          </reference>
        </references>
      </pivotArea>
    </chartFormat>
    <chartFormat chart="4" format="24">
      <pivotArea type="data" outline="0" fieldPosition="0">
        <references count="2">
          <reference field="4294967294" count="1" selected="0">
            <x v="0"/>
          </reference>
          <reference field="3"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3D6D8D8-19C0-4366-9EB6-12EF654DAB36}" name="Customer kids" cacheId="13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9">
  <location ref="A61:B66" firstHeaderRow="1" firstDataRow="1" firstDataCol="1"/>
  <pivotFields count="28">
    <pivotField showAll="0"/>
    <pivotField showAll="0"/>
    <pivotField showAll="0"/>
    <pivotField showAll="0"/>
    <pivotField showAll="0">
      <items count="6">
        <item x="3"/>
        <item x="2"/>
        <item x="0"/>
        <item x="1"/>
        <item x="4"/>
        <item t="default"/>
      </items>
    </pivotField>
    <pivotField showAll="0"/>
    <pivotField showAll="0">
      <items count="5">
        <item x="3"/>
        <item x="1"/>
        <item x="0"/>
        <item x="2"/>
        <item t="default"/>
      </items>
    </pivotField>
    <pivotField showAll="0"/>
    <pivotField showAll="0"/>
    <pivotField axis="axisRow" dataField="1" showAll="0">
      <items count="5">
        <item x="0"/>
        <item x="2"/>
        <item x="1"/>
        <item x="3"/>
        <item t="default"/>
      </items>
    </pivotField>
    <pivotField numFmtId="14" showAll="0">
      <items count="664">
        <item x="557"/>
        <item x="578"/>
        <item x="439"/>
        <item x="598"/>
        <item x="411"/>
        <item x="332"/>
        <item x="541"/>
        <item x="344"/>
        <item x="442"/>
        <item x="17"/>
        <item x="445"/>
        <item x="262"/>
        <item x="45"/>
        <item x="357"/>
        <item x="585"/>
        <item x="244"/>
        <item x="329"/>
        <item x="599"/>
        <item x="197"/>
        <item x="283"/>
        <item x="337"/>
        <item x="321"/>
        <item x="276"/>
        <item x="123"/>
        <item x="229"/>
        <item x="346"/>
        <item x="516"/>
        <item x="548"/>
        <item x="69"/>
        <item x="592"/>
        <item x="72"/>
        <item x="287"/>
        <item x="14"/>
        <item x="595"/>
        <item x="607"/>
        <item x="576"/>
        <item x="0"/>
        <item x="457"/>
        <item x="403"/>
        <item x="54"/>
        <item x="181"/>
        <item x="154"/>
        <item x="169"/>
        <item x="63"/>
        <item x="144"/>
        <item x="64"/>
        <item x="291"/>
        <item x="655"/>
        <item x="236"/>
        <item x="624"/>
        <item x="562"/>
        <item x="402"/>
        <item x="203"/>
        <item x="385"/>
        <item x="341"/>
        <item x="324"/>
        <item x="577"/>
        <item x="292"/>
        <item x="273"/>
        <item x="483"/>
        <item x="355"/>
        <item x="507"/>
        <item x="626"/>
        <item x="427"/>
        <item x="172"/>
        <item x="581"/>
        <item x="637"/>
        <item x="128"/>
        <item x="11"/>
        <item x="660"/>
        <item x="70"/>
        <item x="204"/>
        <item x="509"/>
        <item x="214"/>
        <item x="205"/>
        <item x="297"/>
        <item x="121"/>
        <item x="117"/>
        <item x="546"/>
        <item x="437"/>
        <item x="206"/>
        <item x="335"/>
        <item x="589"/>
        <item x="183"/>
        <item x="387"/>
        <item x="269"/>
        <item x="122"/>
        <item x="29"/>
        <item x="420"/>
        <item x="227"/>
        <item x="569"/>
        <item x="165"/>
        <item x="16"/>
        <item x="520"/>
        <item x="134"/>
        <item x="485"/>
        <item x="347"/>
        <item x="43"/>
        <item x="40"/>
        <item x="98"/>
        <item x="281"/>
        <item x="260"/>
        <item x="6"/>
        <item x="177"/>
        <item x="596"/>
        <item x="278"/>
        <item x="540"/>
        <item x="48"/>
        <item x="603"/>
        <item x="560"/>
        <item x="84"/>
        <item x="210"/>
        <item x="12"/>
        <item x="600"/>
        <item x="491"/>
        <item x="526"/>
        <item x="366"/>
        <item x="480"/>
        <item x="528"/>
        <item x="279"/>
        <item x="579"/>
        <item x="342"/>
        <item x="356"/>
        <item x="151"/>
        <item x="259"/>
        <item x="96"/>
        <item x="461"/>
        <item x="184"/>
        <item x="584"/>
        <item x="395"/>
        <item x="100"/>
        <item x="127"/>
        <item x="654"/>
        <item x="145"/>
        <item x="632"/>
        <item x="404"/>
        <item x="68"/>
        <item x="661"/>
        <item x="657"/>
        <item x="270"/>
        <item x="19"/>
        <item x="13"/>
        <item x="267"/>
        <item x="642"/>
        <item x="568"/>
        <item x="275"/>
        <item x="345"/>
        <item x="284"/>
        <item x="623"/>
        <item x="415"/>
        <item x="22"/>
        <item x="519"/>
        <item x="530"/>
        <item x="180"/>
        <item x="18"/>
        <item x="629"/>
        <item x="224"/>
        <item x="200"/>
        <item x="257"/>
        <item x="248"/>
        <item x="232"/>
        <item x="231"/>
        <item x="644"/>
        <item x="466"/>
        <item x="538"/>
        <item x="160"/>
        <item x="470"/>
        <item x="401"/>
        <item x="173"/>
        <item x="521"/>
        <item x="299"/>
        <item x="501"/>
        <item x="497"/>
        <item x="391"/>
        <item x="640"/>
        <item x="223"/>
        <item x="380"/>
        <item x="34"/>
        <item x="95"/>
        <item x="211"/>
        <item x="475"/>
        <item x="219"/>
        <item x="247"/>
        <item x="559"/>
        <item x="454"/>
        <item x="508"/>
        <item x="220"/>
        <item x="597"/>
        <item x="253"/>
        <item x="477"/>
        <item x="359"/>
        <item x="320"/>
        <item x="591"/>
        <item x="55"/>
        <item x="103"/>
        <item x="24"/>
        <item x="389"/>
        <item x="302"/>
        <item x="153"/>
        <item x="536"/>
        <item x="561"/>
        <item x="625"/>
        <item x="452"/>
        <item x="374"/>
        <item x="468"/>
        <item x="261"/>
        <item x="506"/>
        <item x="303"/>
        <item x="446"/>
        <item x="230"/>
        <item x="606"/>
        <item x="652"/>
        <item x="112"/>
        <item x="293"/>
        <item x="36"/>
        <item x="212"/>
        <item x="455"/>
        <item x="277"/>
        <item x="65"/>
        <item x="21"/>
        <item x="120"/>
        <item x="186"/>
        <item x="555"/>
        <item x="473"/>
        <item x="189"/>
        <item x="495"/>
        <item x="619"/>
        <item x="182"/>
        <item x="330"/>
        <item x="15"/>
        <item x="443"/>
        <item x="298"/>
        <item x="170"/>
        <item x="322"/>
        <item x="49"/>
        <item x="256"/>
        <item x="66"/>
        <item x="471"/>
        <item x="648"/>
        <item x="62"/>
        <item x="627"/>
        <item x="435"/>
        <item x="85"/>
        <item x="614"/>
        <item x="305"/>
        <item x="352"/>
        <item x="382"/>
        <item x="254"/>
        <item x="500"/>
        <item x="289"/>
        <item x="118"/>
        <item x="90"/>
        <item x="108"/>
        <item x="107"/>
        <item x="327"/>
        <item x="362"/>
        <item x="307"/>
        <item x="238"/>
        <item x="554"/>
        <item x="35"/>
        <item x="602"/>
        <item x="136"/>
        <item x="319"/>
        <item x="542"/>
        <item x="174"/>
        <item x="476"/>
        <item x="397"/>
        <item x="407"/>
        <item x="7"/>
        <item x="252"/>
        <item x="456"/>
        <item x="28"/>
        <item x="447"/>
        <item x="168"/>
        <item x="438"/>
        <item x="187"/>
        <item x="416"/>
        <item x="91"/>
        <item x="499"/>
        <item x="634"/>
        <item x="199"/>
        <item x="58"/>
        <item x="208"/>
        <item x="547"/>
        <item x="41"/>
        <item x="350"/>
        <item x="459"/>
        <item x="23"/>
        <item x="505"/>
        <item x="429"/>
        <item x="156"/>
        <item x="25"/>
        <item x="611"/>
        <item x="656"/>
        <item x="240"/>
        <item x="207"/>
        <item x="8"/>
        <item x="563"/>
        <item x="317"/>
        <item x="503"/>
        <item x="56"/>
        <item x="47"/>
        <item x="225"/>
        <item x="285"/>
        <item x="376"/>
        <item x="51"/>
        <item x="464"/>
        <item x="215"/>
        <item x="87"/>
        <item x="310"/>
        <item x="282"/>
        <item x="73"/>
        <item x="566"/>
        <item x="377"/>
        <item x="339"/>
        <item x="610"/>
        <item x="553"/>
        <item x="496"/>
        <item x="258"/>
        <item x="133"/>
        <item x="250"/>
        <item x="74"/>
        <item x="53"/>
        <item x="249"/>
        <item x="544"/>
        <item x="114"/>
        <item x="129"/>
        <item x="381"/>
        <item x="104"/>
        <item x="222"/>
        <item x="141"/>
        <item x="398"/>
        <item x="639"/>
        <item x="77"/>
        <item x="166"/>
        <item x="394"/>
        <item x="349"/>
        <item x="504"/>
        <item x="545"/>
        <item x="570"/>
        <item x="88"/>
        <item x="616"/>
        <item x="423"/>
        <item x="396"/>
        <item x="481"/>
        <item x="116"/>
        <item x="243"/>
        <item x="524"/>
        <item x="195"/>
        <item x="379"/>
        <item x="152"/>
        <item x="375"/>
        <item x="631"/>
        <item x="479"/>
        <item x="315"/>
        <item x="367"/>
        <item x="364"/>
        <item x="502"/>
        <item x="659"/>
        <item x="76"/>
        <item x="635"/>
        <item x="515"/>
        <item x="113"/>
        <item x="264"/>
        <item x="354"/>
        <item x="529"/>
        <item x="408"/>
        <item x="393"/>
        <item x="132"/>
        <item x="2"/>
        <item x="313"/>
        <item x="245"/>
        <item x="646"/>
        <item x="428"/>
        <item x="572"/>
        <item x="556"/>
        <item x="119"/>
        <item x="30"/>
        <item x="462"/>
        <item x="176"/>
        <item x="458"/>
        <item x="32"/>
        <item x="71"/>
        <item x="564"/>
        <item x="638"/>
        <item x="312"/>
        <item x="5"/>
        <item x="101"/>
        <item x="255"/>
        <item x="130"/>
        <item x="378"/>
        <item x="386"/>
        <item x="449"/>
        <item x="201"/>
        <item x="390"/>
        <item x="360"/>
        <item x="159"/>
        <item x="537"/>
        <item x="588"/>
        <item x="325"/>
        <item x="615"/>
        <item x="94"/>
        <item x="417"/>
        <item x="155"/>
        <item x="61"/>
        <item x="148"/>
        <item x="111"/>
        <item x="573"/>
        <item x="38"/>
        <item x="451"/>
        <item x="191"/>
        <item x="612"/>
        <item x="290"/>
        <item x="272"/>
        <item x="316"/>
        <item x="331"/>
        <item x="441"/>
        <item x="234"/>
        <item x="525"/>
        <item x="164"/>
        <item x="590"/>
        <item x="286"/>
        <item x="131"/>
        <item x="422"/>
        <item x="388"/>
        <item x="351"/>
        <item x="413"/>
        <item x="294"/>
        <item x="484"/>
        <item x="424"/>
        <item x="512"/>
        <item x="534"/>
        <item x="202"/>
        <item x="194"/>
        <item x="467"/>
        <item x="338"/>
        <item x="658"/>
        <item x="97"/>
        <item x="358"/>
        <item x="472"/>
        <item x="37"/>
        <item x="373"/>
        <item x="251"/>
        <item x="418"/>
        <item x="514"/>
        <item x="265"/>
        <item x="543"/>
        <item x="138"/>
        <item x="105"/>
        <item x="10"/>
        <item x="498"/>
        <item x="139"/>
        <item x="405"/>
        <item x="300"/>
        <item x="436"/>
        <item x="26"/>
        <item x="81"/>
        <item x="308"/>
        <item x="630"/>
        <item x="343"/>
        <item x="196"/>
        <item x="271"/>
        <item x="651"/>
        <item x="86"/>
        <item x="348"/>
        <item x="369"/>
        <item x="190"/>
        <item x="558"/>
        <item x="57"/>
        <item x="263"/>
        <item x="167"/>
        <item x="163"/>
        <item x="93"/>
        <item x="492"/>
        <item x="460"/>
        <item x="409"/>
        <item x="469"/>
        <item x="636"/>
        <item x="419"/>
        <item x="241"/>
        <item x="463"/>
        <item x="425"/>
        <item x="314"/>
        <item x="311"/>
        <item x="318"/>
        <item x="365"/>
        <item x="539"/>
        <item x="414"/>
        <item x="192"/>
        <item x="226"/>
        <item x="400"/>
        <item x="157"/>
        <item x="336"/>
        <item x="31"/>
        <item x="42"/>
        <item x="421"/>
        <item x="268"/>
        <item x="412"/>
        <item x="135"/>
        <item x="488"/>
        <item x="368"/>
        <item x="662"/>
        <item x="618"/>
        <item x="20"/>
        <item x="549"/>
        <item x="482"/>
        <item x="493"/>
        <item x="228"/>
        <item x="620"/>
        <item x="239"/>
        <item x="4"/>
        <item x="79"/>
        <item x="149"/>
        <item x="494"/>
        <item x="102"/>
        <item x="440"/>
        <item x="340"/>
        <item x="353"/>
        <item x="326"/>
        <item x="450"/>
        <item x="142"/>
        <item x="571"/>
        <item x="575"/>
        <item x="309"/>
        <item x="510"/>
        <item x="217"/>
        <item x="641"/>
        <item x="643"/>
        <item x="372"/>
        <item x="594"/>
        <item x="246"/>
        <item x="3"/>
        <item x="33"/>
        <item x="593"/>
        <item x="550"/>
        <item x="301"/>
        <item x="363"/>
        <item x="185"/>
        <item x="410"/>
        <item x="513"/>
        <item x="567"/>
        <item x="613"/>
        <item x="586"/>
        <item x="106"/>
        <item x="75"/>
        <item x="522"/>
        <item x="551"/>
        <item x="647"/>
        <item x="137"/>
        <item x="582"/>
        <item x="52"/>
        <item x="487"/>
        <item x="237"/>
        <item x="328"/>
        <item x="126"/>
        <item x="1"/>
        <item x="448"/>
        <item x="399"/>
        <item x="242"/>
        <item x="432"/>
        <item x="9"/>
        <item x="587"/>
        <item x="233"/>
        <item x="171"/>
        <item x="60"/>
        <item x="216"/>
        <item x="478"/>
        <item x="274"/>
        <item x="82"/>
        <item x="535"/>
        <item x="622"/>
        <item x="430"/>
        <item x="653"/>
        <item x="605"/>
        <item x="370"/>
        <item x="89"/>
        <item x="161"/>
        <item x="175"/>
        <item x="628"/>
        <item x="383"/>
        <item x="143"/>
        <item x="306"/>
        <item x="218"/>
        <item x="518"/>
        <item x="371"/>
        <item x="431"/>
        <item x="649"/>
        <item x="178"/>
        <item x="565"/>
        <item x="235"/>
        <item x="179"/>
        <item x="608"/>
        <item x="188"/>
        <item x="221"/>
        <item x="384"/>
        <item x="517"/>
        <item x="552"/>
        <item x="140"/>
        <item x="280"/>
        <item x="523"/>
        <item x="125"/>
        <item x="609"/>
        <item x="532"/>
        <item x="601"/>
        <item x="50"/>
        <item x="433"/>
        <item x="67"/>
        <item x="527"/>
        <item x="453"/>
        <item x="531"/>
        <item x="288"/>
        <item x="580"/>
        <item x="304"/>
        <item x="392"/>
        <item x="92"/>
        <item x="334"/>
        <item x="110"/>
        <item x="59"/>
        <item x="44"/>
        <item x="158"/>
        <item x="583"/>
        <item x="426"/>
        <item x="193"/>
        <item x="333"/>
        <item x="115"/>
        <item x="27"/>
        <item x="146"/>
        <item x="83"/>
        <item x="323"/>
        <item x="486"/>
        <item x="80"/>
        <item x="78"/>
        <item x="465"/>
        <item x="296"/>
        <item x="474"/>
        <item x="533"/>
        <item x="444"/>
        <item x="621"/>
        <item x="198"/>
        <item x="633"/>
        <item x="46"/>
        <item x="109"/>
        <item x="295"/>
        <item x="574"/>
        <item x="489"/>
        <item x="650"/>
        <item x="406"/>
        <item x="604"/>
        <item x="150"/>
        <item x="266"/>
        <item x="209"/>
        <item x="361"/>
        <item x="490"/>
        <item x="645"/>
        <item x="124"/>
        <item x="511"/>
        <item x="617"/>
        <item x="147"/>
        <item x="99"/>
        <item x="213"/>
        <item x="434"/>
        <item x="39"/>
        <item x="16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9"/>
  </rowFields>
  <rowItems count="5">
    <i>
      <x/>
    </i>
    <i>
      <x v="1"/>
    </i>
    <i>
      <x v="2"/>
    </i>
    <i>
      <x v="3"/>
    </i>
    <i t="grand">
      <x/>
    </i>
  </rowItems>
  <colItems count="1">
    <i/>
  </colItems>
  <dataFields count="1">
    <dataField name="Count of Totalchildren" fld="9" subtotal="count" baseField="9" baseItem="0"/>
  </dataFields>
  <chartFormats count="2">
    <chartFormat chart="1" format="1" series="1">
      <pivotArea type="data" outline="0" fieldPosition="0">
        <references count="1">
          <reference field="4294967294" count="1" selected="0">
            <x v="0"/>
          </reference>
        </references>
      </pivotArea>
    </chartFormat>
    <chartFormat chart="8"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0" type="dateBetween" evalOrder="-1" id="225" name="Dt_Customer">
      <autoFilter ref="A1">
        <filterColumn colId="0">
          <customFilters and="1">
            <customFilter operator="greaterThanOrEqual" val="40909"/>
            <customFilter operator="lessThanOrEqual" val="42004"/>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19502EC-0C70-4E19-A353-CB77A8745F3F}" name="Purchase method by numchildren" cacheId="13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89:D94" firstHeaderRow="0" firstDataRow="1" firstDataCol="1"/>
  <pivotFields count="28">
    <pivotField showAll="0"/>
    <pivotField showAll="0"/>
    <pivotField showAll="0">
      <items count="7">
        <item x="2"/>
        <item x="3"/>
        <item x="1"/>
        <item x="5"/>
        <item x="4"/>
        <item x="0"/>
        <item t="default"/>
      </items>
    </pivotField>
    <pivotField showAll="0"/>
    <pivotField showAll="0">
      <items count="6">
        <item x="3"/>
        <item x="2"/>
        <item x="0"/>
        <item x="1"/>
        <item x="4"/>
        <item t="default"/>
      </items>
    </pivotField>
    <pivotField showAll="0"/>
    <pivotField showAll="0">
      <items count="5">
        <item x="3"/>
        <item x="1"/>
        <item x="0"/>
        <item x="2"/>
        <item t="default"/>
      </items>
    </pivotField>
    <pivotField showAll="0"/>
    <pivotField showAll="0"/>
    <pivotField axis="axisRow" showAll="0">
      <items count="5">
        <item x="0"/>
        <item x="2"/>
        <item x="1"/>
        <item x="3"/>
        <item t="default"/>
      </items>
    </pivotField>
    <pivotField numFmtId="14"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dataField="1" showAll="0"/>
    <pivotField showAll="0"/>
    <pivotField showAll="0"/>
    <pivotField showAll="0"/>
  </pivotFields>
  <rowFields count="1">
    <field x="9"/>
  </rowFields>
  <rowItems count="5">
    <i>
      <x/>
    </i>
    <i>
      <x v="1"/>
    </i>
    <i>
      <x v="2"/>
    </i>
    <i>
      <x v="3"/>
    </i>
    <i t="grand">
      <x/>
    </i>
  </rowItems>
  <colFields count="1">
    <field x="-2"/>
  </colFields>
  <colItems count="3">
    <i>
      <x/>
    </i>
    <i i="1">
      <x v="1"/>
    </i>
    <i i="2">
      <x v="2"/>
    </i>
  </colItems>
  <dataFields count="3">
    <dataField name="Average of NumWebPurchases" fld="22" subtotal="average" baseField="2" baseItem="0"/>
    <dataField name="Average of NumCatalogPurchases" fld="23" subtotal="average" baseField="2" baseItem="0"/>
    <dataField name="Average of NumStorePurchases" fld="24" subtotal="average" baseField="2" baseItem="0"/>
  </dataFields>
  <formats count="6">
    <format dxfId="6">
      <pivotArea type="all" dataOnly="0" outline="0" fieldPosition="0"/>
    </format>
    <format dxfId="5">
      <pivotArea outline="0" collapsedLevelsAreSubtotals="1" fieldPosition="0"/>
    </format>
    <format dxfId="4">
      <pivotArea field="2" type="button" dataOnly="0" labelOnly="1" outline="0"/>
    </format>
    <format dxfId="3">
      <pivotArea dataOnly="0" labelOnly="1" grandRow="1" outline="0" fieldPosition="0"/>
    </format>
    <format dxfId="2">
      <pivotArea dataOnly="0" labelOnly="1" outline="0" fieldPosition="0">
        <references count="1">
          <reference field="4294967294" count="3">
            <x v="0"/>
            <x v="1"/>
            <x v="2"/>
          </reference>
        </references>
      </pivotArea>
    </format>
    <format dxfId="1">
      <pivotArea dataOnly="0" labelOnly="1" fieldPosition="0">
        <references count="1">
          <reference field="9" count="0"/>
        </references>
      </pivotArea>
    </format>
  </formats>
  <chartFormats count="3">
    <chartFormat chart="4" format="12" series="1">
      <pivotArea type="data" outline="0" fieldPosition="0">
        <references count="1">
          <reference field="4294967294" count="1" selected="0">
            <x v="0"/>
          </reference>
        </references>
      </pivotArea>
    </chartFormat>
    <chartFormat chart="4" format="13" series="1">
      <pivotArea type="data" outline="0" fieldPosition="0">
        <references count="1">
          <reference field="4294967294" count="1" selected="0">
            <x v="1"/>
          </reference>
        </references>
      </pivotArea>
    </chartFormat>
    <chartFormat chart="4" format="14"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E7F27A2-6B1A-4DEB-A872-859514F415A8}" name="Purchases in detail by age" cacheId="13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34:H41" firstHeaderRow="0" firstDataRow="1" firstDataCol="1"/>
  <pivotFields count="28">
    <pivotField showAll="0"/>
    <pivotField showAll="0"/>
    <pivotField axis="axisRow" showAll="0">
      <items count="7">
        <item x="2"/>
        <item x="3"/>
        <item x="1"/>
        <item x="5"/>
        <item x="4"/>
        <item x="0"/>
        <item t="default"/>
      </items>
    </pivotField>
    <pivotField showAll="0"/>
    <pivotField showAll="0">
      <items count="6">
        <item x="3"/>
        <item x="2"/>
        <item x="0"/>
        <item x="1"/>
        <item x="4"/>
        <item t="default"/>
      </items>
    </pivotField>
    <pivotField showAll="0"/>
    <pivotField showAll="0">
      <items count="5">
        <item x="3"/>
        <item x="1"/>
        <item x="0"/>
        <item x="2"/>
        <item t="default"/>
      </items>
    </pivotField>
    <pivotField showAll="0"/>
    <pivotField showAll="0"/>
    <pivotField showAll="0"/>
    <pivotField numFmtId="14" showAll="0"/>
    <pivotField showAll="0"/>
    <pivotField showAll="0"/>
    <pivotField showAll="0"/>
    <pivotField dataField="1" showAll="0"/>
    <pivotField dataField="1" showAll="0"/>
    <pivotField dataField="1" showAll="0"/>
    <pivotField dataField="1" showAll="0"/>
    <pivotField dataField="1" showAll="0"/>
    <pivotField dataField="1" showAll="0"/>
    <pivotField showAll="0"/>
    <pivotField showAll="0"/>
    <pivotField showAll="0"/>
    <pivotField showAll="0"/>
    <pivotField showAll="0"/>
    <pivotField dataField="1" showAll="0"/>
    <pivotField showAll="0"/>
    <pivotField showAll="0"/>
  </pivotFields>
  <rowFields count="1">
    <field x="2"/>
  </rowFields>
  <rowItems count="7">
    <i>
      <x/>
    </i>
    <i>
      <x v="1"/>
    </i>
    <i>
      <x v="2"/>
    </i>
    <i>
      <x v="3"/>
    </i>
    <i>
      <x v="4"/>
    </i>
    <i>
      <x v="5"/>
    </i>
    <i t="grand">
      <x/>
    </i>
  </rowItems>
  <colFields count="1">
    <field x="-2"/>
  </colFields>
  <colItems count="7">
    <i>
      <x/>
    </i>
    <i i="1">
      <x v="1"/>
    </i>
    <i i="2">
      <x v="2"/>
    </i>
    <i i="3">
      <x v="3"/>
    </i>
    <i i="4">
      <x v="4"/>
    </i>
    <i i="5">
      <x v="5"/>
    </i>
    <i i="6">
      <x v="6"/>
    </i>
  </colItems>
  <dataFields count="7">
    <dataField name="Average of TotalPurchases" fld="25" subtotal="average" baseField="2" baseItem="0"/>
    <dataField name="Average of MntGoldProds" fld="19" subtotal="average" baseField="2" baseItem="0"/>
    <dataField name="Average of MntSweetProducts" fld="18" subtotal="average" baseField="2" baseItem="0"/>
    <dataField name="Average of MntFishProducts" fld="17" subtotal="average" baseField="2" baseItem="0"/>
    <dataField name="Average of MntMeatProducts" fld="16" subtotal="average" baseField="2" baseItem="0"/>
    <dataField name="Average of MntFruits" fld="15" subtotal="average" baseField="2" baseItem="0"/>
    <dataField name="Average of MntWines" fld="14" subtotal="average" baseField="2" baseItem="0"/>
  </dataFields>
  <formats count="6">
    <format dxfId="12">
      <pivotArea type="all" dataOnly="0" outline="0" fieldPosition="0"/>
    </format>
    <format dxfId="11">
      <pivotArea outline="0" collapsedLevelsAreSubtotals="1" fieldPosition="0"/>
    </format>
    <format dxfId="10">
      <pivotArea field="2" type="button" dataOnly="0" labelOnly="1" outline="0" axis="axisRow" fieldPosition="0"/>
    </format>
    <format dxfId="9">
      <pivotArea dataOnly="0" labelOnly="1" fieldPosition="0">
        <references count="1">
          <reference field="2" count="0"/>
        </references>
      </pivotArea>
    </format>
    <format dxfId="8">
      <pivotArea dataOnly="0" labelOnly="1" grandRow="1" outline="0" fieldPosition="0"/>
    </format>
    <format dxfId="7">
      <pivotArea dataOnly="0" labelOnly="1" outline="0" fieldPosition="0">
        <references count="1">
          <reference field="4294967294" count="1">
            <x v="0"/>
          </reference>
        </references>
      </pivotArea>
    </format>
  </formats>
  <chartFormats count="7">
    <chartFormat chart="4" format="28" series="1">
      <pivotArea type="data" outline="0" fieldPosition="0">
        <references count="1">
          <reference field="4294967294" count="1" selected="0">
            <x v="1"/>
          </reference>
        </references>
      </pivotArea>
    </chartFormat>
    <chartFormat chart="4" format="29" series="1">
      <pivotArea type="data" outline="0" fieldPosition="0">
        <references count="1">
          <reference field="4294967294" count="1" selected="0">
            <x v="2"/>
          </reference>
        </references>
      </pivotArea>
    </chartFormat>
    <chartFormat chart="4" format="30" series="1">
      <pivotArea type="data" outline="0" fieldPosition="0">
        <references count="1">
          <reference field="4294967294" count="1" selected="0">
            <x v="3"/>
          </reference>
        </references>
      </pivotArea>
    </chartFormat>
    <chartFormat chart="4" format="31" series="1">
      <pivotArea type="data" outline="0" fieldPosition="0">
        <references count="1">
          <reference field="4294967294" count="1" selected="0">
            <x v="4"/>
          </reference>
        </references>
      </pivotArea>
    </chartFormat>
    <chartFormat chart="4" format="32" series="1">
      <pivotArea type="data" outline="0" fieldPosition="0">
        <references count="1">
          <reference field="4294967294" count="1" selected="0">
            <x v="5"/>
          </reference>
        </references>
      </pivotArea>
    </chartFormat>
    <chartFormat chart="4" format="33" series="1">
      <pivotArea type="data" outline="0" fieldPosition="0">
        <references count="1">
          <reference field="4294967294" count="1" selected="0">
            <x v="6"/>
          </reference>
        </references>
      </pivotArea>
    </chartFormat>
    <chartFormat chart="4" format="3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282A04B-0873-4073-BE5B-4FA8CDF14506}" name="Customer education" cacheId="13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3">
  <location ref="A53:B58" firstHeaderRow="1" firstDataRow="1" firstDataCol="1"/>
  <pivotFields count="28">
    <pivotField showAll="0"/>
    <pivotField showAll="0"/>
    <pivotField showAll="0"/>
    <pivotField axis="axisRow" dataField="1" showAll="0">
      <items count="6">
        <item m="1" x="4"/>
        <item x="3"/>
        <item x="0"/>
        <item x="2"/>
        <item x="1"/>
        <item t="default"/>
      </items>
    </pivotField>
    <pivotField showAll="0">
      <items count="6">
        <item x="3"/>
        <item x="2"/>
        <item x="0"/>
        <item x="1"/>
        <item x="4"/>
        <item t="default"/>
      </items>
    </pivotField>
    <pivotField showAll="0"/>
    <pivotField showAll="0">
      <items count="5">
        <item x="3"/>
        <item x="1"/>
        <item x="0"/>
        <item x="2"/>
        <item t="default"/>
      </items>
    </pivotField>
    <pivotField showAll="0"/>
    <pivotField showAll="0"/>
    <pivotField showAll="0"/>
    <pivotField numFmtId="14" showAll="0">
      <items count="664">
        <item x="557"/>
        <item x="578"/>
        <item x="439"/>
        <item x="598"/>
        <item x="411"/>
        <item x="332"/>
        <item x="541"/>
        <item x="344"/>
        <item x="442"/>
        <item x="17"/>
        <item x="445"/>
        <item x="262"/>
        <item x="45"/>
        <item x="357"/>
        <item x="585"/>
        <item x="244"/>
        <item x="329"/>
        <item x="599"/>
        <item x="197"/>
        <item x="283"/>
        <item x="337"/>
        <item x="321"/>
        <item x="276"/>
        <item x="123"/>
        <item x="229"/>
        <item x="346"/>
        <item x="516"/>
        <item x="548"/>
        <item x="69"/>
        <item x="592"/>
        <item x="72"/>
        <item x="287"/>
        <item x="14"/>
        <item x="595"/>
        <item x="607"/>
        <item x="576"/>
        <item x="0"/>
        <item x="457"/>
        <item x="403"/>
        <item x="54"/>
        <item x="181"/>
        <item x="154"/>
        <item x="169"/>
        <item x="63"/>
        <item x="144"/>
        <item x="64"/>
        <item x="291"/>
        <item x="655"/>
        <item x="236"/>
        <item x="624"/>
        <item x="562"/>
        <item x="402"/>
        <item x="203"/>
        <item x="385"/>
        <item x="341"/>
        <item x="324"/>
        <item x="577"/>
        <item x="292"/>
        <item x="273"/>
        <item x="483"/>
        <item x="355"/>
        <item x="507"/>
        <item x="626"/>
        <item x="427"/>
        <item x="172"/>
        <item x="581"/>
        <item x="637"/>
        <item x="128"/>
        <item x="11"/>
        <item x="660"/>
        <item x="70"/>
        <item x="204"/>
        <item x="509"/>
        <item x="214"/>
        <item x="205"/>
        <item x="297"/>
        <item x="121"/>
        <item x="117"/>
        <item x="546"/>
        <item x="437"/>
        <item x="206"/>
        <item x="335"/>
        <item x="589"/>
        <item x="183"/>
        <item x="387"/>
        <item x="269"/>
        <item x="122"/>
        <item x="29"/>
        <item x="420"/>
        <item x="227"/>
        <item x="569"/>
        <item x="165"/>
        <item x="16"/>
        <item x="520"/>
        <item x="134"/>
        <item x="485"/>
        <item x="347"/>
        <item x="43"/>
        <item x="40"/>
        <item x="98"/>
        <item x="281"/>
        <item x="260"/>
        <item x="6"/>
        <item x="177"/>
        <item x="596"/>
        <item x="278"/>
        <item x="540"/>
        <item x="48"/>
        <item x="603"/>
        <item x="560"/>
        <item x="84"/>
        <item x="210"/>
        <item x="12"/>
        <item x="600"/>
        <item x="491"/>
        <item x="526"/>
        <item x="366"/>
        <item x="480"/>
        <item x="528"/>
        <item x="279"/>
        <item x="579"/>
        <item x="342"/>
        <item x="356"/>
        <item x="151"/>
        <item x="259"/>
        <item x="96"/>
        <item x="461"/>
        <item x="184"/>
        <item x="584"/>
        <item x="395"/>
        <item x="100"/>
        <item x="127"/>
        <item x="654"/>
        <item x="145"/>
        <item x="632"/>
        <item x="404"/>
        <item x="68"/>
        <item x="661"/>
        <item x="657"/>
        <item x="270"/>
        <item x="19"/>
        <item x="13"/>
        <item x="267"/>
        <item x="642"/>
        <item x="568"/>
        <item x="275"/>
        <item x="345"/>
        <item x="284"/>
        <item x="623"/>
        <item x="415"/>
        <item x="22"/>
        <item x="519"/>
        <item x="530"/>
        <item x="180"/>
        <item x="18"/>
        <item x="629"/>
        <item x="224"/>
        <item x="200"/>
        <item x="257"/>
        <item x="248"/>
        <item x="232"/>
        <item x="231"/>
        <item x="644"/>
        <item x="466"/>
        <item x="538"/>
        <item x="160"/>
        <item x="470"/>
        <item x="401"/>
        <item x="173"/>
        <item x="521"/>
        <item x="299"/>
        <item x="501"/>
        <item x="497"/>
        <item x="391"/>
        <item x="640"/>
        <item x="223"/>
        <item x="380"/>
        <item x="34"/>
        <item x="95"/>
        <item x="211"/>
        <item x="475"/>
        <item x="219"/>
        <item x="247"/>
        <item x="559"/>
        <item x="454"/>
        <item x="508"/>
        <item x="220"/>
        <item x="597"/>
        <item x="253"/>
        <item x="477"/>
        <item x="359"/>
        <item x="320"/>
        <item x="591"/>
        <item x="55"/>
        <item x="103"/>
        <item x="24"/>
        <item x="389"/>
        <item x="302"/>
        <item x="153"/>
        <item x="536"/>
        <item x="561"/>
        <item x="625"/>
        <item x="452"/>
        <item x="374"/>
        <item x="468"/>
        <item x="261"/>
        <item x="506"/>
        <item x="303"/>
        <item x="446"/>
        <item x="230"/>
        <item x="606"/>
        <item x="652"/>
        <item x="112"/>
        <item x="293"/>
        <item x="36"/>
        <item x="212"/>
        <item x="455"/>
        <item x="277"/>
        <item x="65"/>
        <item x="21"/>
        <item x="120"/>
        <item x="186"/>
        <item x="555"/>
        <item x="473"/>
        <item x="189"/>
        <item x="495"/>
        <item x="619"/>
        <item x="182"/>
        <item x="330"/>
        <item x="15"/>
        <item x="443"/>
        <item x="298"/>
        <item x="170"/>
        <item x="322"/>
        <item x="49"/>
        <item x="256"/>
        <item x="66"/>
        <item x="471"/>
        <item x="648"/>
        <item x="62"/>
        <item x="627"/>
        <item x="435"/>
        <item x="85"/>
        <item x="614"/>
        <item x="305"/>
        <item x="352"/>
        <item x="382"/>
        <item x="254"/>
        <item x="500"/>
        <item x="289"/>
        <item x="118"/>
        <item x="90"/>
        <item x="108"/>
        <item x="107"/>
        <item x="327"/>
        <item x="362"/>
        <item x="307"/>
        <item x="238"/>
        <item x="554"/>
        <item x="35"/>
        <item x="602"/>
        <item x="136"/>
        <item x="319"/>
        <item x="542"/>
        <item x="174"/>
        <item x="476"/>
        <item x="397"/>
        <item x="407"/>
        <item x="7"/>
        <item x="252"/>
        <item x="456"/>
        <item x="28"/>
        <item x="447"/>
        <item x="168"/>
        <item x="438"/>
        <item x="187"/>
        <item x="416"/>
        <item x="91"/>
        <item x="499"/>
        <item x="634"/>
        <item x="199"/>
        <item x="58"/>
        <item x="208"/>
        <item x="547"/>
        <item x="41"/>
        <item x="350"/>
        <item x="459"/>
        <item x="23"/>
        <item x="505"/>
        <item x="429"/>
        <item x="156"/>
        <item x="25"/>
        <item x="611"/>
        <item x="656"/>
        <item x="240"/>
        <item x="207"/>
        <item x="8"/>
        <item x="563"/>
        <item x="317"/>
        <item x="503"/>
        <item x="56"/>
        <item x="47"/>
        <item x="225"/>
        <item x="285"/>
        <item x="376"/>
        <item x="51"/>
        <item x="464"/>
        <item x="215"/>
        <item x="87"/>
        <item x="310"/>
        <item x="282"/>
        <item x="73"/>
        <item x="566"/>
        <item x="377"/>
        <item x="339"/>
        <item x="610"/>
        <item x="553"/>
        <item x="496"/>
        <item x="258"/>
        <item x="133"/>
        <item x="250"/>
        <item x="74"/>
        <item x="53"/>
        <item x="249"/>
        <item x="544"/>
        <item x="114"/>
        <item x="129"/>
        <item x="381"/>
        <item x="104"/>
        <item x="222"/>
        <item x="141"/>
        <item x="398"/>
        <item x="639"/>
        <item x="77"/>
        <item x="166"/>
        <item x="394"/>
        <item x="349"/>
        <item x="504"/>
        <item x="545"/>
        <item x="570"/>
        <item x="88"/>
        <item x="616"/>
        <item x="423"/>
        <item x="396"/>
        <item x="481"/>
        <item x="116"/>
        <item x="243"/>
        <item x="524"/>
        <item x="195"/>
        <item x="379"/>
        <item x="152"/>
        <item x="375"/>
        <item x="631"/>
        <item x="479"/>
        <item x="315"/>
        <item x="367"/>
        <item x="364"/>
        <item x="502"/>
        <item x="659"/>
        <item x="76"/>
        <item x="635"/>
        <item x="515"/>
        <item x="113"/>
        <item x="264"/>
        <item x="354"/>
        <item x="529"/>
        <item x="408"/>
        <item x="393"/>
        <item x="132"/>
        <item x="2"/>
        <item x="313"/>
        <item x="245"/>
        <item x="646"/>
        <item x="428"/>
        <item x="572"/>
        <item x="556"/>
        <item x="119"/>
        <item x="30"/>
        <item x="462"/>
        <item x="176"/>
        <item x="458"/>
        <item x="32"/>
        <item x="71"/>
        <item x="564"/>
        <item x="638"/>
        <item x="312"/>
        <item x="5"/>
        <item x="101"/>
        <item x="255"/>
        <item x="130"/>
        <item x="378"/>
        <item x="386"/>
        <item x="449"/>
        <item x="201"/>
        <item x="390"/>
        <item x="360"/>
        <item x="159"/>
        <item x="537"/>
        <item x="588"/>
        <item x="325"/>
        <item x="615"/>
        <item x="94"/>
        <item x="417"/>
        <item x="155"/>
        <item x="61"/>
        <item x="148"/>
        <item x="111"/>
        <item x="573"/>
        <item x="38"/>
        <item x="451"/>
        <item x="191"/>
        <item x="612"/>
        <item x="290"/>
        <item x="272"/>
        <item x="316"/>
        <item x="331"/>
        <item x="441"/>
        <item x="234"/>
        <item x="525"/>
        <item x="164"/>
        <item x="590"/>
        <item x="286"/>
        <item x="131"/>
        <item x="422"/>
        <item x="388"/>
        <item x="351"/>
        <item x="413"/>
        <item x="294"/>
        <item x="484"/>
        <item x="424"/>
        <item x="512"/>
        <item x="534"/>
        <item x="202"/>
        <item x="194"/>
        <item x="467"/>
        <item x="338"/>
        <item x="658"/>
        <item x="97"/>
        <item x="358"/>
        <item x="472"/>
        <item x="37"/>
        <item x="373"/>
        <item x="251"/>
        <item x="418"/>
        <item x="514"/>
        <item x="265"/>
        <item x="543"/>
        <item x="138"/>
        <item x="105"/>
        <item x="10"/>
        <item x="498"/>
        <item x="139"/>
        <item x="405"/>
        <item x="300"/>
        <item x="436"/>
        <item x="26"/>
        <item x="81"/>
        <item x="308"/>
        <item x="630"/>
        <item x="343"/>
        <item x="196"/>
        <item x="271"/>
        <item x="651"/>
        <item x="86"/>
        <item x="348"/>
        <item x="369"/>
        <item x="190"/>
        <item x="558"/>
        <item x="57"/>
        <item x="263"/>
        <item x="167"/>
        <item x="163"/>
        <item x="93"/>
        <item x="492"/>
        <item x="460"/>
        <item x="409"/>
        <item x="469"/>
        <item x="636"/>
        <item x="419"/>
        <item x="241"/>
        <item x="463"/>
        <item x="425"/>
        <item x="314"/>
        <item x="311"/>
        <item x="318"/>
        <item x="365"/>
        <item x="539"/>
        <item x="414"/>
        <item x="192"/>
        <item x="226"/>
        <item x="400"/>
        <item x="157"/>
        <item x="336"/>
        <item x="31"/>
        <item x="42"/>
        <item x="421"/>
        <item x="268"/>
        <item x="412"/>
        <item x="135"/>
        <item x="488"/>
        <item x="368"/>
        <item x="662"/>
        <item x="618"/>
        <item x="20"/>
        <item x="549"/>
        <item x="482"/>
        <item x="493"/>
        <item x="228"/>
        <item x="620"/>
        <item x="239"/>
        <item x="4"/>
        <item x="79"/>
        <item x="149"/>
        <item x="494"/>
        <item x="102"/>
        <item x="440"/>
        <item x="340"/>
        <item x="353"/>
        <item x="326"/>
        <item x="450"/>
        <item x="142"/>
        <item x="571"/>
        <item x="575"/>
        <item x="309"/>
        <item x="510"/>
        <item x="217"/>
        <item x="641"/>
        <item x="643"/>
        <item x="372"/>
        <item x="594"/>
        <item x="246"/>
        <item x="3"/>
        <item x="33"/>
        <item x="593"/>
        <item x="550"/>
        <item x="301"/>
        <item x="363"/>
        <item x="185"/>
        <item x="410"/>
        <item x="513"/>
        <item x="567"/>
        <item x="613"/>
        <item x="586"/>
        <item x="106"/>
        <item x="75"/>
        <item x="522"/>
        <item x="551"/>
        <item x="647"/>
        <item x="137"/>
        <item x="582"/>
        <item x="52"/>
        <item x="487"/>
        <item x="237"/>
        <item x="328"/>
        <item x="126"/>
        <item x="1"/>
        <item x="448"/>
        <item x="399"/>
        <item x="242"/>
        <item x="432"/>
        <item x="9"/>
        <item x="587"/>
        <item x="233"/>
        <item x="171"/>
        <item x="60"/>
        <item x="216"/>
        <item x="478"/>
        <item x="274"/>
        <item x="82"/>
        <item x="535"/>
        <item x="622"/>
        <item x="430"/>
        <item x="653"/>
        <item x="605"/>
        <item x="370"/>
        <item x="89"/>
        <item x="161"/>
        <item x="175"/>
        <item x="628"/>
        <item x="383"/>
        <item x="143"/>
        <item x="306"/>
        <item x="218"/>
        <item x="518"/>
        <item x="371"/>
        <item x="431"/>
        <item x="649"/>
        <item x="178"/>
        <item x="565"/>
        <item x="235"/>
        <item x="179"/>
        <item x="608"/>
        <item x="188"/>
        <item x="221"/>
        <item x="384"/>
        <item x="517"/>
        <item x="552"/>
        <item x="140"/>
        <item x="280"/>
        <item x="523"/>
        <item x="125"/>
        <item x="609"/>
        <item x="532"/>
        <item x="601"/>
        <item x="50"/>
        <item x="433"/>
        <item x="67"/>
        <item x="527"/>
        <item x="453"/>
        <item x="531"/>
        <item x="288"/>
        <item x="580"/>
        <item x="304"/>
        <item x="392"/>
        <item x="92"/>
        <item x="334"/>
        <item x="110"/>
        <item x="59"/>
        <item x="44"/>
        <item x="158"/>
        <item x="583"/>
        <item x="426"/>
        <item x="193"/>
        <item x="333"/>
        <item x="115"/>
        <item x="27"/>
        <item x="146"/>
        <item x="83"/>
        <item x="323"/>
        <item x="486"/>
        <item x="80"/>
        <item x="78"/>
        <item x="465"/>
        <item x="296"/>
        <item x="474"/>
        <item x="533"/>
        <item x="444"/>
        <item x="621"/>
        <item x="198"/>
        <item x="633"/>
        <item x="46"/>
        <item x="109"/>
        <item x="295"/>
        <item x="574"/>
        <item x="489"/>
        <item x="650"/>
        <item x="406"/>
        <item x="604"/>
        <item x="150"/>
        <item x="266"/>
        <item x="209"/>
        <item x="361"/>
        <item x="490"/>
        <item x="645"/>
        <item x="124"/>
        <item x="511"/>
        <item x="617"/>
        <item x="147"/>
        <item x="99"/>
        <item x="213"/>
        <item x="434"/>
        <item x="39"/>
        <item x="16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3"/>
  </rowFields>
  <rowItems count="5">
    <i>
      <x v="1"/>
    </i>
    <i>
      <x v="2"/>
    </i>
    <i>
      <x v="3"/>
    </i>
    <i>
      <x v="4"/>
    </i>
    <i t="grand">
      <x/>
    </i>
  </rowItems>
  <colItems count="1">
    <i/>
  </colItems>
  <dataFields count="1">
    <dataField name="Count of Education" fld="3" subtotal="count" baseField="0" baseItem="0"/>
  </dataFields>
  <chartFormats count="6">
    <chartFormat chart="2" format="7" series="1">
      <pivotArea type="data" outline="0" fieldPosition="0">
        <references count="1">
          <reference field="4294967294" count="1" selected="0">
            <x v="0"/>
          </reference>
        </references>
      </pivotArea>
    </chartFormat>
    <chartFormat chart="2" format="8">
      <pivotArea type="data" outline="0" fieldPosition="0">
        <references count="2">
          <reference field="4294967294" count="1" selected="0">
            <x v="0"/>
          </reference>
          <reference field="3" count="1" selected="0">
            <x v="0"/>
          </reference>
        </references>
      </pivotArea>
    </chartFormat>
    <chartFormat chart="2" format="9">
      <pivotArea type="data" outline="0" fieldPosition="0">
        <references count="2">
          <reference field="4294967294" count="1" selected="0">
            <x v="0"/>
          </reference>
          <reference field="3" count="1" selected="0">
            <x v="1"/>
          </reference>
        </references>
      </pivotArea>
    </chartFormat>
    <chartFormat chart="2" format="10">
      <pivotArea type="data" outline="0" fieldPosition="0">
        <references count="2">
          <reference field="4294967294" count="1" selected="0">
            <x v="0"/>
          </reference>
          <reference field="3" count="1" selected="0">
            <x v="2"/>
          </reference>
        </references>
      </pivotArea>
    </chartFormat>
    <chartFormat chart="2" format="11">
      <pivotArea type="data" outline="0" fieldPosition="0">
        <references count="2">
          <reference field="4294967294" count="1" selected="0">
            <x v="0"/>
          </reference>
          <reference field="3" count="1" selected="0">
            <x v="3"/>
          </reference>
        </references>
      </pivotArea>
    </chartFormat>
    <chartFormat chart="2" format="12">
      <pivotArea type="data" outline="0" fieldPosition="0">
        <references count="2">
          <reference field="4294967294" count="1" selected="0">
            <x v="0"/>
          </reference>
          <reference field="3" count="1" selected="0">
            <x v="4"/>
          </reference>
        </references>
      </pivotArea>
    </chartFormat>
  </chartFormats>
  <pivotTableStyleInfo name="PivotStyleLight16" showRowHeaders="1" showColHeaders="1" showRowStripes="0" showColStripes="0" showLastColumn="1"/>
  <filters count="1">
    <filter fld="10" type="dateBetween" evalOrder="-1" id="225" name="Dt_Customer">
      <autoFilter ref="A1">
        <filterColumn colId="0">
          <customFilters and="1">
            <customFilter operator="greaterThanOrEqual" val="40909"/>
            <customFilter operator="lessThanOrEqual" val="42004"/>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1FF0EC6-1C82-4C72-A234-132F7B848C65}" name="Customers count by age" cacheId="13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3">
  <location ref="A44:B51" firstHeaderRow="1" firstDataRow="1" firstDataCol="1"/>
  <pivotFields count="28">
    <pivotField showAll="0"/>
    <pivotField showAll="0"/>
    <pivotField axis="axisRow" dataField="1" showAll="0">
      <items count="7">
        <item x="2"/>
        <item x="3"/>
        <item x="1"/>
        <item x="5"/>
        <item x="4"/>
        <item x="0"/>
        <item t="default"/>
      </items>
    </pivotField>
    <pivotField showAll="0"/>
    <pivotField showAll="0">
      <items count="6">
        <item x="3"/>
        <item x="2"/>
        <item x="0"/>
        <item x="1"/>
        <item x="4"/>
        <item t="default"/>
      </items>
    </pivotField>
    <pivotField showAll="0"/>
    <pivotField showAll="0">
      <items count="5">
        <item x="3"/>
        <item x="1"/>
        <item x="0"/>
        <item x="2"/>
        <item t="default"/>
      </items>
    </pivotField>
    <pivotField showAll="0"/>
    <pivotField showAll="0"/>
    <pivotField showAll="0"/>
    <pivotField numFmtId="14" showAll="0">
      <items count="664">
        <item x="557"/>
        <item x="578"/>
        <item x="439"/>
        <item x="598"/>
        <item x="411"/>
        <item x="332"/>
        <item x="541"/>
        <item x="344"/>
        <item x="442"/>
        <item x="17"/>
        <item x="445"/>
        <item x="262"/>
        <item x="45"/>
        <item x="357"/>
        <item x="585"/>
        <item x="244"/>
        <item x="329"/>
        <item x="599"/>
        <item x="197"/>
        <item x="283"/>
        <item x="337"/>
        <item x="321"/>
        <item x="276"/>
        <item x="123"/>
        <item x="229"/>
        <item x="346"/>
        <item x="516"/>
        <item x="548"/>
        <item x="69"/>
        <item x="592"/>
        <item x="72"/>
        <item x="287"/>
        <item x="14"/>
        <item x="595"/>
        <item x="607"/>
        <item x="576"/>
        <item x="0"/>
        <item x="457"/>
        <item x="403"/>
        <item x="54"/>
        <item x="181"/>
        <item x="154"/>
        <item x="169"/>
        <item x="63"/>
        <item x="144"/>
        <item x="64"/>
        <item x="291"/>
        <item x="655"/>
        <item x="236"/>
        <item x="624"/>
        <item x="562"/>
        <item x="402"/>
        <item x="203"/>
        <item x="385"/>
        <item x="341"/>
        <item x="324"/>
        <item x="577"/>
        <item x="292"/>
        <item x="273"/>
        <item x="483"/>
        <item x="355"/>
        <item x="507"/>
        <item x="626"/>
        <item x="427"/>
        <item x="172"/>
        <item x="581"/>
        <item x="637"/>
        <item x="128"/>
        <item x="11"/>
        <item x="660"/>
        <item x="70"/>
        <item x="204"/>
        <item x="509"/>
        <item x="214"/>
        <item x="205"/>
        <item x="297"/>
        <item x="121"/>
        <item x="117"/>
        <item x="546"/>
        <item x="437"/>
        <item x="206"/>
        <item x="335"/>
        <item x="589"/>
        <item x="183"/>
        <item x="387"/>
        <item x="269"/>
        <item x="122"/>
        <item x="29"/>
        <item x="420"/>
        <item x="227"/>
        <item x="569"/>
        <item x="165"/>
        <item x="16"/>
        <item x="520"/>
        <item x="134"/>
        <item x="485"/>
        <item x="347"/>
        <item x="43"/>
        <item x="40"/>
        <item x="98"/>
        <item x="281"/>
        <item x="260"/>
        <item x="6"/>
        <item x="177"/>
        <item x="596"/>
        <item x="278"/>
        <item x="540"/>
        <item x="48"/>
        <item x="603"/>
        <item x="560"/>
        <item x="84"/>
        <item x="210"/>
        <item x="12"/>
        <item x="600"/>
        <item x="491"/>
        <item x="526"/>
        <item x="366"/>
        <item x="480"/>
        <item x="528"/>
        <item x="279"/>
        <item x="579"/>
        <item x="342"/>
        <item x="356"/>
        <item x="151"/>
        <item x="259"/>
        <item x="96"/>
        <item x="461"/>
        <item x="184"/>
        <item x="584"/>
        <item x="395"/>
        <item x="100"/>
        <item x="127"/>
        <item x="654"/>
        <item x="145"/>
        <item x="632"/>
        <item x="404"/>
        <item x="68"/>
        <item x="661"/>
        <item x="657"/>
        <item x="270"/>
        <item x="19"/>
        <item x="13"/>
        <item x="267"/>
        <item x="642"/>
        <item x="568"/>
        <item x="275"/>
        <item x="345"/>
        <item x="284"/>
        <item x="623"/>
        <item x="415"/>
        <item x="22"/>
        <item x="519"/>
        <item x="530"/>
        <item x="180"/>
        <item x="18"/>
        <item x="629"/>
        <item x="224"/>
        <item x="200"/>
        <item x="257"/>
        <item x="248"/>
        <item x="232"/>
        <item x="231"/>
        <item x="644"/>
        <item x="466"/>
        <item x="538"/>
        <item x="160"/>
        <item x="470"/>
        <item x="401"/>
        <item x="173"/>
        <item x="521"/>
        <item x="299"/>
        <item x="501"/>
        <item x="497"/>
        <item x="391"/>
        <item x="640"/>
        <item x="223"/>
        <item x="380"/>
        <item x="34"/>
        <item x="95"/>
        <item x="211"/>
        <item x="475"/>
        <item x="219"/>
        <item x="247"/>
        <item x="559"/>
        <item x="454"/>
        <item x="508"/>
        <item x="220"/>
        <item x="597"/>
        <item x="253"/>
        <item x="477"/>
        <item x="359"/>
        <item x="320"/>
        <item x="591"/>
        <item x="55"/>
        <item x="103"/>
        <item x="24"/>
        <item x="389"/>
        <item x="302"/>
        <item x="153"/>
        <item x="536"/>
        <item x="561"/>
        <item x="625"/>
        <item x="452"/>
        <item x="374"/>
        <item x="468"/>
        <item x="261"/>
        <item x="506"/>
        <item x="303"/>
        <item x="446"/>
        <item x="230"/>
        <item x="606"/>
        <item x="652"/>
        <item x="112"/>
        <item x="293"/>
        <item x="36"/>
        <item x="212"/>
        <item x="455"/>
        <item x="277"/>
        <item x="65"/>
        <item x="21"/>
        <item x="120"/>
        <item x="186"/>
        <item x="555"/>
        <item x="473"/>
        <item x="189"/>
        <item x="495"/>
        <item x="619"/>
        <item x="182"/>
        <item x="330"/>
        <item x="15"/>
        <item x="443"/>
        <item x="298"/>
        <item x="170"/>
        <item x="322"/>
        <item x="49"/>
        <item x="256"/>
        <item x="66"/>
        <item x="471"/>
        <item x="648"/>
        <item x="62"/>
        <item x="627"/>
        <item x="435"/>
        <item x="85"/>
        <item x="614"/>
        <item x="305"/>
        <item x="352"/>
        <item x="382"/>
        <item x="254"/>
        <item x="500"/>
        <item x="289"/>
        <item x="118"/>
        <item x="90"/>
        <item x="108"/>
        <item x="107"/>
        <item x="327"/>
        <item x="362"/>
        <item x="307"/>
        <item x="238"/>
        <item x="554"/>
        <item x="35"/>
        <item x="602"/>
        <item x="136"/>
        <item x="319"/>
        <item x="542"/>
        <item x="174"/>
        <item x="476"/>
        <item x="397"/>
        <item x="407"/>
        <item x="7"/>
        <item x="252"/>
        <item x="456"/>
        <item x="28"/>
        <item x="447"/>
        <item x="168"/>
        <item x="438"/>
        <item x="187"/>
        <item x="416"/>
        <item x="91"/>
        <item x="499"/>
        <item x="634"/>
        <item x="199"/>
        <item x="58"/>
        <item x="208"/>
        <item x="547"/>
        <item x="41"/>
        <item x="350"/>
        <item x="459"/>
        <item x="23"/>
        <item x="505"/>
        <item x="429"/>
        <item x="156"/>
        <item x="25"/>
        <item x="611"/>
        <item x="656"/>
        <item x="240"/>
        <item x="207"/>
        <item x="8"/>
        <item x="563"/>
        <item x="317"/>
        <item x="503"/>
        <item x="56"/>
        <item x="47"/>
        <item x="225"/>
        <item x="285"/>
        <item x="376"/>
        <item x="51"/>
        <item x="464"/>
        <item x="215"/>
        <item x="87"/>
        <item x="310"/>
        <item x="282"/>
        <item x="73"/>
        <item x="566"/>
        <item x="377"/>
        <item x="339"/>
        <item x="610"/>
        <item x="553"/>
        <item x="496"/>
        <item x="258"/>
        <item x="133"/>
        <item x="250"/>
        <item x="74"/>
        <item x="53"/>
        <item x="249"/>
        <item x="544"/>
        <item x="114"/>
        <item x="129"/>
        <item x="381"/>
        <item x="104"/>
        <item x="222"/>
        <item x="141"/>
        <item x="398"/>
        <item x="639"/>
        <item x="77"/>
        <item x="166"/>
        <item x="394"/>
        <item x="349"/>
        <item x="504"/>
        <item x="545"/>
        <item x="570"/>
        <item x="88"/>
        <item x="616"/>
        <item x="423"/>
        <item x="396"/>
        <item x="481"/>
        <item x="116"/>
        <item x="243"/>
        <item x="524"/>
        <item x="195"/>
        <item x="379"/>
        <item x="152"/>
        <item x="375"/>
        <item x="631"/>
        <item x="479"/>
        <item x="315"/>
        <item x="367"/>
        <item x="364"/>
        <item x="502"/>
        <item x="659"/>
        <item x="76"/>
        <item x="635"/>
        <item x="515"/>
        <item x="113"/>
        <item x="264"/>
        <item x="354"/>
        <item x="529"/>
        <item x="408"/>
        <item x="393"/>
        <item x="132"/>
        <item x="2"/>
        <item x="313"/>
        <item x="245"/>
        <item x="646"/>
        <item x="428"/>
        <item x="572"/>
        <item x="556"/>
        <item x="119"/>
        <item x="30"/>
        <item x="462"/>
        <item x="176"/>
        <item x="458"/>
        <item x="32"/>
        <item x="71"/>
        <item x="564"/>
        <item x="638"/>
        <item x="312"/>
        <item x="5"/>
        <item x="101"/>
        <item x="255"/>
        <item x="130"/>
        <item x="378"/>
        <item x="386"/>
        <item x="449"/>
        <item x="201"/>
        <item x="390"/>
        <item x="360"/>
        <item x="159"/>
        <item x="537"/>
        <item x="588"/>
        <item x="325"/>
        <item x="615"/>
        <item x="94"/>
        <item x="417"/>
        <item x="155"/>
        <item x="61"/>
        <item x="148"/>
        <item x="111"/>
        <item x="573"/>
        <item x="38"/>
        <item x="451"/>
        <item x="191"/>
        <item x="612"/>
        <item x="290"/>
        <item x="272"/>
        <item x="316"/>
        <item x="331"/>
        <item x="441"/>
        <item x="234"/>
        <item x="525"/>
        <item x="164"/>
        <item x="590"/>
        <item x="286"/>
        <item x="131"/>
        <item x="422"/>
        <item x="388"/>
        <item x="351"/>
        <item x="413"/>
        <item x="294"/>
        <item x="484"/>
        <item x="424"/>
        <item x="512"/>
        <item x="534"/>
        <item x="202"/>
        <item x="194"/>
        <item x="467"/>
        <item x="338"/>
        <item x="658"/>
        <item x="97"/>
        <item x="358"/>
        <item x="472"/>
        <item x="37"/>
        <item x="373"/>
        <item x="251"/>
        <item x="418"/>
        <item x="514"/>
        <item x="265"/>
        <item x="543"/>
        <item x="138"/>
        <item x="105"/>
        <item x="10"/>
        <item x="498"/>
        <item x="139"/>
        <item x="405"/>
        <item x="300"/>
        <item x="436"/>
        <item x="26"/>
        <item x="81"/>
        <item x="308"/>
        <item x="630"/>
        <item x="343"/>
        <item x="196"/>
        <item x="271"/>
        <item x="651"/>
        <item x="86"/>
        <item x="348"/>
        <item x="369"/>
        <item x="190"/>
        <item x="558"/>
        <item x="57"/>
        <item x="263"/>
        <item x="167"/>
        <item x="163"/>
        <item x="93"/>
        <item x="492"/>
        <item x="460"/>
        <item x="409"/>
        <item x="469"/>
        <item x="636"/>
        <item x="419"/>
        <item x="241"/>
        <item x="463"/>
        <item x="425"/>
        <item x="314"/>
        <item x="311"/>
        <item x="318"/>
        <item x="365"/>
        <item x="539"/>
        <item x="414"/>
        <item x="192"/>
        <item x="226"/>
        <item x="400"/>
        <item x="157"/>
        <item x="336"/>
        <item x="31"/>
        <item x="42"/>
        <item x="421"/>
        <item x="268"/>
        <item x="412"/>
        <item x="135"/>
        <item x="488"/>
        <item x="368"/>
        <item x="662"/>
        <item x="618"/>
        <item x="20"/>
        <item x="549"/>
        <item x="482"/>
        <item x="493"/>
        <item x="228"/>
        <item x="620"/>
        <item x="239"/>
        <item x="4"/>
        <item x="79"/>
        <item x="149"/>
        <item x="494"/>
        <item x="102"/>
        <item x="440"/>
        <item x="340"/>
        <item x="353"/>
        <item x="326"/>
        <item x="450"/>
        <item x="142"/>
        <item x="571"/>
        <item x="575"/>
        <item x="309"/>
        <item x="510"/>
        <item x="217"/>
        <item x="641"/>
        <item x="643"/>
        <item x="372"/>
        <item x="594"/>
        <item x="246"/>
        <item x="3"/>
        <item x="33"/>
        <item x="593"/>
        <item x="550"/>
        <item x="301"/>
        <item x="363"/>
        <item x="185"/>
        <item x="410"/>
        <item x="513"/>
        <item x="567"/>
        <item x="613"/>
        <item x="586"/>
        <item x="106"/>
        <item x="75"/>
        <item x="522"/>
        <item x="551"/>
        <item x="647"/>
        <item x="137"/>
        <item x="582"/>
        <item x="52"/>
        <item x="487"/>
        <item x="237"/>
        <item x="328"/>
        <item x="126"/>
        <item x="1"/>
        <item x="448"/>
        <item x="399"/>
        <item x="242"/>
        <item x="432"/>
        <item x="9"/>
        <item x="587"/>
        <item x="233"/>
        <item x="171"/>
        <item x="60"/>
        <item x="216"/>
        <item x="478"/>
        <item x="274"/>
        <item x="82"/>
        <item x="535"/>
        <item x="622"/>
        <item x="430"/>
        <item x="653"/>
        <item x="605"/>
        <item x="370"/>
        <item x="89"/>
        <item x="161"/>
        <item x="175"/>
        <item x="628"/>
        <item x="383"/>
        <item x="143"/>
        <item x="306"/>
        <item x="218"/>
        <item x="518"/>
        <item x="371"/>
        <item x="431"/>
        <item x="649"/>
        <item x="178"/>
        <item x="565"/>
        <item x="235"/>
        <item x="179"/>
        <item x="608"/>
        <item x="188"/>
        <item x="221"/>
        <item x="384"/>
        <item x="517"/>
        <item x="552"/>
        <item x="140"/>
        <item x="280"/>
        <item x="523"/>
        <item x="125"/>
        <item x="609"/>
        <item x="532"/>
        <item x="601"/>
        <item x="50"/>
        <item x="433"/>
        <item x="67"/>
        <item x="527"/>
        <item x="453"/>
        <item x="531"/>
        <item x="288"/>
        <item x="580"/>
        <item x="304"/>
        <item x="392"/>
        <item x="92"/>
        <item x="334"/>
        <item x="110"/>
        <item x="59"/>
        <item x="44"/>
        <item x="158"/>
        <item x="583"/>
        <item x="426"/>
        <item x="193"/>
        <item x="333"/>
        <item x="115"/>
        <item x="27"/>
        <item x="146"/>
        <item x="83"/>
        <item x="323"/>
        <item x="486"/>
        <item x="80"/>
        <item x="78"/>
        <item x="465"/>
        <item x="296"/>
        <item x="474"/>
        <item x="533"/>
        <item x="444"/>
        <item x="621"/>
        <item x="198"/>
        <item x="633"/>
        <item x="46"/>
        <item x="109"/>
        <item x="295"/>
        <item x="574"/>
        <item x="489"/>
        <item x="650"/>
        <item x="406"/>
        <item x="604"/>
        <item x="150"/>
        <item x="266"/>
        <item x="209"/>
        <item x="361"/>
        <item x="490"/>
        <item x="645"/>
        <item x="124"/>
        <item x="511"/>
        <item x="617"/>
        <item x="147"/>
        <item x="99"/>
        <item x="213"/>
        <item x="434"/>
        <item x="39"/>
        <item x="16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7">
    <i>
      <x/>
    </i>
    <i>
      <x v="1"/>
    </i>
    <i>
      <x v="2"/>
    </i>
    <i>
      <x v="3"/>
    </i>
    <i>
      <x v="4"/>
    </i>
    <i>
      <x v="5"/>
    </i>
    <i t="grand">
      <x/>
    </i>
  </rowItems>
  <colItems count="1">
    <i/>
  </colItems>
  <dataFields count="1">
    <dataField name="Count of Age" fld="2" subtotal="count" baseField="0" baseItem="0"/>
  </dataFields>
  <chartFormats count="7">
    <chartFormat chart="2" format="8" series="1">
      <pivotArea type="data" outline="0" fieldPosition="0">
        <references count="1">
          <reference field="4294967294" count="1" selected="0">
            <x v="0"/>
          </reference>
        </references>
      </pivotArea>
    </chartFormat>
    <chartFormat chart="2" format="9">
      <pivotArea type="data" outline="0" fieldPosition="0">
        <references count="2">
          <reference field="4294967294" count="1" selected="0">
            <x v="0"/>
          </reference>
          <reference field="2" count="1" selected="0">
            <x v="0"/>
          </reference>
        </references>
      </pivotArea>
    </chartFormat>
    <chartFormat chart="2" format="10">
      <pivotArea type="data" outline="0" fieldPosition="0">
        <references count="2">
          <reference field="4294967294" count="1" selected="0">
            <x v="0"/>
          </reference>
          <reference field="2" count="1" selected="0">
            <x v="1"/>
          </reference>
        </references>
      </pivotArea>
    </chartFormat>
    <chartFormat chart="2" format="11">
      <pivotArea type="data" outline="0" fieldPosition="0">
        <references count="2">
          <reference field="4294967294" count="1" selected="0">
            <x v="0"/>
          </reference>
          <reference field="2" count="1" selected="0">
            <x v="2"/>
          </reference>
        </references>
      </pivotArea>
    </chartFormat>
    <chartFormat chart="2" format="12">
      <pivotArea type="data" outline="0" fieldPosition="0">
        <references count="2">
          <reference field="4294967294" count="1" selected="0">
            <x v="0"/>
          </reference>
          <reference field="2" count="1" selected="0">
            <x v="3"/>
          </reference>
        </references>
      </pivotArea>
    </chartFormat>
    <chartFormat chart="2" format="13">
      <pivotArea type="data" outline="0" fieldPosition="0">
        <references count="2">
          <reference field="4294967294" count="1" selected="0">
            <x v="0"/>
          </reference>
          <reference field="2" count="1" selected="0">
            <x v="4"/>
          </reference>
        </references>
      </pivotArea>
    </chartFormat>
    <chartFormat chart="2" format="14">
      <pivotArea type="data" outline="0" fieldPosition="0">
        <references count="2">
          <reference field="4294967294" count="1" selected="0">
            <x v="0"/>
          </reference>
          <reference field="2" count="1" selected="0">
            <x v="5"/>
          </reference>
        </references>
      </pivotArea>
    </chartFormat>
  </chartFormats>
  <pivotTableStyleInfo name="PivotStyleLight16" showRowHeaders="1" showColHeaders="1" showRowStripes="0" showColStripes="0" showLastColumn="1"/>
  <filters count="1">
    <filter fld="10" type="dateBetween" evalOrder="-1" id="225" name="Dt_Customer">
      <autoFilter ref="A1">
        <filterColumn colId="0">
          <customFilters and="1">
            <customFilter operator="greaterThanOrEqual" val="40909"/>
            <customFilter operator="lessThanOrEqual" val="42004"/>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D0A2058C-897E-4648-81CB-10FB4CBB1C10}" name="Numdeals by inc bracket" cacheId="13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82:B87" firstHeaderRow="1" firstDataRow="1" firstDataCol="1"/>
  <pivotFields count="28">
    <pivotField showAll="0"/>
    <pivotField showAll="0"/>
    <pivotField showAll="0"/>
    <pivotField showAll="0"/>
    <pivotField showAll="0"/>
    <pivotField showAll="0"/>
    <pivotField axis="axisRow" showAll="0" nonAutoSortDefault="1">
      <items count="5">
        <item x="3"/>
        <item x="1"/>
        <item x="0"/>
        <item x="2"/>
        <item t="default"/>
      </items>
    </pivotField>
    <pivotField showAll="0"/>
    <pivotField showAll="0"/>
    <pivotField showAll="0"/>
    <pivotField numFmtId="14"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s>
  <rowFields count="1">
    <field x="6"/>
  </rowFields>
  <rowItems count="5">
    <i>
      <x/>
    </i>
    <i>
      <x v="1"/>
    </i>
    <i>
      <x v="2"/>
    </i>
    <i>
      <x v="3"/>
    </i>
    <i t="grand">
      <x/>
    </i>
  </rowItems>
  <colItems count="1">
    <i/>
  </colItems>
  <dataFields count="1">
    <dataField name="Sum of NumDealsPurchases" fld="21" baseField="0" baseItem="0"/>
  </dataFields>
  <formats count="3">
    <format dxfId="15">
      <pivotArea type="all" dataOnly="0" outline="0" fieldPosition="0"/>
    </format>
    <format dxfId="14">
      <pivotArea outline="0" collapsedLevelsAreSubtotals="1" fieldPosition="0"/>
    </format>
    <format dxfId="13">
      <pivotArea dataOnly="0" labelOnly="1" grandRow="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4BC8C56E-A83E-4BBF-A8E8-48743EA76E9C}" name="Income and exp by education" cacheId="13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E12:G16" firstHeaderRow="0" firstDataRow="1" firstDataCol="1"/>
  <pivotFields count="28">
    <pivotField showAll="0" defaultSubtotal="0"/>
    <pivotField showAll="0" defaultSubtotal="0"/>
    <pivotField showAll="0" defaultSubtotal="0">
      <items count="6">
        <item x="2"/>
        <item x="3"/>
        <item x="1"/>
        <item x="5"/>
        <item x="4"/>
        <item x="0"/>
      </items>
    </pivotField>
    <pivotField axis="axisRow" showAll="0" defaultSubtotal="0">
      <items count="5">
        <item m="1" x="4"/>
        <item x="3"/>
        <item x="0"/>
        <item x="2"/>
        <item x="1"/>
      </items>
    </pivotField>
    <pivotField showAll="0" defaultSubtotal="0"/>
    <pivotField dataField="1" showAll="0" defaultSubtotal="0"/>
    <pivotField subtotalTop="0" showAll="0" defaultSubtotal="0"/>
    <pivotField showAll="0" defaultSubtotal="0"/>
    <pivotField showAll="0" defaultSubtotal="0"/>
    <pivotField showAll="0" defaultSubtotal="0"/>
    <pivotField numFmtId="14"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3"/>
  </rowFields>
  <rowItems count="4">
    <i>
      <x v="1"/>
    </i>
    <i>
      <x v="2"/>
    </i>
    <i>
      <x v="3"/>
    </i>
    <i>
      <x v="4"/>
    </i>
  </rowItems>
  <colFields count="1">
    <field x="-2"/>
  </colFields>
  <colItems count="2">
    <i>
      <x/>
    </i>
    <i i="1">
      <x v="1"/>
    </i>
  </colItems>
  <dataFields count="2">
    <dataField name="Average of Income" fld="5" subtotal="average" baseField="2" baseItem="0" numFmtId="2"/>
    <dataField name="Average of Total" fld="20" subtotal="average" baseField="3" baseItem="2"/>
  </dataFields>
  <formats count="5">
    <format dxfId="20">
      <pivotArea type="all" dataOnly="0" outline="0" fieldPosition="0"/>
    </format>
    <format dxfId="19">
      <pivotArea field="2" type="button" dataOnly="0" labelOnly="1" outline="0"/>
    </format>
    <format dxfId="18">
      <pivotArea dataOnly="0" labelOnly="1" grandRow="1" outline="0" fieldPosition="0"/>
    </format>
    <format dxfId="17">
      <pivotArea dataOnly="0" labelOnly="1" outline="0" axis="axisValues" fieldPosition="0"/>
    </format>
    <format dxfId="1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8E215883-883B-4437-99D4-79292BA5FAF3}" name="Exp by inc bracket" cacheId="13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74:B79" firstHeaderRow="1" firstDataRow="1" firstDataCol="1"/>
  <pivotFields count="28">
    <pivotField showAll="0"/>
    <pivotField showAll="0"/>
    <pivotField showAll="0"/>
    <pivotField showAll="0"/>
    <pivotField showAll="0"/>
    <pivotField showAll="0"/>
    <pivotField axis="axisRow" showAll="0" sortType="ascending">
      <items count="5">
        <item x="2"/>
        <item x="3"/>
        <item x="0"/>
        <item x="1"/>
        <item t="default"/>
      </items>
      <autoSortScope>
        <pivotArea dataOnly="0" outline="0" fieldPosition="0">
          <references count="1">
            <reference field="4294967294" count="1" selected="0">
              <x v="0"/>
            </reference>
          </references>
        </pivotArea>
      </autoSortScope>
    </pivotField>
    <pivotField showAll="0"/>
    <pivotField showAll="0"/>
    <pivotField showAll="0"/>
    <pivotField numFmtId="14"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s>
  <rowFields count="1">
    <field x="6"/>
  </rowFields>
  <rowItems count="5">
    <i>
      <x v="1"/>
    </i>
    <i>
      <x v="3"/>
    </i>
    <i>
      <x v="2"/>
    </i>
    <i>
      <x/>
    </i>
    <i t="grand">
      <x/>
    </i>
  </rowItems>
  <colItems count="1">
    <i/>
  </colItems>
  <dataFields count="1">
    <dataField name="Average of Total" fld="20" subtotal="average" baseField="6" baseItem="2"/>
  </dataFields>
  <formats count="4">
    <format dxfId="24">
      <pivotArea type="all" dataOnly="0" outline="0" fieldPosition="0"/>
    </format>
    <format dxfId="23">
      <pivotArea outline="0" collapsedLevelsAreSubtotals="1" fieldPosition="0"/>
    </format>
    <format dxfId="22">
      <pivotArea dataOnly="0" labelOnly="1" grandRow="1" outline="0" fieldPosition="0"/>
    </format>
    <format dxfId="21">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D490E36E-A829-4B48-ADE9-9817144BCE5C}" name="Count of customer type" cacheId="13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5">
  <location ref="F3:G6" firstHeaderRow="1" firstDataRow="1" firstDataCol="1"/>
  <pivotFields count="28">
    <pivotField showAll="0"/>
    <pivotField showAll="0"/>
    <pivotField showAll="0"/>
    <pivotField showAll="0"/>
    <pivotField showAll="0">
      <items count="6">
        <item x="3"/>
        <item x="2"/>
        <item x="0"/>
        <item x="1"/>
        <item x="4"/>
        <item t="default"/>
      </items>
    </pivotField>
    <pivotField showAll="0"/>
    <pivotField showAll="0">
      <items count="5">
        <item x="3"/>
        <item x="1"/>
        <item x="0"/>
        <item x="2"/>
        <item t="default"/>
      </items>
    </pivotField>
    <pivotField showAll="0"/>
    <pivotField showAll="0"/>
    <pivotField showAll="0"/>
    <pivotField numFmtId="14" showAll="0">
      <items count="664">
        <item x="557"/>
        <item x="578"/>
        <item x="439"/>
        <item x="598"/>
        <item x="411"/>
        <item x="332"/>
        <item x="541"/>
        <item x="344"/>
        <item x="442"/>
        <item x="17"/>
        <item x="445"/>
        <item x="262"/>
        <item x="45"/>
        <item x="357"/>
        <item x="585"/>
        <item x="244"/>
        <item x="329"/>
        <item x="599"/>
        <item x="197"/>
        <item x="283"/>
        <item x="337"/>
        <item x="321"/>
        <item x="276"/>
        <item x="123"/>
        <item x="229"/>
        <item x="346"/>
        <item x="516"/>
        <item x="548"/>
        <item x="69"/>
        <item x="592"/>
        <item x="72"/>
        <item x="287"/>
        <item x="14"/>
        <item x="595"/>
        <item x="607"/>
        <item x="576"/>
        <item x="0"/>
        <item x="457"/>
        <item x="403"/>
        <item x="54"/>
        <item x="181"/>
        <item x="154"/>
        <item x="169"/>
        <item x="63"/>
        <item x="144"/>
        <item x="64"/>
        <item x="291"/>
        <item x="655"/>
        <item x="236"/>
        <item x="624"/>
        <item x="562"/>
        <item x="402"/>
        <item x="203"/>
        <item x="385"/>
        <item x="341"/>
        <item x="324"/>
        <item x="577"/>
        <item x="292"/>
        <item x="273"/>
        <item x="483"/>
        <item x="355"/>
        <item x="507"/>
        <item x="626"/>
        <item x="427"/>
        <item x="172"/>
        <item x="581"/>
        <item x="637"/>
        <item x="128"/>
        <item x="11"/>
        <item x="660"/>
        <item x="70"/>
        <item x="204"/>
        <item x="509"/>
        <item x="214"/>
        <item x="205"/>
        <item x="297"/>
        <item x="121"/>
        <item x="117"/>
        <item x="546"/>
        <item x="437"/>
        <item x="206"/>
        <item x="335"/>
        <item x="589"/>
        <item x="183"/>
        <item x="387"/>
        <item x="269"/>
        <item x="122"/>
        <item x="29"/>
        <item x="420"/>
        <item x="227"/>
        <item x="569"/>
        <item x="165"/>
        <item x="16"/>
        <item x="520"/>
        <item x="134"/>
        <item x="485"/>
        <item x="347"/>
        <item x="43"/>
        <item x="40"/>
        <item x="98"/>
        <item x="281"/>
        <item x="260"/>
        <item x="6"/>
        <item x="177"/>
        <item x="596"/>
        <item x="278"/>
        <item x="540"/>
        <item x="48"/>
        <item x="603"/>
        <item x="560"/>
        <item x="84"/>
        <item x="210"/>
        <item x="12"/>
        <item x="600"/>
        <item x="491"/>
        <item x="526"/>
        <item x="366"/>
        <item x="480"/>
        <item x="528"/>
        <item x="279"/>
        <item x="579"/>
        <item x="342"/>
        <item x="356"/>
        <item x="151"/>
        <item x="259"/>
        <item x="96"/>
        <item x="461"/>
        <item x="184"/>
        <item x="584"/>
        <item x="395"/>
        <item x="100"/>
        <item x="127"/>
        <item x="654"/>
        <item x="145"/>
        <item x="632"/>
        <item x="404"/>
        <item x="68"/>
        <item x="661"/>
        <item x="657"/>
        <item x="270"/>
        <item x="19"/>
        <item x="13"/>
        <item x="267"/>
        <item x="642"/>
        <item x="568"/>
        <item x="275"/>
        <item x="345"/>
        <item x="284"/>
        <item x="623"/>
        <item x="415"/>
        <item x="22"/>
        <item x="519"/>
        <item x="530"/>
        <item x="180"/>
        <item x="18"/>
        <item x="629"/>
        <item x="224"/>
        <item x="200"/>
        <item x="257"/>
        <item x="248"/>
        <item x="232"/>
        <item x="231"/>
        <item x="644"/>
        <item x="466"/>
        <item x="538"/>
        <item x="160"/>
        <item x="470"/>
        <item x="401"/>
        <item x="173"/>
        <item x="521"/>
        <item x="299"/>
        <item x="501"/>
        <item x="497"/>
        <item x="391"/>
        <item x="640"/>
        <item x="223"/>
        <item x="380"/>
        <item x="34"/>
        <item x="95"/>
        <item x="211"/>
        <item x="475"/>
        <item x="219"/>
        <item x="247"/>
        <item x="559"/>
        <item x="454"/>
        <item x="508"/>
        <item x="220"/>
        <item x="597"/>
        <item x="253"/>
        <item x="477"/>
        <item x="359"/>
        <item x="320"/>
        <item x="591"/>
        <item x="55"/>
        <item x="103"/>
        <item x="24"/>
        <item x="389"/>
        <item x="302"/>
        <item x="153"/>
        <item x="536"/>
        <item x="561"/>
        <item x="625"/>
        <item x="452"/>
        <item x="374"/>
        <item x="468"/>
        <item x="261"/>
        <item x="506"/>
        <item x="303"/>
        <item x="446"/>
        <item x="230"/>
        <item x="606"/>
        <item x="652"/>
        <item x="112"/>
        <item x="293"/>
        <item x="36"/>
        <item x="212"/>
        <item x="455"/>
        <item x="277"/>
        <item x="65"/>
        <item x="21"/>
        <item x="120"/>
        <item x="186"/>
        <item x="555"/>
        <item x="473"/>
        <item x="189"/>
        <item x="495"/>
        <item x="619"/>
        <item x="182"/>
        <item x="330"/>
        <item x="15"/>
        <item x="443"/>
        <item x="298"/>
        <item x="170"/>
        <item x="322"/>
        <item x="49"/>
        <item x="256"/>
        <item x="66"/>
        <item x="471"/>
        <item x="648"/>
        <item x="62"/>
        <item x="627"/>
        <item x="435"/>
        <item x="85"/>
        <item x="614"/>
        <item x="305"/>
        <item x="352"/>
        <item x="382"/>
        <item x="254"/>
        <item x="500"/>
        <item x="289"/>
        <item x="118"/>
        <item x="90"/>
        <item x="108"/>
        <item x="107"/>
        <item x="327"/>
        <item x="362"/>
        <item x="307"/>
        <item x="238"/>
        <item x="554"/>
        <item x="35"/>
        <item x="602"/>
        <item x="136"/>
        <item x="319"/>
        <item x="542"/>
        <item x="174"/>
        <item x="476"/>
        <item x="397"/>
        <item x="407"/>
        <item x="7"/>
        <item x="252"/>
        <item x="456"/>
        <item x="28"/>
        <item x="447"/>
        <item x="168"/>
        <item x="438"/>
        <item x="187"/>
        <item x="416"/>
        <item x="91"/>
        <item x="499"/>
        <item x="634"/>
        <item x="199"/>
        <item x="58"/>
        <item x="208"/>
        <item x="547"/>
        <item x="41"/>
        <item x="350"/>
        <item x="459"/>
        <item x="23"/>
        <item x="505"/>
        <item x="429"/>
        <item x="156"/>
        <item x="25"/>
        <item x="611"/>
        <item x="656"/>
        <item x="240"/>
        <item x="207"/>
        <item x="8"/>
        <item x="563"/>
        <item x="317"/>
        <item x="503"/>
        <item x="56"/>
        <item x="47"/>
        <item x="225"/>
        <item x="285"/>
        <item x="376"/>
        <item x="51"/>
        <item x="464"/>
        <item x="215"/>
        <item x="87"/>
        <item x="310"/>
        <item x="282"/>
        <item x="73"/>
        <item x="566"/>
        <item x="377"/>
        <item x="339"/>
        <item x="610"/>
        <item x="553"/>
        <item x="496"/>
        <item x="258"/>
        <item x="133"/>
        <item x="250"/>
        <item x="74"/>
        <item x="53"/>
        <item x="249"/>
        <item x="544"/>
        <item x="114"/>
        <item x="129"/>
        <item x="381"/>
        <item x="104"/>
        <item x="222"/>
        <item x="141"/>
        <item x="398"/>
        <item x="639"/>
        <item x="77"/>
        <item x="166"/>
        <item x="394"/>
        <item x="349"/>
        <item x="504"/>
        <item x="545"/>
        <item x="570"/>
        <item x="88"/>
        <item x="616"/>
        <item x="423"/>
        <item x="396"/>
        <item x="481"/>
        <item x="116"/>
        <item x="243"/>
        <item x="524"/>
        <item x="195"/>
        <item x="379"/>
        <item x="152"/>
        <item x="375"/>
        <item x="631"/>
        <item x="479"/>
        <item x="315"/>
        <item x="367"/>
        <item x="364"/>
        <item x="502"/>
        <item x="659"/>
        <item x="76"/>
        <item x="635"/>
        <item x="515"/>
        <item x="113"/>
        <item x="264"/>
        <item x="354"/>
        <item x="529"/>
        <item x="408"/>
        <item x="393"/>
        <item x="132"/>
        <item x="2"/>
        <item x="313"/>
        <item x="245"/>
        <item x="646"/>
        <item x="428"/>
        <item x="572"/>
        <item x="556"/>
        <item x="119"/>
        <item x="30"/>
        <item x="462"/>
        <item x="176"/>
        <item x="458"/>
        <item x="32"/>
        <item x="71"/>
        <item x="564"/>
        <item x="638"/>
        <item x="312"/>
        <item x="5"/>
        <item x="101"/>
        <item x="255"/>
        <item x="130"/>
        <item x="378"/>
        <item x="386"/>
        <item x="449"/>
        <item x="201"/>
        <item x="390"/>
        <item x="360"/>
        <item x="159"/>
        <item x="537"/>
        <item x="588"/>
        <item x="325"/>
        <item x="615"/>
        <item x="94"/>
        <item x="417"/>
        <item x="155"/>
        <item x="61"/>
        <item x="148"/>
        <item x="111"/>
        <item x="573"/>
        <item x="38"/>
        <item x="451"/>
        <item x="191"/>
        <item x="612"/>
        <item x="290"/>
        <item x="272"/>
        <item x="316"/>
        <item x="331"/>
        <item x="441"/>
        <item x="234"/>
        <item x="525"/>
        <item x="164"/>
        <item x="590"/>
        <item x="286"/>
        <item x="131"/>
        <item x="422"/>
        <item x="388"/>
        <item x="351"/>
        <item x="413"/>
        <item x="294"/>
        <item x="484"/>
        <item x="424"/>
        <item x="512"/>
        <item x="534"/>
        <item x="202"/>
        <item x="194"/>
        <item x="467"/>
        <item x="338"/>
        <item x="658"/>
        <item x="97"/>
        <item x="358"/>
        <item x="472"/>
        <item x="37"/>
        <item x="373"/>
        <item x="251"/>
        <item x="418"/>
        <item x="514"/>
        <item x="265"/>
        <item x="543"/>
        <item x="138"/>
        <item x="105"/>
        <item x="10"/>
        <item x="498"/>
        <item x="139"/>
        <item x="405"/>
        <item x="300"/>
        <item x="436"/>
        <item x="26"/>
        <item x="81"/>
        <item x="308"/>
        <item x="630"/>
        <item x="343"/>
        <item x="196"/>
        <item x="271"/>
        <item x="651"/>
        <item x="86"/>
        <item x="348"/>
        <item x="369"/>
        <item x="190"/>
        <item x="558"/>
        <item x="57"/>
        <item x="263"/>
        <item x="167"/>
        <item x="163"/>
        <item x="93"/>
        <item x="492"/>
        <item x="460"/>
        <item x="409"/>
        <item x="469"/>
        <item x="636"/>
        <item x="419"/>
        <item x="241"/>
        <item x="463"/>
        <item x="425"/>
        <item x="314"/>
        <item x="311"/>
        <item x="318"/>
        <item x="365"/>
        <item x="539"/>
        <item x="414"/>
        <item x="192"/>
        <item x="226"/>
        <item x="400"/>
        <item x="157"/>
        <item x="336"/>
        <item x="31"/>
        <item x="42"/>
        <item x="421"/>
        <item x="268"/>
        <item x="412"/>
        <item x="135"/>
        <item x="488"/>
        <item x="368"/>
        <item x="662"/>
        <item x="618"/>
        <item x="20"/>
        <item x="549"/>
        <item x="482"/>
        <item x="493"/>
        <item x="228"/>
        <item x="620"/>
        <item x="239"/>
        <item x="4"/>
        <item x="79"/>
        <item x="149"/>
        <item x="494"/>
        <item x="102"/>
        <item x="440"/>
        <item x="340"/>
        <item x="353"/>
        <item x="326"/>
        <item x="450"/>
        <item x="142"/>
        <item x="571"/>
        <item x="575"/>
        <item x="309"/>
        <item x="510"/>
        <item x="217"/>
        <item x="641"/>
        <item x="643"/>
        <item x="372"/>
        <item x="594"/>
        <item x="246"/>
        <item x="3"/>
        <item x="33"/>
        <item x="593"/>
        <item x="550"/>
        <item x="301"/>
        <item x="363"/>
        <item x="185"/>
        <item x="410"/>
        <item x="513"/>
        <item x="567"/>
        <item x="613"/>
        <item x="586"/>
        <item x="106"/>
        <item x="75"/>
        <item x="522"/>
        <item x="551"/>
        <item x="647"/>
        <item x="137"/>
        <item x="582"/>
        <item x="52"/>
        <item x="487"/>
        <item x="237"/>
        <item x="328"/>
        <item x="126"/>
        <item x="1"/>
        <item x="448"/>
        <item x="399"/>
        <item x="242"/>
        <item x="432"/>
        <item x="9"/>
        <item x="587"/>
        <item x="233"/>
        <item x="171"/>
        <item x="60"/>
        <item x="216"/>
        <item x="478"/>
        <item x="274"/>
        <item x="82"/>
        <item x="535"/>
        <item x="622"/>
        <item x="430"/>
        <item x="653"/>
        <item x="605"/>
        <item x="370"/>
        <item x="89"/>
        <item x="161"/>
        <item x="175"/>
        <item x="628"/>
        <item x="383"/>
        <item x="143"/>
        <item x="306"/>
        <item x="218"/>
        <item x="518"/>
        <item x="371"/>
        <item x="431"/>
        <item x="649"/>
        <item x="178"/>
        <item x="565"/>
        <item x="235"/>
        <item x="179"/>
        <item x="608"/>
        <item x="188"/>
        <item x="221"/>
        <item x="384"/>
        <item x="517"/>
        <item x="552"/>
        <item x="140"/>
        <item x="280"/>
        <item x="523"/>
        <item x="125"/>
        <item x="609"/>
        <item x="532"/>
        <item x="601"/>
        <item x="50"/>
        <item x="433"/>
        <item x="67"/>
        <item x="527"/>
        <item x="453"/>
        <item x="531"/>
        <item x="288"/>
        <item x="580"/>
        <item x="304"/>
        <item x="392"/>
        <item x="92"/>
        <item x="334"/>
        <item x="110"/>
        <item x="59"/>
        <item x="44"/>
        <item x="158"/>
        <item x="583"/>
        <item x="426"/>
        <item x="193"/>
        <item x="333"/>
        <item x="115"/>
        <item x="27"/>
        <item x="146"/>
        <item x="83"/>
        <item x="323"/>
        <item x="486"/>
        <item x="80"/>
        <item x="78"/>
        <item x="465"/>
        <item x="296"/>
        <item x="474"/>
        <item x="533"/>
        <item x="444"/>
        <item x="621"/>
        <item x="198"/>
        <item x="633"/>
        <item x="46"/>
        <item x="109"/>
        <item x="295"/>
        <item x="574"/>
        <item x="489"/>
        <item x="650"/>
        <item x="406"/>
        <item x="604"/>
        <item x="150"/>
        <item x="266"/>
        <item x="209"/>
        <item x="361"/>
        <item x="490"/>
        <item x="645"/>
        <item x="124"/>
        <item x="511"/>
        <item x="617"/>
        <item x="147"/>
        <item x="99"/>
        <item x="213"/>
        <item x="434"/>
        <item x="39"/>
        <item x="16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3">
        <item x="1"/>
        <item x="0"/>
        <item t="default"/>
      </items>
    </pivotField>
  </pivotFields>
  <rowFields count="1">
    <field x="27"/>
  </rowFields>
  <rowItems count="3">
    <i>
      <x/>
    </i>
    <i>
      <x v="1"/>
    </i>
    <i t="grand">
      <x/>
    </i>
  </rowItems>
  <colItems count="1">
    <i/>
  </colItems>
  <dataFields count="1">
    <dataField name="Count of Customer type" fld="27" subtotal="count" baseField="0" baseItem="0"/>
  </dataFields>
  <chartFormats count="3">
    <chartFormat chart="2" format="4" series="1">
      <pivotArea type="data" outline="0" fieldPosition="0">
        <references count="1">
          <reference field="4294967294" count="1" selected="0">
            <x v="0"/>
          </reference>
        </references>
      </pivotArea>
    </chartFormat>
    <chartFormat chart="2" format="5">
      <pivotArea type="data" outline="0" fieldPosition="0">
        <references count="2">
          <reference field="4294967294" count="1" selected="0">
            <x v="0"/>
          </reference>
          <reference field="27" count="1" selected="0">
            <x v="0"/>
          </reference>
        </references>
      </pivotArea>
    </chartFormat>
    <chartFormat chart="2" format="6">
      <pivotArea type="data" outline="0" fieldPosition="0">
        <references count="2">
          <reference field="4294967294" count="1" selected="0">
            <x v="0"/>
          </reference>
          <reference field="27" count="1" selected="0">
            <x v="1"/>
          </reference>
        </references>
      </pivotArea>
    </chartFormat>
  </chartFormats>
  <pivotTableStyleInfo name="PivotStyleLight16" showRowHeaders="1" showColHeaders="1" showRowStripes="0" showColStripes="0" showLastColumn="1"/>
  <filters count="1">
    <filter fld="10" type="dateBetween" evalOrder="-1" id="225" name="Dt_Customer">
      <autoFilter ref="A1">
        <filterColumn colId="0">
          <customFilters and="1">
            <customFilter operator="greaterThanOrEqual" val="40909"/>
            <customFilter operator="lessThanOrEqual" val="42004"/>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787EA66C-101F-4721-AD55-FEEC9F877541}" name="NumDeals by activity of customertype" cacheId="13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A68:C71" firstHeaderRow="1" firstDataRow="1" firstDataCol="2"/>
  <pivotFields count="28">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4"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2">
        <item x="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2">
        <item x="1"/>
        <item x="0"/>
      </items>
      <extLst>
        <ext xmlns:x14="http://schemas.microsoft.com/office/spreadsheetml/2009/9/main" uri="{2946ED86-A175-432a-8AC1-64E0C546D7DE}">
          <x14:pivotField fillDownLabels="1"/>
        </ext>
      </extLst>
    </pivotField>
  </pivotFields>
  <rowFields count="2">
    <field x="27"/>
    <field x="12"/>
  </rowFields>
  <rowItems count="3">
    <i>
      <x/>
      <x/>
    </i>
    <i>
      <x v="1"/>
      <x/>
    </i>
    <i r="1">
      <x v="1"/>
    </i>
  </rowItems>
  <colItems count="1">
    <i/>
  </colItems>
  <dataFields count="1">
    <dataField name="Sum of NumDealsPurchases" fld="2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AA79EFBE-3DA7-4E74-B093-A18D09631D11}" name="PivotTable52" cacheId="13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03:B109" firstHeaderRow="1" firstDataRow="1" firstDataCol="1"/>
  <pivotFields count="28">
    <pivotField showAll="0"/>
    <pivotField showAll="0"/>
    <pivotField showAll="0"/>
    <pivotField showAll="0"/>
    <pivotField axis="axisRow" showAll="0">
      <items count="6">
        <item x="3"/>
        <item x="2"/>
        <item x="0"/>
        <item x="1"/>
        <item x="4"/>
        <item t="default"/>
      </items>
    </pivotField>
    <pivotField dataField="1" showAll="0"/>
    <pivotField showAll="0"/>
    <pivotField showAll="0"/>
    <pivotField showAll="0"/>
    <pivotField showAll="0"/>
    <pivotField numFmtId="1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4"/>
  </rowFields>
  <rowItems count="6">
    <i>
      <x/>
    </i>
    <i>
      <x v="1"/>
    </i>
    <i>
      <x v="2"/>
    </i>
    <i>
      <x v="3"/>
    </i>
    <i>
      <x v="4"/>
    </i>
    <i t="grand">
      <x/>
    </i>
  </rowItems>
  <colItems count="1">
    <i/>
  </colItems>
  <dataFields count="1">
    <dataField name="Average of Income" fld="5" subtotal="average" baseField="0" baseItem="53901" numFmtId="164"/>
  </dataFields>
  <formats count="1">
    <format dxfId="2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2DBB8CED-1650-4E37-A895-B71B9311DE87}" name="Webvisits by children" cacheId="13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96:B101" firstHeaderRow="1" firstDataRow="1" firstDataCol="1"/>
  <pivotFields count="28">
    <pivotField showAll="0"/>
    <pivotField showAll="0"/>
    <pivotField showAll="0"/>
    <pivotField showAll="0"/>
    <pivotField showAll="0">
      <items count="6">
        <item x="3"/>
        <item x="2"/>
        <item x="0"/>
        <item x="1"/>
        <item x="4"/>
        <item t="default"/>
      </items>
    </pivotField>
    <pivotField showAll="0"/>
    <pivotField showAll="0">
      <items count="5">
        <item x="3"/>
        <item x="1"/>
        <item x="0"/>
        <item x="2"/>
        <item t="default"/>
      </items>
    </pivotField>
    <pivotField showAll="0"/>
    <pivotField showAll="0"/>
    <pivotField axis="axisRow" showAll="0">
      <items count="5">
        <item x="0"/>
        <item x="2"/>
        <item x="1"/>
        <item x="3"/>
        <item t="default"/>
      </items>
    </pivotField>
    <pivotField numFmtId="1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s>
  <rowFields count="1">
    <field x="9"/>
  </rowFields>
  <rowItems count="5">
    <i>
      <x/>
    </i>
    <i>
      <x v="1"/>
    </i>
    <i>
      <x v="2"/>
    </i>
    <i>
      <x v="3"/>
    </i>
    <i t="grand">
      <x/>
    </i>
  </rowItems>
  <colItems count="1">
    <i/>
  </colItems>
  <dataFields count="1">
    <dataField name="Average of NumWebVisitsMonth" fld="26" subtotal="average" baseField="9" baseItem="2" numFmtId="2"/>
  </dataFields>
  <formats count="6">
    <format dxfId="31">
      <pivotArea type="all" dataOnly="0" outline="0" fieldPosition="0"/>
    </format>
    <format dxfId="30">
      <pivotArea outline="0" collapsedLevelsAreSubtotals="1" fieldPosition="0"/>
    </format>
    <format dxfId="29">
      <pivotArea field="9" type="button" dataOnly="0" labelOnly="1" outline="0" axis="axisRow" fieldPosition="0"/>
    </format>
    <format dxfId="28">
      <pivotArea dataOnly="0" labelOnly="1" grandRow="1" outline="0" fieldPosition="0"/>
    </format>
    <format dxfId="27">
      <pivotArea dataOnly="0" labelOnly="1" outline="0" axis="axisValues" fieldPosition="0"/>
    </format>
    <format dxfId="26">
      <pivotArea dataOnly="0" labelOnly="1" fieldPosition="0">
        <references count="1">
          <reference field="9" count="0"/>
        </references>
      </pivotArea>
    </format>
  </formats>
  <chartFormats count="5">
    <chartFormat chart="4" format="16" series="1">
      <pivotArea type="data" outline="0" fieldPosition="0">
        <references count="1">
          <reference field="4294967294" count="1" selected="0">
            <x v="0"/>
          </reference>
        </references>
      </pivotArea>
    </chartFormat>
    <chartFormat chart="4" format="17">
      <pivotArea type="data" outline="0" fieldPosition="0">
        <references count="2">
          <reference field="4294967294" count="1" selected="0">
            <x v="0"/>
          </reference>
          <reference field="9" count="1" selected="0">
            <x v="0"/>
          </reference>
        </references>
      </pivotArea>
    </chartFormat>
    <chartFormat chart="4" format="18">
      <pivotArea type="data" outline="0" fieldPosition="0">
        <references count="2">
          <reference field="4294967294" count="1" selected="0">
            <x v="0"/>
          </reference>
          <reference field="9" count="1" selected="0">
            <x v="1"/>
          </reference>
        </references>
      </pivotArea>
    </chartFormat>
    <chartFormat chart="4" format="19">
      <pivotArea type="data" outline="0" fieldPosition="0">
        <references count="2">
          <reference field="4294967294" count="1" selected="0">
            <x v="0"/>
          </reference>
          <reference field="9" count="1" selected="0">
            <x v="2"/>
          </reference>
        </references>
      </pivotArea>
    </chartFormat>
    <chartFormat chart="4" format="20">
      <pivotArea type="data" outline="0" fieldPosition="0">
        <references count="2">
          <reference field="4294967294" count="1" selected="0">
            <x v="0"/>
          </reference>
          <reference field="9"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come_bracket" xr10:uid="{CCF4240F-F813-4823-8D88-D72BE93CC449}" sourceName="Income bracket">
  <pivotTables>
    <pivotTable tabId="4" name="Customer kids"/>
    <pivotTable tabId="4" name="Count of customer type"/>
    <pivotTable tabId="4" name="Customer education"/>
    <pivotTable tabId="4" name="Customers count by age"/>
    <pivotTable tabId="4" name="Purchase method by numchildren"/>
    <pivotTable tabId="4" name="Webvisits by children"/>
    <pivotTable tabId="4" name="Purchases by education"/>
    <pivotTable tabId="4" name="Purchases in detail by age"/>
  </pivotTables>
  <data>
    <tabular pivotCacheId="1872966285">
      <items count="4">
        <i x="3" s="1"/>
        <i x="1" s="1"/>
        <i x="0"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rital_Status" xr10:uid="{645FD176-D5A8-4252-9783-9009B954AC32}" sourceName="Marital_Status">
  <pivotTables>
    <pivotTable tabId="4" name="Count of customer type"/>
    <pivotTable tabId="4" name="Customer education"/>
    <pivotTable tabId="4" name="Customers count by age"/>
    <pivotTable tabId="4" name="Customer kids"/>
    <pivotTable tabId="4" name="Purchase method by numchildren"/>
    <pivotTable tabId="4" name="Webvisits by children"/>
    <pivotTable tabId="4" name="Purchases by education"/>
    <pivotTable tabId="4" name="Purchases in detail by age"/>
  </pivotTables>
  <data>
    <tabular pivotCacheId="1872966285">
      <items count="5">
        <i x="3" s="1"/>
        <i x="2" s="1"/>
        <i x="0" s="1"/>
        <i x="1" s="1"/>
        <i x="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ncome bracket" xr10:uid="{3BDD2A2C-0C55-4096-A314-7EF9288FD1C3}" cache="Slicer_Income_bracket" caption="Income bracket" columnCount="2" style="Orange dark Custom1" rowHeight="468000"/>
  <slicer name="Marital_Status" xr10:uid="{24B68112-CA18-4AAC-8480-56201334A0AB}" cache="Slicer_Marital_Status" caption="Marital_Status" columnCount="2" style="Orange Custom1" rowHeight="306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ncome bracket 1" xr10:uid="{52B629D6-5CFC-46E2-83FF-11BD52BD98DC}" cache="Slicer_Income_bracket" caption="Income bracket" columnCount="2" style="Orange dark Custom1" rowHeight="468000"/>
  <slicer name="Marital_Status 1" xr10:uid="{4CB24AEA-A0E1-436F-BDA7-0809E10E746B}" cache="Slicer_Marital_Status" caption="Marital_Status" columnCount="2" style="Orange Custom1" rowHeight="41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t_Customer" xr10:uid="{EB48333B-567B-4BC2-B853-B8CCB3AC31F2}" sourceName="Dt_Customer">
  <pivotTables>
    <pivotTable tabId="4" name="Customer kids"/>
    <pivotTable tabId="4" name="Count of customer type"/>
    <pivotTable tabId="4" name="Customer education"/>
    <pivotTable tabId="4" name="Customers count by age"/>
  </pivotTables>
  <state minimalRefreshVersion="6" lastRefreshVersion="6" pivotCacheId="1872966285" filterType="dateBetween">
    <selection startDate="2012-01-01T00:00:00" endDate="2014-12-31T00:00:00"/>
    <bounds startDate="2012-01-01T00:00:00" endDate="2015-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t_Customer" xr10:uid="{A85BE0E1-204C-41D8-904B-E0F50BE7B7DC}" cache="NativeTimeline_Dt_Customer" caption="Dt_Customer" showSelectionLabel="0" level="2" selectionLevel="0" scrollPosition="2013-01-31T00:00:00" style="Orange timeline Custom1"/>
</timeline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microsoft.com/office/2011/relationships/timeline" Target="../timelines/timeline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ntrol" Target="../activeX/activeX2.xml"/><Relationship Id="rId2" Type="http://schemas.openxmlformats.org/officeDocument/2006/relationships/vmlDrawing" Target="../drawings/vmlDrawing2.vml"/><Relationship Id="rId1" Type="http://schemas.openxmlformats.org/officeDocument/2006/relationships/drawing" Target="../drawings/drawing2.xml"/><Relationship Id="rId5" Type="http://schemas.microsoft.com/office/2007/relationships/slicer" Target="../slicers/slicer2.xml"/><Relationship Id="rId4" Type="http://schemas.openxmlformats.org/officeDocument/2006/relationships/image" Target="../media/image7.emf"/></Relationships>
</file>

<file path=xl/worksheets/_rels/sheet3.xml.rels><?xml version="1.0" encoding="UTF-8" standalone="yes"?>
<Relationships xmlns="http://schemas.openxmlformats.org/package/2006/relationships"><Relationship Id="rId8" Type="http://schemas.openxmlformats.org/officeDocument/2006/relationships/image" Target="../media/image11.emf"/><Relationship Id="rId3" Type="http://schemas.openxmlformats.org/officeDocument/2006/relationships/control" Target="../activeX/activeX3.xml"/><Relationship Id="rId7" Type="http://schemas.openxmlformats.org/officeDocument/2006/relationships/control" Target="../activeX/activeX5.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image" Target="../media/image10.emf"/><Relationship Id="rId5" Type="http://schemas.openxmlformats.org/officeDocument/2006/relationships/control" Target="../activeX/activeX4.xml"/><Relationship Id="rId4" Type="http://schemas.openxmlformats.org/officeDocument/2006/relationships/image" Target="../media/image9.emf"/></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702668-6D83-4D8B-8682-D07A80502807}">
  <sheetPr codeName="Sheet7"/>
  <dimension ref="B2:Z30"/>
  <sheetViews>
    <sheetView showGridLines="0" tabSelected="1" zoomScale="60" zoomScaleNormal="60" workbookViewId="0">
      <selection activeCell="AJ14" sqref="AJ14"/>
    </sheetView>
  </sheetViews>
  <sheetFormatPr defaultRowHeight="14.5" x14ac:dyDescent="0.35"/>
  <sheetData>
    <row r="2" spans="2:26" x14ac:dyDescent="0.35">
      <c r="B2" s="11" t="s">
        <v>73</v>
      </c>
      <c r="C2" s="12"/>
      <c r="D2" s="12"/>
      <c r="E2" s="12"/>
      <c r="F2" s="12"/>
      <c r="G2" s="12"/>
      <c r="H2" s="12"/>
      <c r="I2" s="12"/>
      <c r="J2" s="12"/>
      <c r="K2" s="12"/>
      <c r="L2" s="12"/>
      <c r="M2" s="12"/>
      <c r="N2" s="12"/>
      <c r="O2" s="12"/>
      <c r="P2" s="12"/>
      <c r="Q2" s="12"/>
      <c r="R2" s="12"/>
      <c r="S2" s="12"/>
      <c r="T2" s="12"/>
      <c r="U2" s="12"/>
      <c r="V2" s="12"/>
      <c r="W2" s="12"/>
      <c r="X2" s="12"/>
      <c r="Y2" s="12"/>
      <c r="Z2" s="12"/>
    </row>
    <row r="3" spans="2:26" x14ac:dyDescent="0.35">
      <c r="B3" s="12"/>
      <c r="C3" s="12"/>
      <c r="D3" s="12"/>
      <c r="E3" s="12"/>
      <c r="F3" s="12"/>
      <c r="G3" s="12"/>
      <c r="H3" s="12"/>
      <c r="I3" s="12"/>
      <c r="J3" s="12"/>
      <c r="K3" s="12"/>
      <c r="L3" s="12"/>
      <c r="M3" s="12"/>
      <c r="N3" s="12"/>
      <c r="O3" s="12"/>
      <c r="P3" s="12"/>
      <c r="Q3" s="12"/>
      <c r="R3" s="12"/>
      <c r="S3" s="12"/>
      <c r="T3" s="12"/>
      <c r="U3" s="12"/>
      <c r="V3" s="12"/>
      <c r="W3" s="12"/>
      <c r="X3" s="12"/>
      <c r="Y3" s="12"/>
      <c r="Z3" s="12"/>
    </row>
    <row r="4" spans="2:26" x14ac:dyDescent="0.35">
      <c r="B4" s="12"/>
      <c r="C4" s="12"/>
      <c r="D4" s="12"/>
      <c r="E4" s="12"/>
      <c r="F4" s="12"/>
      <c r="G4" s="12"/>
      <c r="H4" s="12"/>
      <c r="I4" s="12"/>
      <c r="J4" s="12"/>
      <c r="K4" s="12"/>
      <c r="L4" s="12"/>
      <c r="M4" s="12"/>
      <c r="N4" s="12"/>
      <c r="O4" s="12"/>
      <c r="P4" s="12"/>
      <c r="Q4" s="12"/>
      <c r="R4" s="12"/>
      <c r="S4" s="12"/>
      <c r="T4" s="12"/>
      <c r="U4" s="12"/>
      <c r="V4" s="12"/>
      <c r="W4" s="12"/>
      <c r="X4" s="12"/>
      <c r="Y4" s="12"/>
      <c r="Z4" s="12"/>
    </row>
    <row r="5" spans="2:26" x14ac:dyDescent="0.35">
      <c r="B5" s="12"/>
      <c r="C5" s="12"/>
      <c r="D5" s="12"/>
      <c r="E5" s="12"/>
      <c r="F5" s="12"/>
      <c r="G5" s="12"/>
      <c r="H5" s="12"/>
      <c r="I5" s="12"/>
      <c r="J5" s="12"/>
      <c r="K5" s="12"/>
      <c r="L5" s="12"/>
      <c r="M5" s="12"/>
      <c r="N5" s="12"/>
      <c r="O5" s="12"/>
      <c r="P5" s="12"/>
      <c r="Q5" s="12"/>
      <c r="R5" s="12"/>
      <c r="S5" s="12"/>
      <c r="T5" s="12"/>
      <c r="U5" s="12"/>
      <c r="V5" s="12"/>
      <c r="W5" s="12"/>
      <c r="X5" s="12"/>
      <c r="Y5" s="12"/>
      <c r="Z5" s="12"/>
    </row>
    <row r="10" spans="2:26" ht="14" customHeight="1" x14ac:dyDescent="0.35"/>
    <row r="27" spans="2:26" x14ac:dyDescent="0.35">
      <c r="B27" s="11" t="s">
        <v>75</v>
      </c>
      <c r="C27" s="12"/>
      <c r="D27" s="12"/>
      <c r="E27" s="12"/>
      <c r="F27" s="12"/>
      <c r="G27" s="12"/>
      <c r="H27" s="12"/>
      <c r="I27" s="12"/>
      <c r="J27" s="12"/>
      <c r="K27" s="12"/>
      <c r="L27" s="12"/>
      <c r="M27" s="12"/>
      <c r="N27" s="12"/>
      <c r="O27" s="12"/>
      <c r="P27" s="12"/>
      <c r="Q27" s="12"/>
      <c r="R27" s="12"/>
      <c r="S27" s="12"/>
      <c r="T27" s="12"/>
      <c r="U27" s="12"/>
      <c r="V27" s="12"/>
      <c r="W27" s="12"/>
      <c r="X27" s="12"/>
      <c r="Y27" s="12"/>
      <c r="Z27" s="12"/>
    </row>
    <row r="28" spans="2:26" x14ac:dyDescent="0.35">
      <c r="B28" s="12"/>
      <c r="C28" s="12"/>
      <c r="D28" s="12"/>
      <c r="E28" s="12"/>
      <c r="F28" s="12"/>
      <c r="G28" s="12"/>
      <c r="H28" s="12"/>
      <c r="I28" s="12"/>
      <c r="J28" s="12"/>
      <c r="K28" s="12"/>
      <c r="L28" s="12"/>
      <c r="M28" s="12"/>
      <c r="N28" s="12"/>
      <c r="O28" s="12"/>
      <c r="P28" s="12"/>
      <c r="Q28" s="12"/>
      <c r="R28" s="12"/>
      <c r="S28" s="12"/>
      <c r="T28" s="12"/>
      <c r="U28" s="12"/>
      <c r="V28" s="12"/>
      <c r="W28" s="12"/>
      <c r="X28" s="12"/>
      <c r="Y28" s="12"/>
      <c r="Z28" s="12"/>
    </row>
    <row r="29" spans="2:26" x14ac:dyDescent="0.35">
      <c r="B29" s="12"/>
      <c r="C29" s="12"/>
      <c r="D29" s="12"/>
      <c r="E29" s="12"/>
      <c r="F29" s="12"/>
      <c r="G29" s="12"/>
      <c r="H29" s="12"/>
      <c r="I29" s="12"/>
      <c r="J29" s="12"/>
      <c r="K29" s="12"/>
      <c r="L29" s="12"/>
      <c r="M29" s="12"/>
      <c r="N29" s="12"/>
      <c r="O29" s="12"/>
      <c r="P29" s="12"/>
      <c r="Q29" s="12"/>
      <c r="R29" s="12"/>
      <c r="S29" s="12"/>
      <c r="T29" s="12"/>
      <c r="U29" s="12"/>
      <c r="V29" s="12"/>
      <c r="W29" s="12"/>
      <c r="X29" s="12"/>
      <c r="Y29" s="12"/>
      <c r="Z29" s="12"/>
    </row>
    <row r="30" spans="2:26" x14ac:dyDescent="0.35">
      <c r="B30" s="12"/>
      <c r="C30" s="12"/>
      <c r="D30" s="12"/>
      <c r="E30" s="12"/>
      <c r="F30" s="12"/>
      <c r="G30" s="12"/>
      <c r="H30" s="12"/>
      <c r="I30" s="12"/>
      <c r="J30" s="12"/>
      <c r="K30" s="12"/>
      <c r="L30" s="12"/>
      <c r="M30" s="12"/>
      <c r="N30" s="12"/>
      <c r="O30" s="12"/>
      <c r="P30" s="12"/>
      <c r="Q30" s="12"/>
      <c r="R30" s="12"/>
      <c r="S30" s="12"/>
      <c r="T30" s="12"/>
      <c r="U30" s="12"/>
      <c r="V30" s="12"/>
      <c r="W30" s="12"/>
      <c r="X30" s="12"/>
      <c r="Y30" s="12"/>
      <c r="Z30" s="12"/>
    </row>
  </sheetData>
  <mergeCells count="2">
    <mergeCell ref="B27:Z30"/>
    <mergeCell ref="B2:Z5"/>
  </mergeCells>
  <pageMargins left="0.7" right="0.7" top="0.75" bottom="0.75" header="0.3" footer="0.3"/>
  <pageSetup orientation="portrait" r:id="rId1"/>
  <drawing r:id="rId2"/>
  <legacyDrawing r:id="rId3"/>
  <controls>
    <mc:AlternateContent xmlns:mc="http://schemas.openxmlformats.org/markup-compatibility/2006">
      <mc:Choice Requires="x14">
        <control shapeId="2" r:id="rId4" name="refresh">
          <controlPr defaultSize="0" autoLine="0" r:id="rId5">
            <anchor moveWithCells="1">
              <from>
                <xdr:col>12</xdr:col>
                <xdr:colOff>450850</xdr:colOff>
                <xdr:row>34</xdr:row>
                <xdr:rowOff>133350</xdr:rowOff>
              </from>
              <to>
                <xdr:col>18</xdr:col>
                <xdr:colOff>425450</xdr:colOff>
                <xdr:row>37</xdr:row>
                <xdr:rowOff>44450</xdr:rowOff>
              </to>
            </anchor>
          </controlPr>
        </control>
      </mc:Choice>
      <mc:Fallback>
        <control shapeId="7170" r:id="rId4" name="refresh"/>
      </mc:Fallback>
    </mc:AlternateContent>
  </controls>
  <extLst>
    <ext xmlns:x14="http://schemas.microsoft.com/office/spreadsheetml/2009/9/main" uri="{A8765BA9-456A-4dab-B4F3-ACF838C121DE}">
      <x14:slicerList>
        <x14:slicer r:id="rId6"/>
      </x14:slicerList>
    </ext>
    <ext xmlns:x15="http://schemas.microsoft.com/office/spreadsheetml/2010/11/main" uri="{7E03D99C-DC04-49d9-9315-930204A7B6E9}">
      <x15:timelineRefs>
        <x15:timelineRef r:id="rId7"/>
      </x15:timelineRef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C18461-F268-42F0-879B-A9718A8F45E4}">
  <sheetPr codeName="Sheet8"/>
  <dimension ref="B1:Z4"/>
  <sheetViews>
    <sheetView showGridLines="0" zoomScale="60" zoomScaleNormal="60" workbookViewId="0">
      <selection activeCell="AN51" sqref="AN51"/>
    </sheetView>
  </sheetViews>
  <sheetFormatPr defaultRowHeight="14.5" x14ac:dyDescent="0.35"/>
  <sheetData>
    <row r="1" spans="2:26" x14ac:dyDescent="0.35">
      <c r="B1" s="11" t="s">
        <v>74</v>
      </c>
      <c r="C1" s="12"/>
      <c r="D1" s="12"/>
      <c r="E1" s="12"/>
      <c r="F1" s="12"/>
      <c r="G1" s="12"/>
      <c r="H1" s="12"/>
      <c r="I1" s="12"/>
      <c r="J1" s="12"/>
      <c r="K1" s="12"/>
      <c r="L1" s="12"/>
      <c r="M1" s="12"/>
      <c r="N1" s="12"/>
      <c r="O1" s="12"/>
      <c r="P1" s="12"/>
      <c r="Q1" s="12"/>
      <c r="R1" s="12"/>
      <c r="S1" s="12"/>
      <c r="T1" s="12"/>
      <c r="U1" s="12"/>
      <c r="V1" s="12"/>
      <c r="W1" s="12"/>
      <c r="X1" s="12"/>
      <c r="Y1" s="12"/>
      <c r="Z1" s="12"/>
    </row>
    <row r="2" spans="2:26" x14ac:dyDescent="0.35">
      <c r="B2" s="12"/>
      <c r="C2" s="12"/>
      <c r="D2" s="12"/>
      <c r="E2" s="12"/>
      <c r="F2" s="12"/>
      <c r="G2" s="12"/>
      <c r="H2" s="12"/>
      <c r="I2" s="12"/>
      <c r="J2" s="12"/>
      <c r="K2" s="12"/>
      <c r="L2" s="12"/>
      <c r="M2" s="12"/>
      <c r="N2" s="12"/>
      <c r="O2" s="12"/>
      <c r="P2" s="12"/>
      <c r="Q2" s="12"/>
      <c r="R2" s="12"/>
      <c r="S2" s="12"/>
      <c r="T2" s="12"/>
      <c r="U2" s="12"/>
      <c r="V2" s="12"/>
      <c r="W2" s="12"/>
      <c r="X2" s="12"/>
      <c r="Y2" s="12"/>
      <c r="Z2" s="12"/>
    </row>
    <row r="3" spans="2:26" x14ac:dyDescent="0.35">
      <c r="B3" s="12"/>
      <c r="C3" s="12"/>
      <c r="D3" s="12"/>
      <c r="E3" s="12"/>
      <c r="F3" s="12"/>
      <c r="G3" s="12"/>
      <c r="H3" s="12"/>
      <c r="I3" s="12"/>
      <c r="J3" s="12"/>
      <c r="K3" s="12"/>
      <c r="L3" s="12"/>
      <c r="M3" s="12"/>
      <c r="N3" s="12"/>
      <c r="O3" s="12"/>
      <c r="P3" s="12"/>
      <c r="Q3" s="12"/>
      <c r="R3" s="12"/>
      <c r="S3" s="12"/>
      <c r="T3" s="12"/>
      <c r="U3" s="12"/>
      <c r="V3" s="12"/>
      <c r="W3" s="12"/>
      <c r="X3" s="12"/>
      <c r="Y3" s="12"/>
      <c r="Z3" s="12"/>
    </row>
    <row r="4" spans="2:26" x14ac:dyDescent="0.35">
      <c r="B4" s="12"/>
      <c r="C4" s="12"/>
      <c r="D4" s="12"/>
      <c r="E4" s="12"/>
      <c r="F4" s="12"/>
      <c r="G4" s="12"/>
      <c r="H4" s="12"/>
      <c r="I4" s="12"/>
      <c r="J4" s="12"/>
      <c r="K4" s="12"/>
      <c r="L4" s="12"/>
      <c r="M4" s="12"/>
      <c r="N4" s="12"/>
      <c r="O4" s="12"/>
      <c r="P4" s="12"/>
      <c r="Q4" s="12"/>
      <c r="R4" s="12"/>
      <c r="S4" s="12"/>
      <c r="T4" s="12"/>
      <c r="U4" s="12"/>
      <c r="V4" s="12"/>
      <c r="W4" s="12"/>
      <c r="X4" s="12"/>
      <c r="Y4" s="12"/>
      <c r="Z4" s="12"/>
    </row>
  </sheetData>
  <mergeCells count="1">
    <mergeCell ref="B1:Z4"/>
  </mergeCells>
  <pageMargins left="0.7" right="0.7" top="0.75" bottom="0.75" header="0.3" footer="0.3"/>
  <drawing r:id="rId1"/>
  <legacyDrawing r:id="rId2"/>
  <controls>
    <mc:AlternateContent xmlns:mc="http://schemas.openxmlformats.org/markup-compatibility/2006">
      <mc:Choice Requires="x14">
        <control shapeId="8194" r:id="rId3" name="refresh2">
          <controlPr defaultSize="0" autoLine="0" r:id="rId4">
            <anchor moveWithCells="1">
              <from>
                <xdr:col>12</xdr:col>
                <xdr:colOff>355600</xdr:colOff>
                <xdr:row>54</xdr:row>
                <xdr:rowOff>139700</xdr:rowOff>
              </from>
              <to>
                <xdr:col>18</xdr:col>
                <xdr:colOff>558800</xdr:colOff>
                <xdr:row>57</xdr:row>
                <xdr:rowOff>120650</xdr:rowOff>
              </to>
            </anchor>
          </controlPr>
        </control>
      </mc:Choice>
      <mc:Fallback>
        <control shapeId="8194" r:id="rId3" name="refresh2"/>
      </mc:Fallback>
    </mc:AlternateContent>
  </controls>
  <extLst>
    <ext xmlns:x14="http://schemas.microsoft.com/office/spreadsheetml/2009/9/main" uri="{A8765BA9-456A-4dab-B4F3-ACF838C121DE}">
      <x14:slicerList>
        <x14:slicer r:id="rId5"/>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AB2057"/>
  <sheetViews>
    <sheetView topLeftCell="A2040" zoomScale="85" zoomScaleNormal="85" workbookViewId="0">
      <selection activeCell="AB3" sqref="AB3"/>
    </sheetView>
  </sheetViews>
  <sheetFormatPr defaultRowHeight="14.5" x14ac:dyDescent="0.35"/>
  <cols>
    <col min="1" max="1" width="6.26953125" bestFit="1" customWidth="1"/>
    <col min="2" max="2" width="9.54296875" bestFit="1" customWidth="1"/>
    <col min="3" max="3" width="5.453125" bestFit="1" customWidth="1"/>
    <col min="4" max="4" width="10.26953125" bestFit="1" customWidth="1"/>
    <col min="5" max="5" width="13" bestFit="1" customWidth="1"/>
    <col min="6" max="6" width="7" bestFit="1" customWidth="1"/>
    <col min="7" max="7" width="12.90625" bestFit="1" customWidth="1"/>
    <col min="8" max="8" width="8.1796875" bestFit="1" customWidth="1"/>
    <col min="9" max="9" width="9.7265625" bestFit="1" customWidth="1"/>
    <col min="10" max="10" width="11.7265625" bestFit="1" customWidth="1"/>
    <col min="11" max="11" width="11.81640625" bestFit="1" customWidth="1"/>
    <col min="12" max="12" width="7.54296875" bestFit="1" customWidth="1"/>
    <col min="13" max="13" width="7.54296875" customWidth="1"/>
    <col min="15" max="15" width="9.453125" bestFit="1" customWidth="1"/>
    <col min="16" max="16" width="8.90625" bestFit="1" customWidth="1"/>
    <col min="17" max="17" width="16" bestFit="1" customWidth="1"/>
    <col min="18" max="18" width="14.90625" bestFit="1" customWidth="1"/>
    <col min="19" max="19" width="16.6328125" bestFit="1" customWidth="1"/>
    <col min="20" max="20" width="13" bestFit="1" customWidth="1"/>
    <col min="21" max="21" width="5" bestFit="1" customWidth="1"/>
    <col min="22" max="22" width="17.90625" bestFit="1" customWidth="1"/>
    <col min="23" max="23" width="17.26953125" bestFit="1" customWidth="1"/>
    <col min="24" max="24" width="19.54296875" bestFit="1" customWidth="1"/>
    <col min="25" max="25" width="17.7265625" bestFit="1" customWidth="1"/>
    <col min="26" max="26" width="13.453125" bestFit="1" customWidth="1"/>
    <col min="27" max="27" width="18.81640625" bestFit="1" customWidth="1"/>
    <col min="28" max="28" width="21.6328125" bestFit="1" customWidth="1"/>
  </cols>
  <sheetData>
    <row r="1" spans="1:28" x14ac:dyDescent="0.35">
      <c r="A1" t="s">
        <v>0</v>
      </c>
      <c r="B1" t="s">
        <v>1</v>
      </c>
      <c r="C1" s="2" t="s">
        <v>2</v>
      </c>
      <c r="D1" t="s">
        <v>3</v>
      </c>
      <c r="E1" t="s">
        <v>4</v>
      </c>
      <c r="F1" t="s">
        <v>5</v>
      </c>
      <c r="G1" s="2" t="s">
        <v>72</v>
      </c>
      <c r="H1" t="s">
        <v>6</v>
      </c>
      <c r="I1" t="s">
        <v>7</v>
      </c>
      <c r="J1" s="2" t="s">
        <v>8</v>
      </c>
      <c r="K1" t="s">
        <v>9</v>
      </c>
      <c r="L1" t="s">
        <v>10</v>
      </c>
      <c r="M1" s="2" t="s">
        <v>58</v>
      </c>
      <c r="N1" t="s">
        <v>11</v>
      </c>
      <c r="O1" t="s">
        <v>12</v>
      </c>
      <c r="P1" t="s">
        <v>13</v>
      </c>
      <c r="Q1" t="s">
        <v>14</v>
      </c>
      <c r="R1" t="s">
        <v>15</v>
      </c>
      <c r="S1" t="s">
        <v>16</v>
      </c>
      <c r="T1" t="s">
        <v>17</v>
      </c>
      <c r="U1" s="2" t="s">
        <v>18</v>
      </c>
      <c r="V1" t="s">
        <v>19</v>
      </c>
      <c r="W1" t="s">
        <v>20</v>
      </c>
      <c r="X1" t="s">
        <v>21</v>
      </c>
      <c r="Y1" t="s">
        <v>22</v>
      </c>
      <c r="Z1" s="2" t="s">
        <v>23</v>
      </c>
      <c r="AA1" t="s">
        <v>24</v>
      </c>
      <c r="AB1" s="2" t="s">
        <v>57</v>
      </c>
    </row>
    <row r="2" spans="1:28" x14ac:dyDescent="0.35">
      <c r="A2">
        <v>5524</v>
      </c>
      <c r="B2">
        <v>1957</v>
      </c>
      <c r="C2" t="s">
        <v>25</v>
      </c>
      <c r="D2" t="s">
        <v>26</v>
      </c>
      <c r="E2" t="s">
        <v>27</v>
      </c>
      <c r="F2">
        <v>58138</v>
      </c>
      <c r="G2" t="str">
        <f t="shared" ref="G2:G65" si="0">IF(F2&lt;=_xlfn.PERCENTILE.INC($F$2:$F$2056,0.25),"Low",IF(F2&lt;=_xlfn.PERCENTILE.INC($F$2:$F$2056,0.5),"Mid-low",IF(F2&lt;=_xlfn.PERCENTILE.INC($F$2:$F$2056,0.75),"Mid-high","High")))</f>
        <v>Mid-high</v>
      </c>
      <c r="H2">
        <v>0</v>
      </c>
      <c r="I2">
        <v>0</v>
      </c>
      <c r="J2">
        <v>0</v>
      </c>
      <c r="K2" s="1">
        <v>41156</v>
      </c>
      <c r="L2">
        <v>58</v>
      </c>
      <c r="M2" t="str">
        <f t="shared" ref="M2:M65" si="1">IF(L2&gt;AVERAGE($L$2:$L$2056),"Inactive","Active")</f>
        <v>Inactive</v>
      </c>
      <c r="N2">
        <v>0</v>
      </c>
      <c r="O2">
        <v>635</v>
      </c>
      <c r="P2">
        <v>88</v>
      </c>
      <c r="Q2">
        <v>546</v>
      </c>
      <c r="R2">
        <v>172</v>
      </c>
      <c r="S2">
        <v>88</v>
      </c>
      <c r="T2">
        <v>88</v>
      </c>
      <c r="U2">
        <v>1617</v>
      </c>
      <c r="V2">
        <v>3</v>
      </c>
      <c r="W2">
        <v>8</v>
      </c>
      <c r="X2">
        <v>10</v>
      </c>
      <c r="Y2">
        <v>4</v>
      </c>
      <c r="Z2">
        <v>22</v>
      </c>
      <c r="AA2">
        <v>7</v>
      </c>
      <c r="AB2" t="str">
        <f t="shared" ref="AB2:AB65" si="2">IF(AND(Z2&gt;AVERAGE($Z$2:$Z$2056),U2&gt;AVERAGE($U$2:$U$2056),N2=0,L2&lt;AVERAGE($L$2:$L$2056),F2&gt;AVERAGE($F$2:$F$2240)),"Above average customer","Below average customer")</f>
        <v>Below average customer</v>
      </c>
    </row>
    <row r="3" spans="1:28" x14ac:dyDescent="0.35">
      <c r="A3">
        <v>2174</v>
      </c>
      <c r="B3">
        <v>1954</v>
      </c>
      <c r="C3" t="s">
        <v>25</v>
      </c>
      <c r="D3" t="s">
        <v>26</v>
      </c>
      <c r="E3" t="s">
        <v>27</v>
      </c>
      <c r="F3">
        <v>46344</v>
      </c>
      <c r="G3" t="str">
        <f t="shared" si="0"/>
        <v>Mid-low</v>
      </c>
      <c r="H3">
        <v>1</v>
      </c>
      <c r="I3">
        <v>1</v>
      </c>
      <c r="J3">
        <v>2</v>
      </c>
      <c r="K3" s="1">
        <v>41706</v>
      </c>
      <c r="L3">
        <v>38</v>
      </c>
      <c r="M3" t="str">
        <f t="shared" si="1"/>
        <v>Active</v>
      </c>
      <c r="N3">
        <v>0</v>
      </c>
      <c r="O3">
        <v>11</v>
      </c>
      <c r="P3">
        <v>1</v>
      </c>
      <c r="Q3">
        <v>6</v>
      </c>
      <c r="R3">
        <v>2</v>
      </c>
      <c r="S3">
        <v>1</v>
      </c>
      <c r="T3">
        <v>6</v>
      </c>
      <c r="U3">
        <v>27</v>
      </c>
      <c r="V3">
        <v>2</v>
      </c>
      <c r="W3">
        <v>1</v>
      </c>
      <c r="X3">
        <v>1</v>
      </c>
      <c r="Y3">
        <v>2</v>
      </c>
      <c r="Z3">
        <v>4</v>
      </c>
      <c r="AA3">
        <v>5</v>
      </c>
      <c r="AB3" t="str">
        <f t="shared" si="2"/>
        <v>Below average customer</v>
      </c>
    </row>
    <row r="4" spans="1:28" x14ac:dyDescent="0.35">
      <c r="A4">
        <v>4141</v>
      </c>
      <c r="B4">
        <v>1965</v>
      </c>
      <c r="C4" t="s">
        <v>28</v>
      </c>
      <c r="D4" t="s">
        <v>26</v>
      </c>
      <c r="E4" t="s">
        <v>29</v>
      </c>
      <c r="F4">
        <v>71613</v>
      </c>
      <c r="G4" t="str">
        <f t="shared" si="0"/>
        <v>High</v>
      </c>
      <c r="H4">
        <v>0</v>
      </c>
      <c r="I4">
        <v>0</v>
      </c>
      <c r="J4">
        <v>0</v>
      </c>
      <c r="K4" s="1">
        <v>41507</v>
      </c>
      <c r="L4">
        <v>26</v>
      </c>
      <c r="M4" t="str">
        <f t="shared" si="1"/>
        <v>Active</v>
      </c>
      <c r="N4">
        <v>0</v>
      </c>
      <c r="O4">
        <v>426</v>
      </c>
      <c r="P4">
        <v>49</v>
      </c>
      <c r="Q4">
        <v>127</v>
      </c>
      <c r="R4">
        <v>111</v>
      </c>
      <c r="S4">
        <v>21</v>
      </c>
      <c r="T4">
        <v>42</v>
      </c>
      <c r="U4">
        <v>776</v>
      </c>
      <c r="V4">
        <v>1</v>
      </c>
      <c r="W4">
        <v>8</v>
      </c>
      <c r="X4">
        <v>2</v>
      </c>
      <c r="Y4">
        <v>10</v>
      </c>
      <c r="Z4">
        <v>20</v>
      </c>
      <c r="AA4">
        <v>4</v>
      </c>
      <c r="AB4" t="str">
        <f t="shared" si="2"/>
        <v>Above average customer</v>
      </c>
    </row>
    <row r="5" spans="1:28" x14ac:dyDescent="0.35">
      <c r="A5">
        <v>6182</v>
      </c>
      <c r="B5">
        <v>1984</v>
      </c>
      <c r="C5" t="s">
        <v>30</v>
      </c>
      <c r="D5" t="s">
        <v>26</v>
      </c>
      <c r="E5" t="s">
        <v>29</v>
      </c>
      <c r="F5">
        <v>26646</v>
      </c>
      <c r="G5" t="str">
        <f t="shared" si="0"/>
        <v>Low</v>
      </c>
      <c r="H5">
        <v>1</v>
      </c>
      <c r="I5">
        <v>0</v>
      </c>
      <c r="J5">
        <v>1</v>
      </c>
      <c r="K5" s="1">
        <v>41680</v>
      </c>
      <c r="L5">
        <v>26</v>
      </c>
      <c r="M5" t="str">
        <f t="shared" si="1"/>
        <v>Active</v>
      </c>
      <c r="N5">
        <v>0</v>
      </c>
      <c r="O5">
        <v>11</v>
      </c>
      <c r="P5">
        <v>4</v>
      </c>
      <c r="Q5">
        <v>20</v>
      </c>
      <c r="R5">
        <v>10</v>
      </c>
      <c r="S5">
        <v>3</v>
      </c>
      <c r="T5">
        <v>5</v>
      </c>
      <c r="U5">
        <v>53</v>
      </c>
      <c r="V5">
        <v>2</v>
      </c>
      <c r="W5">
        <v>2</v>
      </c>
      <c r="X5">
        <v>0</v>
      </c>
      <c r="Y5">
        <v>4</v>
      </c>
      <c r="Z5">
        <v>6</v>
      </c>
      <c r="AA5">
        <v>6</v>
      </c>
      <c r="AB5" t="str">
        <f t="shared" si="2"/>
        <v>Below average customer</v>
      </c>
    </row>
    <row r="6" spans="1:28" x14ac:dyDescent="0.35">
      <c r="A6">
        <v>5324</v>
      </c>
      <c r="B6">
        <v>1981</v>
      </c>
      <c r="C6" t="s">
        <v>31</v>
      </c>
      <c r="D6" t="s">
        <v>32</v>
      </c>
      <c r="E6" t="s">
        <v>33</v>
      </c>
      <c r="F6">
        <v>58293</v>
      </c>
      <c r="G6" t="str">
        <f t="shared" si="0"/>
        <v>Mid-high</v>
      </c>
      <c r="H6">
        <v>1</v>
      </c>
      <c r="I6">
        <v>0</v>
      </c>
      <c r="J6">
        <v>1</v>
      </c>
      <c r="K6" s="1">
        <v>41658</v>
      </c>
      <c r="L6">
        <v>94</v>
      </c>
      <c r="M6" t="str">
        <f t="shared" si="1"/>
        <v>Inactive</v>
      </c>
      <c r="N6">
        <v>0</v>
      </c>
      <c r="O6">
        <v>173</v>
      </c>
      <c r="P6">
        <v>43</v>
      </c>
      <c r="Q6">
        <v>118</v>
      </c>
      <c r="R6">
        <v>46</v>
      </c>
      <c r="S6">
        <v>27</v>
      </c>
      <c r="T6">
        <v>15</v>
      </c>
      <c r="U6">
        <v>422</v>
      </c>
      <c r="V6">
        <v>5</v>
      </c>
      <c r="W6">
        <v>5</v>
      </c>
      <c r="X6">
        <v>3</v>
      </c>
      <c r="Y6">
        <v>6</v>
      </c>
      <c r="Z6">
        <v>14</v>
      </c>
      <c r="AA6">
        <v>5</v>
      </c>
      <c r="AB6" t="str">
        <f t="shared" si="2"/>
        <v>Below average customer</v>
      </c>
    </row>
    <row r="7" spans="1:28" x14ac:dyDescent="0.35">
      <c r="A7">
        <v>7446</v>
      </c>
      <c r="B7">
        <v>1967</v>
      </c>
      <c r="C7" t="s">
        <v>28</v>
      </c>
      <c r="D7" t="s">
        <v>34</v>
      </c>
      <c r="E7" t="s">
        <v>29</v>
      </c>
      <c r="F7">
        <v>62513</v>
      </c>
      <c r="G7" t="str">
        <f t="shared" si="0"/>
        <v>Mid-high</v>
      </c>
      <c r="H7">
        <v>0</v>
      </c>
      <c r="I7">
        <v>1</v>
      </c>
      <c r="J7">
        <v>1</v>
      </c>
      <c r="K7" s="1">
        <v>41526</v>
      </c>
      <c r="L7">
        <v>16</v>
      </c>
      <c r="M7" t="str">
        <f t="shared" si="1"/>
        <v>Active</v>
      </c>
      <c r="N7">
        <v>0</v>
      </c>
      <c r="O7">
        <v>520</v>
      </c>
      <c r="P7">
        <v>42</v>
      </c>
      <c r="Q7">
        <v>98</v>
      </c>
      <c r="R7">
        <v>0</v>
      </c>
      <c r="S7">
        <v>42</v>
      </c>
      <c r="T7">
        <v>14</v>
      </c>
      <c r="U7">
        <v>716</v>
      </c>
      <c r="V7">
        <v>2</v>
      </c>
      <c r="W7">
        <v>6</v>
      </c>
      <c r="X7">
        <v>4</v>
      </c>
      <c r="Y7">
        <v>10</v>
      </c>
      <c r="Z7">
        <v>20</v>
      </c>
      <c r="AA7">
        <v>6</v>
      </c>
      <c r="AB7" t="str">
        <f t="shared" si="2"/>
        <v>Above average customer</v>
      </c>
    </row>
    <row r="8" spans="1:28" x14ac:dyDescent="0.35">
      <c r="A8">
        <v>965</v>
      </c>
      <c r="B8">
        <v>1971</v>
      </c>
      <c r="C8" t="s">
        <v>28</v>
      </c>
      <c r="D8" t="s">
        <v>26</v>
      </c>
      <c r="E8" t="s">
        <v>35</v>
      </c>
      <c r="F8">
        <v>55635</v>
      </c>
      <c r="G8" t="str">
        <f t="shared" si="0"/>
        <v>Mid-high</v>
      </c>
      <c r="H8">
        <v>0</v>
      </c>
      <c r="I8">
        <v>1</v>
      </c>
      <c r="J8">
        <v>1</v>
      </c>
      <c r="K8" s="1">
        <v>41226</v>
      </c>
      <c r="L8">
        <v>34</v>
      </c>
      <c r="M8" t="str">
        <f t="shared" si="1"/>
        <v>Active</v>
      </c>
      <c r="N8">
        <v>0</v>
      </c>
      <c r="O8">
        <v>235</v>
      </c>
      <c r="P8">
        <v>65</v>
      </c>
      <c r="Q8">
        <v>164</v>
      </c>
      <c r="R8">
        <v>50</v>
      </c>
      <c r="S8">
        <v>49</v>
      </c>
      <c r="T8">
        <v>27</v>
      </c>
      <c r="U8">
        <v>590</v>
      </c>
      <c r="V8">
        <v>4</v>
      </c>
      <c r="W8">
        <v>7</v>
      </c>
      <c r="X8">
        <v>3</v>
      </c>
      <c r="Y8">
        <v>7</v>
      </c>
      <c r="Z8">
        <v>17</v>
      </c>
      <c r="AA8">
        <v>6</v>
      </c>
      <c r="AB8" t="str">
        <f t="shared" si="2"/>
        <v>Below average customer</v>
      </c>
    </row>
    <row r="9" spans="1:28" x14ac:dyDescent="0.35">
      <c r="A9">
        <v>6177</v>
      </c>
      <c r="B9">
        <v>1985</v>
      </c>
      <c r="C9" t="s">
        <v>30</v>
      </c>
      <c r="D9" t="s">
        <v>32</v>
      </c>
      <c r="E9" t="s">
        <v>33</v>
      </c>
      <c r="F9">
        <v>33454</v>
      </c>
      <c r="G9" t="str">
        <f t="shared" si="0"/>
        <v>Low</v>
      </c>
      <c r="H9">
        <v>1</v>
      </c>
      <c r="I9">
        <v>0</v>
      </c>
      <c r="J9">
        <v>1</v>
      </c>
      <c r="K9" s="1">
        <v>41402</v>
      </c>
      <c r="L9">
        <v>32</v>
      </c>
      <c r="M9" t="str">
        <f t="shared" si="1"/>
        <v>Active</v>
      </c>
      <c r="N9">
        <v>0</v>
      </c>
      <c r="O9">
        <v>76</v>
      </c>
      <c r="P9">
        <v>10</v>
      </c>
      <c r="Q9">
        <v>56</v>
      </c>
      <c r="R9">
        <v>3</v>
      </c>
      <c r="S9">
        <v>1</v>
      </c>
      <c r="T9">
        <v>23</v>
      </c>
      <c r="U9">
        <v>169</v>
      </c>
      <c r="V9">
        <v>2</v>
      </c>
      <c r="W9">
        <v>4</v>
      </c>
      <c r="X9">
        <v>0</v>
      </c>
      <c r="Y9">
        <v>4</v>
      </c>
      <c r="Z9">
        <v>8</v>
      </c>
      <c r="AA9">
        <v>8</v>
      </c>
      <c r="AB9" t="str">
        <f t="shared" si="2"/>
        <v>Below average customer</v>
      </c>
    </row>
    <row r="10" spans="1:28" x14ac:dyDescent="0.35">
      <c r="A10">
        <v>4855</v>
      </c>
      <c r="B10">
        <v>1974</v>
      </c>
      <c r="C10" t="s">
        <v>31</v>
      </c>
      <c r="D10" t="s">
        <v>32</v>
      </c>
      <c r="E10" t="s">
        <v>29</v>
      </c>
      <c r="F10">
        <v>30351</v>
      </c>
      <c r="G10" t="str">
        <f t="shared" si="0"/>
        <v>Low</v>
      </c>
      <c r="H10">
        <v>1</v>
      </c>
      <c r="I10">
        <v>0</v>
      </c>
      <c r="J10">
        <v>1</v>
      </c>
      <c r="K10" s="1">
        <v>41431</v>
      </c>
      <c r="L10">
        <v>19</v>
      </c>
      <c r="M10" t="str">
        <f t="shared" si="1"/>
        <v>Active</v>
      </c>
      <c r="N10">
        <v>0</v>
      </c>
      <c r="O10">
        <v>14</v>
      </c>
      <c r="P10">
        <v>0</v>
      </c>
      <c r="Q10">
        <v>24</v>
      </c>
      <c r="R10">
        <v>3</v>
      </c>
      <c r="S10">
        <v>3</v>
      </c>
      <c r="T10">
        <v>2</v>
      </c>
      <c r="U10">
        <v>46</v>
      </c>
      <c r="V10">
        <v>1</v>
      </c>
      <c r="W10">
        <v>3</v>
      </c>
      <c r="X10">
        <v>0</v>
      </c>
      <c r="Y10">
        <v>2</v>
      </c>
      <c r="Z10">
        <v>5</v>
      </c>
      <c r="AA10">
        <v>9</v>
      </c>
      <c r="AB10" t="str">
        <f t="shared" si="2"/>
        <v>Below average customer</v>
      </c>
    </row>
    <row r="11" spans="1:28" x14ac:dyDescent="0.35">
      <c r="A11">
        <v>5899</v>
      </c>
      <c r="B11">
        <v>1950</v>
      </c>
      <c r="C11" t="s">
        <v>36</v>
      </c>
      <c r="D11" t="s">
        <v>32</v>
      </c>
      <c r="E11" t="s">
        <v>29</v>
      </c>
      <c r="F11">
        <v>5648</v>
      </c>
      <c r="G11" t="str">
        <f t="shared" si="0"/>
        <v>Low</v>
      </c>
      <c r="H11">
        <v>1</v>
      </c>
      <c r="I11">
        <v>1</v>
      </c>
      <c r="J11">
        <v>2</v>
      </c>
      <c r="K11" s="1">
        <v>41711</v>
      </c>
      <c r="L11">
        <v>68</v>
      </c>
      <c r="M11" t="str">
        <f t="shared" si="1"/>
        <v>Inactive</v>
      </c>
      <c r="N11">
        <v>0</v>
      </c>
      <c r="O11">
        <v>28</v>
      </c>
      <c r="P11">
        <v>0</v>
      </c>
      <c r="Q11">
        <v>6</v>
      </c>
      <c r="R11">
        <v>1</v>
      </c>
      <c r="S11">
        <v>1</v>
      </c>
      <c r="T11">
        <v>13</v>
      </c>
      <c r="U11">
        <v>49</v>
      </c>
      <c r="V11">
        <v>1</v>
      </c>
      <c r="W11">
        <v>1</v>
      </c>
      <c r="X11">
        <v>0</v>
      </c>
      <c r="Y11">
        <v>0</v>
      </c>
      <c r="Z11">
        <v>1</v>
      </c>
      <c r="AA11">
        <v>20</v>
      </c>
      <c r="AB11" t="str">
        <f t="shared" si="2"/>
        <v>Below average customer</v>
      </c>
    </row>
    <row r="12" spans="1:28" x14ac:dyDescent="0.35">
      <c r="A12">
        <v>1994</v>
      </c>
      <c r="B12">
        <v>1983</v>
      </c>
      <c r="C12" t="s">
        <v>30</v>
      </c>
      <c r="D12" t="s">
        <v>26</v>
      </c>
      <c r="E12" t="s">
        <v>33</v>
      </c>
      <c r="G12" t="str">
        <f t="shared" si="0"/>
        <v>Low</v>
      </c>
      <c r="H12">
        <v>1</v>
      </c>
      <c r="I12">
        <v>0</v>
      </c>
      <c r="J12">
        <v>1</v>
      </c>
      <c r="K12" s="1">
        <v>41593</v>
      </c>
      <c r="L12">
        <v>11</v>
      </c>
      <c r="M12" t="str">
        <f t="shared" si="1"/>
        <v>Active</v>
      </c>
      <c r="N12">
        <v>0</v>
      </c>
      <c r="O12">
        <v>5</v>
      </c>
      <c r="P12">
        <v>5</v>
      </c>
      <c r="Q12">
        <v>6</v>
      </c>
      <c r="R12">
        <v>0</v>
      </c>
      <c r="S12">
        <v>2</v>
      </c>
      <c r="T12">
        <v>1</v>
      </c>
      <c r="U12">
        <v>19</v>
      </c>
      <c r="V12">
        <v>1</v>
      </c>
      <c r="W12">
        <v>1</v>
      </c>
      <c r="X12">
        <v>0</v>
      </c>
      <c r="Y12">
        <v>2</v>
      </c>
      <c r="Z12">
        <v>3</v>
      </c>
      <c r="AA12">
        <v>7</v>
      </c>
      <c r="AB12" t="str">
        <f t="shared" si="2"/>
        <v>Below average customer</v>
      </c>
    </row>
    <row r="13" spans="1:28" x14ac:dyDescent="0.35">
      <c r="A13">
        <v>387</v>
      </c>
      <c r="B13">
        <v>1976</v>
      </c>
      <c r="C13" t="s">
        <v>31</v>
      </c>
      <c r="D13" t="s">
        <v>37</v>
      </c>
      <c r="E13" t="s">
        <v>33</v>
      </c>
      <c r="F13">
        <v>7500</v>
      </c>
      <c r="G13" t="str">
        <f t="shared" si="0"/>
        <v>Low</v>
      </c>
      <c r="H13">
        <v>0</v>
      </c>
      <c r="I13">
        <v>0</v>
      </c>
      <c r="J13">
        <v>0</v>
      </c>
      <c r="K13" s="1">
        <v>41226</v>
      </c>
      <c r="L13">
        <v>59</v>
      </c>
      <c r="M13" t="str">
        <f t="shared" si="1"/>
        <v>Inactive</v>
      </c>
      <c r="N13">
        <v>0</v>
      </c>
      <c r="O13">
        <v>6</v>
      </c>
      <c r="P13">
        <v>16</v>
      </c>
      <c r="Q13">
        <v>11</v>
      </c>
      <c r="R13">
        <v>11</v>
      </c>
      <c r="S13">
        <v>1</v>
      </c>
      <c r="T13">
        <v>16</v>
      </c>
      <c r="U13">
        <v>61</v>
      </c>
      <c r="V13">
        <v>1</v>
      </c>
      <c r="W13">
        <v>2</v>
      </c>
      <c r="X13">
        <v>0</v>
      </c>
      <c r="Y13">
        <v>3</v>
      </c>
      <c r="Z13">
        <v>5</v>
      </c>
      <c r="AA13">
        <v>8</v>
      </c>
      <c r="AB13" t="str">
        <f t="shared" si="2"/>
        <v>Below average customer</v>
      </c>
    </row>
    <row r="14" spans="1:28" x14ac:dyDescent="0.35">
      <c r="A14">
        <v>2125</v>
      </c>
      <c r="B14">
        <v>1959</v>
      </c>
      <c r="C14" t="s">
        <v>25</v>
      </c>
      <c r="D14" t="s">
        <v>26</v>
      </c>
      <c r="E14" t="s">
        <v>35</v>
      </c>
      <c r="F14">
        <v>63033</v>
      </c>
      <c r="G14" t="str">
        <f t="shared" si="0"/>
        <v>Mid-high</v>
      </c>
      <c r="H14">
        <v>0</v>
      </c>
      <c r="I14">
        <v>0</v>
      </c>
      <c r="J14">
        <v>0</v>
      </c>
      <c r="K14" s="1">
        <v>41593</v>
      </c>
      <c r="L14">
        <v>82</v>
      </c>
      <c r="M14" t="str">
        <f t="shared" si="1"/>
        <v>Inactive</v>
      </c>
      <c r="N14">
        <v>0</v>
      </c>
      <c r="O14">
        <v>194</v>
      </c>
      <c r="P14">
        <v>61</v>
      </c>
      <c r="Q14">
        <v>480</v>
      </c>
      <c r="R14">
        <v>225</v>
      </c>
      <c r="S14">
        <v>112</v>
      </c>
      <c r="T14">
        <v>30</v>
      </c>
      <c r="U14">
        <v>1102</v>
      </c>
      <c r="V14">
        <v>1</v>
      </c>
      <c r="W14">
        <v>3</v>
      </c>
      <c r="X14">
        <v>4</v>
      </c>
      <c r="Y14">
        <v>8</v>
      </c>
      <c r="Z14">
        <v>15</v>
      </c>
      <c r="AA14">
        <v>2</v>
      </c>
      <c r="AB14" t="str">
        <f t="shared" si="2"/>
        <v>Below average customer</v>
      </c>
    </row>
    <row r="15" spans="1:28" x14ac:dyDescent="0.35">
      <c r="A15">
        <v>8180</v>
      </c>
      <c r="B15">
        <v>1952</v>
      </c>
      <c r="C15" t="s">
        <v>36</v>
      </c>
      <c r="D15" t="s">
        <v>34</v>
      </c>
      <c r="E15" t="s">
        <v>35</v>
      </c>
      <c r="F15">
        <v>59354</v>
      </c>
      <c r="G15" t="str">
        <f t="shared" si="0"/>
        <v>Mid-high</v>
      </c>
      <c r="H15">
        <v>1</v>
      </c>
      <c r="I15">
        <v>1</v>
      </c>
      <c r="J15">
        <v>2</v>
      </c>
      <c r="K15" s="1">
        <v>41593</v>
      </c>
      <c r="L15">
        <v>53</v>
      </c>
      <c r="M15" t="str">
        <f t="shared" si="1"/>
        <v>Inactive</v>
      </c>
      <c r="N15">
        <v>0</v>
      </c>
      <c r="O15">
        <v>233</v>
      </c>
      <c r="P15">
        <v>2</v>
      </c>
      <c r="Q15">
        <v>53</v>
      </c>
      <c r="R15">
        <v>3</v>
      </c>
      <c r="S15">
        <v>5</v>
      </c>
      <c r="T15">
        <v>14</v>
      </c>
      <c r="U15">
        <v>310</v>
      </c>
      <c r="V15">
        <v>3</v>
      </c>
      <c r="W15">
        <v>6</v>
      </c>
      <c r="X15">
        <v>1</v>
      </c>
      <c r="Y15">
        <v>5</v>
      </c>
      <c r="Z15">
        <v>12</v>
      </c>
      <c r="AA15">
        <v>6</v>
      </c>
      <c r="AB15" t="str">
        <f t="shared" si="2"/>
        <v>Below average customer</v>
      </c>
    </row>
    <row r="16" spans="1:28" x14ac:dyDescent="0.35">
      <c r="A16">
        <v>2569</v>
      </c>
      <c r="B16">
        <v>1987</v>
      </c>
      <c r="C16" t="s">
        <v>30</v>
      </c>
      <c r="D16" t="s">
        <v>26</v>
      </c>
      <c r="E16" t="s">
        <v>33</v>
      </c>
      <c r="F16">
        <v>17323</v>
      </c>
      <c r="G16" t="str">
        <f t="shared" si="0"/>
        <v>Low</v>
      </c>
      <c r="H16">
        <v>0</v>
      </c>
      <c r="I16">
        <v>0</v>
      </c>
      <c r="J16">
        <v>0</v>
      </c>
      <c r="K16" s="1">
        <v>41192</v>
      </c>
      <c r="L16">
        <v>38</v>
      </c>
      <c r="M16" t="str">
        <f t="shared" si="1"/>
        <v>Active</v>
      </c>
      <c r="N16">
        <v>0</v>
      </c>
      <c r="O16">
        <v>3</v>
      </c>
      <c r="P16">
        <v>14</v>
      </c>
      <c r="Q16">
        <v>17</v>
      </c>
      <c r="R16">
        <v>6</v>
      </c>
      <c r="S16">
        <v>1</v>
      </c>
      <c r="T16">
        <v>5</v>
      </c>
      <c r="U16">
        <v>46</v>
      </c>
      <c r="V16">
        <v>1</v>
      </c>
      <c r="W16">
        <v>1</v>
      </c>
      <c r="X16">
        <v>0</v>
      </c>
      <c r="Y16">
        <v>3</v>
      </c>
      <c r="Z16">
        <v>4</v>
      </c>
      <c r="AA16">
        <v>8</v>
      </c>
      <c r="AB16" t="str">
        <f t="shared" si="2"/>
        <v>Below average customer</v>
      </c>
    </row>
    <row r="17" spans="1:28" x14ac:dyDescent="0.35">
      <c r="A17">
        <v>2114</v>
      </c>
      <c r="B17">
        <v>1946</v>
      </c>
      <c r="C17" t="s">
        <v>36</v>
      </c>
      <c r="D17" t="s">
        <v>32</v>
      </c>
      <c r="E17" t="s">
        <v>27</v>
      </c>
      <c r="F17">
        <v>82800</v>
      </c>
      <c r="G17" t="str">
        <f t="shared" si="0"/>
        <v>High</v>
      </c>
      <c r="H17">
        <v>0</v>
      </c>
      <c r="I17">
        <v>0</v>
      </c>
      <c r="J17">
        <v>0</v>
      </c>
      <c r="K17" s="1">
        <v>41237</v>
      </c>
      <c r="L17">
        <v>23</v>
      </c>
      <c r="M17" t="str">
        <f t="shared" si="1"/>
        <v>Active</v>
      </c>
      <c r="N17">
        <v>0</v>
      </c>
      <c r="O17">
        <v>1006</v>
      </c>
      <c r="P17">
        <v>22</v>
      </c>
      <c r="Q17">
        <v>115</v>
      </c>
      <c r="R17">
        <v>59</v>
      </c>
      <c r="S17">
        <v>68</v>
      </c>
      <c r="T17">
        <v>45</v>
      </c>
      <c r="U17">
        <v>1315</v>
      </c>
      <c r="V17">
        <v>1</v>
      </c>
      <c r="W17">
        <v>7</v>
      </c>
      <c r="X17">
        <v>6</v>
      </c>
      <c r="Y17">
        <v>12</v>
      </c>
      <c r="Z17">
        <v>25</v>
      </c>
      <c r="AA17">
        <v>3</v>
      </c>
      <c r="AB17" t="str">
        <f t="shared" si="2"/>
        <v>Above average customer</v>
      </c>
    </row>
    <row r="18" spans="1:28" x14ac:dyDescent="0.35">
      <c r="A18">
        <v>9736</v>
      </c>
      <c r="B18">
        <v>1980</v>
      </c>
      <c r="C18" t="s">
        <v>31</v>
      </c>
      <c r="D18" t="s">
        <v>26</v>
      </c>
      <c r="E18" t="s">
        <v>33</v>
      </c>
      <c r="F18">
        <v>41850</v>
      </c>
      <c r="G18" t="str">
        <f t="shared" si="0"/>
        <v>Mid-low</v>
      </c>
      <c r="H18">
        <v>1</v>
      </c>
      <c r="I18">
        <v>1</v>
      </c>
      <c r="J18">
        <v>2</v>
      </c>
      <c r="K18" s="1">
        <v>41267</v>
      </c>
      <c r="L18">
        <v>51</v>
      </c>
      <c r="M18" t="str">
        <f t="shared" si="1"/>
        <v>Inactive</v>
      </c>
      <c r="N18">
        <v>0</v>
      </c>
      <c r="O18">
        <v>53</v>
      </c>
      <c r="P18">
        <v>5</v>
      </c>
      <c r="Q18">
        <v>19</v>
      </c>
      <c r="R18">
        <v>2</v>
      </c>
      <c r="S18">
        <v>13</v>
      </c>
      <c r="T18">
        <v>4</v>
      </c>
      <c r="U18">
        <v>96</v>
      </c>
      <c r="V18">
        <v>3</v>
      </c>
      <c r="W18">
        <v>3</v>
      </c>
      <c r="X18">
        <v>0</v>
      </c>
      <c r="Y18">
        <v>3</v>
      </c>
      <c r="Z18">
        <v>6</v>
      </c>
      <c r="AA18">
        <v>8</v>
      </c>
      <c r="AB18" t="str">
        <f t="shared" si="2"/>
        <v>Below average customer</v>
      </c>
    </row>
    <row r="19" spans="1:28" x14ac:dyDescent="0.35">
      <c r="A19">
        <v>4939</v>
      </c>
      <c r="B19">
        <v>1946</v>
      </c>
      <c r="C19" t="s">
        <v>36</v>
      </c>
      <c r="D19" t="s">
        <v>26</v>
      </c>
      <c r="E19" t="s">
        <v>29</v>
      </c>
      <c r="F19">
        <v>37760</v>
      </c>
      <c r="G19" t="str">
        <f t="shared" si="0"/>
        <v>Mid-low</v>
      </c>
      <c r="H19">
        <v>0</v>
      </c>
      <c r="I19">
        <v>0</v>
      </c>
      <c r="J19">
        <v>0</v>
      </c>
      <c r="K19" s="1">
        <v>41152</v>
      </c>
      <c r="L19">
        <v>20</v>
      </c>
      <c r="M19" t="str">
        <f t="shared" si="1"/>
        <v>Active</v>
      </c>
      <c r="N19">
        <v>0</v>
      </c>
      <c r="O19">
        <v>84</v>
      </c>
      <c r="P19">
        <v>5</v>
      </c>
      <c r="Q19">
        <v>38</v>
      </c>
      <c r="R19">
        <v>150</v>
      </c>
      <c r="S19">
        <v>12</v>
      </c>
      <c r="T19">
        <v>28</v>
      </c>
      <c r="U19">
        <v>317</v>
      </c>
      <c r="V19">
        <v>2</v>
      </c>
      <c r="W19">
        <v>4</v>
      </c>
      <c r="X19">
        <v>1</v>
      </c>
      <c r="Y19">
        <v>6</v>
      </c>
      <c r="Z19">
        <v>11</v>
      </c>
      <c r="AA19">
        <v>7</v>
      </c>
      <c r="AB19" t="str">
        <f t="shared" si="2"/>
        <v>Below average customer</v>
      </c>
    </row>
    <row r="20" spans="1:28" x14ac:dyDescent="0.35">
      <c r="A20">
        <v>6565</v>
      </c>
      <c r="B20">
        <v>1949</v>
      </c>
      <c r="C20" t="s">
        <v>36</v>
      </c>
      <c r="D20" t="s">
        <v>34</v>
      </c>
      <c r="E20" t="s">
        <v>33</v>
      </c>
      <c r="F20">
        <v>76995</v>
      </c>
      <c r="G20" t="str">
        <f t="shared" si="0"/>
        <v>High</v>
      </c>
      <c r="H20">
        <v>0</v>
      </c>
      <c r="I20">
        <v>1</v>
      </c>
      <c r="J20">
        <v>1</v>
      </c>
      <c r="K20" s="1">
        <v>41361</v>
      </c>
      <c r="L20">
        <v>91</v>
      </c>
      <c r="M20" t="str">
        <f t="shared" si="1"/>
        <v>Inactive</v>
      </c>
      <c r="N20">
        <v>0</v>
      </c>
      <c r="O20">
        <v>1012</v>
      </c>
      <c r="P20">
        <v>80</v>
      </c>
      <c r="Q20">
        <v>498</v>
      </c>
      <c r="R20">
        <v>0</v>
      </c>
      <c r="S20">
        <v>16</v>
      </c>
      <c r="T20">
        <v>176</v>
      </c>
      <c r="U20">
        <v>1782</v>
      </c>
      <c r="V20">
        <v>2</v>
      </c>
      <c r="W20">
        <v>11</v>
      </c>
      <c r="X20">
        <v>4</v>
      </c>
      <c r="Y20">
        <v>9</v>
      </c>
      <c r="Z20">
        <v>24</v>
      </c>
      <c r="AA20">
        <v>5</v>
      </c>
      <c r="AB20" t="str">
        <f t="shared" si="2"/>
        <v>Below average customer</v>
      </c>
    </row>
    <row r="21" spans="1:28" x14ac:dyDescent="0.35">
      <c r="A21">
        <v>2278</v>
      </c>
      <c r="B21">
        <v>1985</v>
      </c>
      <c r="C21" t="s">
        <v>30</v>
      </c>
      <c r="D21" t="s">
        <v>34</v>
      </c>
      <c r="E21" t="s">
        <v>27</v>
      </c>
      <c r="F21">
        <v>33812</v>
      </c>
      <c r="G21" t="str">
        <f t="shared" si="0"/>
        <v>Low</v>
      </c>
      <c r="H21">
        <v>1</v>
      </c>
      <c r="I21">
        <v>0</v>
      </c>
      <c r="J21">
        <v>1</v>
      </c>
      <c r="K21" s="1">
        <v>41216</v>
      </c>
      <c r="L21">
        <v>86</v>
      </c>
      <c r="M21" t="str">
        <f t="shared" si="1"/>
        <v>Inactive</v>
      </c>
      <c r="N21">
        <v>0</v>
      </c>
      <c r="O21">
        <v>4</v>
      </c>
      <c r="P21">
        <v>17</v>
      </c>
      <c r="Q21">
        <v>19</v>
      </c>
      <c r="R21">
        <v>30</v>
      </c>
      <c r="S21">
        <v>24</v>
      </c>
      <c r="T21">
        <v>39</v>
      </c>
      <c r="U21">
        <v>133</v>
      </c>
      <c r="V21">
        <v>2</v>
      </c>
      <c r="W21">
        <v>2</v>
      </c>
      <c r="X21">
        <v>1</v>
      </c>
      <c r="Y21">
        <v>3</v>
      </c>
      <c r="Z21">
        <v>6</v>
      </c>
      <c r="AA21">
        <v>6</v>
      </c>
      <c r="AB21" t="str">
        <f t="shared" si="2"/>
        <v>Below average customer</v>
      </c>
    </row>
    <row r="22" spans="1:28" x14ac:dyDescent="0.35">
      <c r="A22">
        <v>9360</v>
      </c>
      <c r="B22">
        <v>1982</v>
      </c>
      <c r="C22" t="s">
        <v>31</v>
      </c>
      <c r="D22" t="s">
        <v>26</v>
      </c>
      <c r="E22" t="s">
        <v>33</v>
      </c>
      <c r="F22">
        <v>37040</v>
      </c>
      <c r="G22" t="str">
        <f t="shared" si="0"/>
        <v>Mid-low</v>
      </c>
      <c r="H22">
        <v>0</v>
      </c>
      <c r="I22">
        <v>0</v>
      </c>
      <c r="J22">
        <v>0</v>
      </c>
      <c r="K22" s="1">
        <v>41129</v>
      </c>
      <c r="L22">
        <v>41</v>
      </c>
      <c r="M22" t="str">
        <f t="shared" si="1"/>
        <v>Active</v>
      </c>
      <c r="N22">
        <v>0</v>
      </c>
      <c r="O22">
        <v>86</v>
      </c>
      <c r="P22">
        <v>2</v>
      </c>
      <c r="Q22">
        <v>73</v>
      </c>
      <c r="R22">
        <v>69</v>
      </c>
      <c r="S22">
        <v>38</v>
      </c>
      <c r="T22">
        <v>48</v>
      </c>
      <c r="U22">
        <v>316</v>
      </c>
      <c r="V22">
        <v>1</v>
      </c>
      <c r="W22">
        <v>4</v>
      </c>
      <c r="X22">
        <v>2</v>
      </c>
      <c r="Y22">
        <v>5</v>
      </c>
      <c r="Z22">
        <v>11</v>
      </c>
      <c r="AA22">
        <v>8</v>
      </c>
      <c r="AB22" t="str">
        <f t="shared" si="2"/>
        <v>Below average customer</v>
      </c>
    </row>
    <row r="23" spans="1:28" x14ac:dyDescent="0.35">
      <c r="A23">
        <v>5376</v>
      </c>
      <c r="B23">
        <v>1979</v>
      </c>
      <c r="C23" t="s">
        <v>31</v>
      </c>
      <c r="D23" t="s">
        <v>26</v>
      </c>
      <c r="E23" t="s">
        <v>33</v>
      </c>
      <c r="F23">
        <v>2447</v>
      </c>
      <c r="G23" t="str">
        <f t="shared" si="0"/>
        <v>Low</v>
      </c>
      <c r="H23">
        <v>1</v>
      </c>
      <c r="I23">
        <v>0</v>
      </c>
      <c r="J23">
        <v>1</v>
      </c>
      <c r="K23" s="1">
        <v>41280</v>
      </c>
      <c r="L23">
        <v>42</v>
      </c>
      <c r="M23" t="str">
        <f t="shared" si="1"/>
        <v>Active</v>
      </c>
      <c r="N23">
        <v>0</v>
      </c>
      <c r="O23">
        <v>1</v>
      </c>
      <c r="P23">
        <v>1</v>
      </c>
      <c r="Q23">
        <v>1725</v>
      </c>
      <c r="R23">
        <v>1</v>
      </c>
      <c r="S23">
        <v>1</v>
      </c>
      <c r="T23">
        <v>1</v>
      </c>
      <c r="U23">
        <v>1730</v>
      </c>
      <c r="V23">
        <v>15</v>
      </c>
      <c r="W23">
        <v>0</v>
      </c>
      <c r="X23">
        <v>28</v>
      </c>
      <c r="Y23">
        <v>0</v>
      </c>
      <c r="Z23">
        <v>28</v>
      </c>
      <c r="AA23">
        <v>1</v>
      </c>
      <c r="AB23" t="str">
        <f t="shared" si="2"/>
        <v>Below average customer</v>
      </c>
    </row>
    <row r="24" spans="1:28" x14ac:dyDescent="0.35">
      <c r="A24">
        <v>1993</v>
      </c>
      <c r="B24">
        <v>1949</v>
      </c>
      <c r="C24" t="s">
        <v>36</v>
      </c>
      <c r="D24" t="s">
        <v>32</v>
      </c>
      <c r="E24" t="s">
        <v>33</v>
      </c>
      <c r="F24">
        <v>58607</v>
      </c>
      <c r="G24" t="str">
        <f t="shared" si="0"/>
        <v>Mid-high</v>
      </c>
      <c r="H24">
        <v>0</v>
      </c>
      <c r="I24">
        <v>1</v>
      </c>
      <c r="J24">
        <v>1</v>
      </c>
      <c r="K24" s="1">
        <v>41266</v>
      </c>
      <c r="L24">
        <v>63</v>
      </c>
      <c r="M24" t="str">
        <f t="shared" si="1"/>
        <v>Inactive</v>
      </c>
      <c r="N24">
        <v>0</v>
      </c>
      <c r="O24">
        <v>867</v>
      </c>
      <c r="P24">
        <v>0</v>
      </c>
      <c r="Q24">
        <v>86</v>
      </c>
      <c r="R24">
        <v>0</v>
      </c>
      <c r="S24">
        <v>0</v>
      </c>
      <c r="T24">
        <v>19</v>
      </c>
      <c r="U24">
        <v>972</v>
      </c>
      <c r="V24">
        <v>3</v>
      </c>
      <c r="W24">
        <v>2</v>
      </c>
      <c r="X24">
        <v>3</v>
      </c>
      <c r="Y24">
        <v>9</v>
      </c>
      <c r="Z24">
        <v>14</v>
      </c>
      <c r="AA24">
        <v>8</v>
      </c>
      <c r="AB24" t="str">
        <f t="shared" si="2"/>
        <v>Below average customer</v>
      </c>
    </row>
    <row r="25" spans="1:28" x14ac:dyDescent="0.35">
      <c r="A25">
        <v>4047</v>
      </c>
      <c r="B25">
        <v>1954</v>
      </c>
      <c r="C25" t="s">
        <v>25</v>
      </c>
      <c r="D25" t="s">
        <v>32</v>
      </c>
      <c r="E25" t="s">
        <v>33</v>
      </c>
      <c r="F25">
        <v>65324</v>
      </c>
      <c r="G25" t="str">
        <f t="shared" si="0"/>
        <v>Mid-high</v>
      </c>
      <c r="H25">
        <v>0</v>
      </c>
      <c r="I25">
        <v>1</v>
      </c>
      <c r="J25">
        <v>1</v>
      </c>
      <c r="K25" s="1">
        <v>41650</v>
      </c>
      <c r="L25">
        <v>0</v>
      </c>
      <c r="M25" t="str">
        <f t="shared" si="1"/>
        <v>Active</v>
      </c>
      <c r="N25">
        <v>0</v>
      </c>
      <c r="O25">
        <v>384</v>
      </c>
      <c r="P25">
        <v>0</v>
      </c>
      <c r="Q25">
        <v>102</v>
      </c>
      <c r="R25">
        <v>21</v>
      </c>
      <c r="S25">
        <v>32</v>
      </c>
      <c r="T25">
        <v>5</v>
      </c>
      <c r="U25">
        <v>544</v>
      </c>
      <c r="V25">
        <v>3</v>
      </c>
      <c r="W25">
        <v>6</v>
      </c>
      <c r="X25">
        <v>2</v>
      </c>
      <c r="Y25">
        <v>9</v>
      </c>
      <c r="Z25">
        <v>17</v>
      </c>
      <c r="AA25">
        <v>4</v>
      </c>
      <c r="AB25" t="str">
        <f t="shared" si="2"/>
        <v>Below average customer</v>
      </c>
    </row>
    <row r="26" spans="1:28" x14ac:dyDescent="0.35">
      <c r="A26">
        <v>1409</v>
      </c>
      <c r="B26">
        <v>1951</v>
      </c>
      <c r="C26" t="s">
        <v>36</v>
      </c>
      <c r="D26" t="s">
        <v>26</v>
      </c>
      <c r="E26" t="s">
        <v>29</v>
      </c>
      <c r="F26">
        <v>40689</v>
      </c>
      <c r="G26" t="str">
        <f t="shared" si="0"/>
        <v>Mid-low</v>
      </c>
      <c r="H26">
        <v>0</v>
      </c>
      <c r="I26">
        <v>1</v>
      </c>
      <c r="J26">
        <v>1</v>
      </c>
      <c r="K26" s="1">
        <v>41351</v>
      </c>
      <c r="L26">
        <v>69</v>
      </c>
      <c r="M26" t="str">
        <f t="shared" si="1"/>
        <v>Inactive</v>
      </c>
      <c r="N26">
        <v>0</v>
      </c>
      <c r="O26">
        <v>270</v>
      </c>
      <c r="P26">
        <v>3</v>
      </c>
      <c r="Q26">
        <v>27</v>
      </c>
      <c r="R26">
        <v>39</v>
      </c>
      <c r="S26">
        <v>6</v>
      </c>
      <c r="T26">
        <v>99</v>
      </c>
      <c r="U26">
        <v>444</v>
      </c>
      <c r="V26">
        <v>7</v>
      </c>
      <c r="W26">
        <v>7</v>
      </c>
      <c r="X26">
        <v>1</v>
      </c>
      <c r="Y26">
        <v>5</v>
      </c>
      <c r="Z26">
        <v>13</v>
      </c>
      <c r="AA26">
        <v>8</v>
      </c>
      <c r="AB26" t="str">
        <f t="shared" si="2"/>
        <v>Below average customer</v>
      </c>
    </row>
    <row r="27" spans="1:28" x14ac:dyDescent="0.35">
      <c r="A27">
        <v>7892</v>
      </c>
      <c r="B27">
        <v>1969</v>
      </c>
      <c r="C27" t="s">
        <v>28</v>
      </c>
      <c r="D27" t="s">
        <v>26</v>
      </c>
      <c r="E27" t="s">
        <v>27</v>
      </c>
      <c r="F27">
        <v>18589</v>
      </c>
      <c r="G27" t="str">
        <f t="shared" si="0"/>
        <v>Low</v>
      </c>
      <c r="H27">
        <v>0</v>
      </c>
      <c r="I27">
        <v>0</v>
      </c>
      <c r="J27">
        <v>0</v>
      </c>
      <c r="K27" s="1">
        <v>41276</v>
      </c>
      <c r="L27">
        <v>89</v>
      </c>
      <c r="M27" t="str">
        <f t="shared" si="1"/>
        <v>Inactive</v>
      </c>
      <c r="N27">
        <v>0</v>
      </c>
      <c r="O27">
        <v>6</v>
      </c>
      <c r="P27">
        <v>4</v>
      </c>
      <c r="Q27">
        <v>25</v>
      </c>
      <c r="R27">
        <v>15</v>
      </c>
      <c r="S27">
        <v>12</v>
      </c>
      <c r="T27">
        <v>13</v>
      </c>
      <c r="U27">
        <v>75</v>
      </c>
      <c r="V27">
        <v>2</v>
      </c>
      <c r="W27">
        <v>2</v>
      </c>
      <c r="X27">
        <v>1</v>
      </c>
      <c r="Y27">
        <v>3</v>
      </c>
      <c r="Z27">
        <v>6</v>
      </c>
      <c r="AA27">
        <v>7</v>
      </c>
      <c r="AB27" t="str">
        <f t="shared" si="2"/>
        <v>Below average customer</v>
      </c>
    </row>
    <row r="28" spans="1:28" x14ac:dyDescent="0.35">
      <c r="A28">
        <v>2404</v>
      </c>
      <c r="B28">
        <v>1976</v>
      </c>
      <c r="C28" t="s">
        <v>31</v>
      </c>
      <c r="D28" t="s">
        <v>26</v>
      </c>
      <c r="E28" t="s">
        <v>33</v>
      </c>
      <c r="F28">
        <v>53359</v>
      </c>
      <c r="G28" t="str">
        <f t="shared" si="0"/>
        <v>Mid-high</v>
      </c>
      <c r="H28">
        <v>1</v>
      </c>
      <c r="I28">
        <v>1</v>
      </c>
      <c r="J28">
        <v>2</v>
      </c>
      <c r="K28" s="1">
        <v>41421</v>
      </c>
      <c r="L28">
        <v>4</v>
      </c>
      <c r="M28" t="str">
        <f t="shared" si="1"/>
        <v>Active</v>
      </c>
      <c r="N28">
        <v>0</v>
      </c>
      <c r="O28">
        <v>173</v>
      </c>
      <c r="P28">
        <v>4</v>
      </c>
      <c r="Q28">
        <v>30</v>
      </c>
      <c r="R28">
        <v>3</v>
      </c>
      <c r="S28">
        <v>6</v>
      </c>
      <c r="T28">
        <v>41</v>
      </c>
      <c r="U28">
        <v>257</v>
      </c>
      <c r="V28">
        <v>4</v>
      </c>
      <c r="W28">
        <v>5</v>
      </c>
      <c r="X28">
        <v>1</v>
      </c>
      <c r="Y28">
        <v>4</v>
      </c>
      <c r="Z28">
        <v>10</v>
      </c>
      <c r="AA28">
        <v>7</v>
      </c>
      <c r="AB28" t="str">
        <f t="shared" si="2"/>
        <v>Below average customer</v>
      </c>
    </row>
    <row r="29" spans="1:28" x14ac:dyDescent="0.35">
      <c r="A29">
        <v>5255</v>
      </c>
      <c r="B29">
        <v>1986</v>
      </c>
      <c r="C29" t="s">
        <v>30</v>
      </c>
      <c r="D29" t="s">
        <v>26</v>
      </c>
      <c r="E29" t="s">
        <v>27</v>
      </c>
      <c r="G29" t="str">
        <f t="shared" si="0"/>
        <v>Low</v>
      </c>
      <c r="H29">
        <v>1</v>
      </c>
      <c r="I29">
        <v>0</v>
      </c>
      <c r="J29">
        <v>1</v>
      </c>
      <c r="K29" s="1">
        <v>41325</v>
      </c>
      <c r="L29">
        <v>19</v>
      </c>
      <c r="M29" t="str">
        <f t="shared" si="1"/>
        <v>Active</v>
      </c>
      <c r="N29">
        <v>0</v>
      </c>
      <c r="O29">
        <v>5</v>
      </c>
      <c r="P29">
        <v>1</v>
      </c>
      <c r="Q29">
        <v>3</v>
      </c>
      <c r="R29">
        <v>3</v>
      </c>
      <c r="S29">
        <v>263</v>
      </c>
      <c r="T29">
        <v>362</v>
      </c>
      <c r="U29">
        <v>637</v>
      </c>
      <c r="V29">
        <v>0</v>
      </c>
      <c r="W29">
        <v>27</v>
      </c>
      <c r="X29">
        <v>0</v>
      </c>
      <c r="Y29">
        <v>0</v>
      </c>
      <c r="Z29">
        <v>27</v>
      </c>
      <c r="AA29">
        <v>1</v>
      </c>
      <c r="AB29" t="str">
        <f t="shared" si="2"/>
        <v>Below average customer</v>
      </c>
    </row>
    <row r="30" spans="1:28" x14ac:dyDescent="0.35">
      <c r="A30">
        <v>9422</v>
      </c>
      <c r="B30">
        <v>1989</v>
      </c>
      <c r="C30" t="s">
        <v>30</v>
      </c>
      <c r="D30" t="s">
        <v>26</v>
      </c>
      <c r="E30" t="s">
        <v>33</v>
      </c>
      <c r="F30">
        <v>38360</v>
      </c>
      <c r="G30" t="str">
        <f t="shared" si="0"/>
        <v>Mid-low</v>
      </c>
      <c r="H30">
        <v>1</v>
      </c>
      <c r="I30">
        <v>0</v>
      </c>
      <c r="J30">
        <v>1</v>
      </c>
      <c r="K30" s="1">
        <v>41425</v>
      </c>
      <c r="L30">
        <v>26</v>
      </c>
      <c r="M30" t="str">
        <f t="shared" si="1"/>
        <v>Active</v>
      </c>
      <c r="N30">
        <v>0</v>
      </c>
      <c r="O30">
        <v>36</v>
      </c>
      <c r="P30">
        <v>2</v>
      </c>
      <c r="Q30">
        <v>42</v>
      </c>
      <c r="R30">
        <v>20</v>
      </c>
      <c r="S30">
        <v>21</v>
      </c>
      <c r="T30">
        <v>10</v>
      </c>
      <c r="U30">
        <v>131</v>
      </c>
      <c r="V30">
        <v>2</v>
      </c>
      <c r="W30">
        <v>2</v>
      </c>
      <c r="X30">
        <v>1</v>
      </c>
      <c r="Y30">
        <v>4</v>
      </c>
      <c r="Z30">
        <v>7</v>
      </c>
      <c r="AA30">
        <v>3</v>
      </c>
      <c r="AB30" t="str">
        <f t="shared" si="2"/>
        <v>Below average customer</v>
      </c>
    </row>
    <row r="31" spans="1:28" x14ac:dyDescent="0.35">
      <c r="A31">
        <v>1966</v>
      </c>
      <c r="B31">
        <v>1965</v>
      </c>
      <c r="C31" t="s">
        <v>28</v>
      </c>
      <c r="D31" t="s">
        <v>32</v>
      </c>
      <c r="E31" t="s">
        <v>33</v>
      </c>
      <c r="F31">
        <v>84618</v>
      </c>
      <c r="G31" t="str">
        <f t="shared" si="0"/>
        <v>High</v>
      </c>
      <c r="H31">
        <v>0</v>
      </c>
      <c r="I31">
        <v>0</v>
      </c>
      <c r="J31">
        <v>0</v>
      </c>
      <c r="K31" s="1">
        <v>41600</v>
      </c>
      <c r="L31">
        <v>96</v>
      </c>
      <c r="M31" t="str">
        <f t="shared" si="1"/>
        <v>Inactive</v>
      </c>
      <c r="N31">
        <v>0</v>
      </c>
      <c r="O31">
        <v>684</v>
      </c>
      <c r="P31">
        <v>100</v>
      </c>
      <c r="Q31">
        <v>801</v>
      </c>
      <c r="R31">
        <v>21</v>
      </c>
      <c r="S31">
        <v>66</v>
      </c>
      <c r="T31">
        <v>0</v>
      </c>
      <c r="U31">
        <v>1672</v>
      </c>
      <c r="V31">
        <v>1</v>
      </c>
      <c r="W31">
        <v>6</v>
      </c>
      <c r="X31">
        <v>9</v>
      </c>
      <c r="Y31">
        <v>10</v>
      </c>
      <c r="Z31">
        <v>25</v>
      </c>
      <c r="AA31">
        <v>2</v>
      </c>
      <c r="AB31" t="str">
        <f t="shared" si="2"/>
        <v>Below average customer</v>
      </c>
    </row>
    <row r="32" spans="1:28" x14ac:dyDescent="0.35">
      <c r="A32">
        <v>6864</v>
      </c>
      <c r="B32">
        <v>1989</v>
      </c>
      <c r="C32" t="s">
        <v>30</v>
      </c>
      <c r="D32" t="s">
        <v>34</v>
      </c>
      <c r="E32" t="s">
        <v>35</v>
      </c>
      <c r="F32">
        <v>10979</v>
      </c>
      <c r="G32" t="str">
        <f t="shared" si="0"/>
        <v>Low</v>
      </c>
      <c r="H32">
        <v>0</v>
      </c>
      <c r="I32">
        <v>0</v>
      </c>
      <c r="J32">
        <v>0</v>
      </c>
      <c r="K32" s="1">
        <v>41781</v>
      </c>
      <c r="L32">
        <v>34</v>
      </c>
      <c r="M32" t="str">
        <f t="shared" si="1"/>
        <v>Active</v>
      </c>
      <c r="N32">
        <v>0</v>
      </c>
      <c r="O32">
        <v>8</v>
      </c>
      <c r="P32">
        <v>4</v>
      </c>
      <c r="Q32">
        <v>10</v>
      </c>
      <c r="R32">
        <v>2</v>
      </c>
      <c r="S32">
        <v>2</v>
      </c>
      <c r="T32">
        <v>4</v>
      </c>
      <c r="U32">
        <v>30</v>
      </c>
      <c r="V32">
        <v>2</v>
      </c>
      <c r="W32">
        <v>3</v>
      </c>
      <c r="X32">
        <v>0</v>
      </c>
      <c r="Y32">
        <v>3</v>
      </c>
      <c r="Z32">
        <v>6</v>
      </c>
      <c r="AA32">
        <v>5</v>
      </c>
      <c r="AB32" t="str">
        <f t="shared" si="2"/>
        <v>Below average customer</v>
      </c>
    </row>
    <row r="33" spans="1:28" x14ac:dyDescent="0.35">
      <c r="A33">
        <v>3033</v>
      </c>
      <c r="B33">
        <v>1963</v>
      </c>
      <c r="C33" t="s">
        <v>28</v>
      </c>
      <c r="D33" t="s">
        <v>34</v>
      </c>
      <c r="E33" t="s">
        <v>29</v>
      </c>
      <c r="F33">
        <v>38620</v>
      </c>
      <c r="G33" t="str">
        <f t="shared" si="0"/>
        <v>Mid-low</v>
      </c>
      <c r="H33">
        <v>0</v>
      </c>
      <c r="I33">
        <v>0</v>
      </c>
      <c r="J33">
        <v>0</v>
      </c>
      <c r="K33" s="1">
        <v>41405</v>
      </c>
      <c r="L33">
        <v>56</v>
      </c>
      <c r="M33" t="str">
        <f t="shared" si="1"/>
        <v>Inactive</v>
      </c>
      <c r="N33">
        <v>0</v>
      </c>
      <c r="O33">
        <v>112</v>
      </c>
      <c r="P33">
        <v>17</v>
      </c>
      <c r="Q33">
        <v>44</v>
      </c>
      <c r="R33">
        <v>34</v>
      </c>
      <c r="S33">
        <v>22</v>
      </c>
      <c r="T33">
        <v>89</v>
      </c>
      <c r="U33">
        <v>318</v>
      </c>
      <c r="V33">
        <v>1</v>
      </c>
      <c r="W33">
        <v>2</v>
      </c>
      <c r="X33">
        <v>5</v>
      </c>
      <c r="Y33">
        <v>3</v>
      </c>
      <c r="Z33">
        <v>10</v>
      </c>
      <c r="AA33">
        <v>3</v>
      </c>
      <c r="AB33" t="str">
        <f t="shared" si="2"/>
        <v>Below average customer</v>
      </c>
    </row>
    <row r="34" spans="1:28" x14ac:dyDescent="0.35">
      <c r="A34">
        <v>5710</v>
      </c>
      <c r="B34">
        <v>1970</v>
      </c>
      <c r="C34" t="s">
        <v>28</v>
      </c>
      <c r="D34" t="s">
        <v>26</v>
      </c>
      <c r="E34" t="s">
        <v>29</v>
      </c>
      <c r="F34">
        <v>40548</v>
      </c>
      <c r="G34" t="str">
        <f t="shared" si="0"/>
        <v>Mid-low</v>
      </c>
      <c r="H34">
        <v>0</v>
      </c>
      <c r="I34">
        <v>1</v>
      </c>
      <c r="J34">
        <v>1</v>
      </c>
      <c r="K34" s="1">
        <v>41192</v>
      </c>
      <c r="L34">
        <v>31</v>
      </c>
      <c r="M34" t="str">
        <f t="shared" si="1"/>
        <v>Active</v>
      </c>
      <c r="N34">
        <v>0</v>
      </c>
      <c r="O34">
        <v>110</v>
      </c>
      <c r="P34">
        <v>0</v>
      </c>
      <c r="Q34">
        <v>5</v>
      </c>
      <c r="R34">
        <v>2</v>
      </c>
      <c r="S34">
        <v>0</v>
      </c>
      <c r="T34">
        <v>3</v>
      </c>
      <c r="U34">
        <v>120</v>
      </c>
      <c r="V34">
        <v>2</v>
      </c>
      <c r="W34">
        <v>2</v>
      </c>
      <c r="X34">
        <v>1</v>
      </c>
      <c r="Y34">
        <v>4</v>
      </c>
      <c r="Z34">
        <v>7</v>
      </c>
      <c r="AA34">
        <v>5</v>
      </c>
      <c r="AB34" t="str">
        <f t="shared" si="2"/>
        <v>Below average customer</v>
      </c>
    </row>
    <row r="35" spans="1:28" x14ac:dyDescent="0.35">
      <c r="A35">
        <v>7373</v>
      </c>
      <c r="B35">
        <v>1952</v>
      </c>
      <c r="C35" t="s">
        <v>36</v>
      </c>
      <c r="D35" t="s">
        <v>32</v>
      </c>
      <c r="E35" t="s">
        <v>35</v>
      </c>
      <c r="F35">
        <v>46610</v>
      </c>
      <c r="G35" t="str">
        <f t="shared" si="0"/>
        <v>Mid-low</v>
      </c>
      <c r="H35">
        <v>0</v>
      </c>
      <c r="I35">
        <v>2</v>
      </c>
      <c r="J35">
        <v>2</v>
      </c>
      <c r="K35" s="1">
        <v>41211</v>
      </c>
      <c r="L35">
        <v>8</v>
      </c>
      <c r="M35" t="str">
        <f t="shared" si="1"/>
        <v>Active</v>
      </c>
      <c r="N35">
        <v>0</v>
      </c>
      <c r="O35">
        <v>96</v>
      </c>
      <c r="P35">
        <v>12</v>
      </c>
      <c r="Q35">
        <v>96</v>
      </c>
      <c r="R35">
        <v>33</v>
      </c>
      <c r="S35">
        <v>22</v>
      </c>
      <c r="T35">
        <v>43</v>
      </c>
      <c r="U35">
        <v>302</v>
      </c>
      <c r="V35">
        <v>6</v>
      </c>
      <c r="W35">
        <v>4</v>
      </c>
      <c r="X35">
        <v>1</v>
      </c>
      <c r="Y35">
        <v>6</v>
      </c>
      <c r="Z35">
        <v>11</v>
      </c>
      <c r="AA35">
        <v>6</v>
      </c>
      <c r="AB35" t="str">
        <f t="shared" si="2"/>
        <v>Below average customer</v>
      </c>
    </row>
    <row r="36" spans="1:28" x14ac:dyDescent="0.35">
      <c r="A36">
        <v>8755</v>
      </c>
      <c r="B36">
        <v>1946</v>
      </c>
      <c r="C36" t="s">
        <v>36</v>
      </c>
      <c r="D36" t="s">
        <v>34</v>
      </c>
      <c r="E36" t="s">
        <v>33</v>
      </c>
      <c r="F36">
        <v>68657</v>
      </c>
      <c r="G36" t="str">
        <f t="shared" si="0"/>
        <v>High</v>
      </c>
      <c r="H36">
        <v>0</v>
      </c>
      <c r="I36">
        <v>0</v>
      </c>
      <c r="J36">
        <v>0</v>
      </c>
      <c r="K36" s="1">
        <v>41325</v>
      </c>
      <c r="L36">
        <v>4</v>
      </c>
      <c r="M36" t="str">
        <f t="shared" si="1"/>
        <v>Active</v>
      </c>
      <c r="N36">
        <v>0</v>
      </c>
      <c r="O36">
        <v>482</v>
      </c>
      <c r="P36">
        <v>34</v>
      </c>
      <c r="Q36">
        <v>471</v>
      </c>
      <c r="R36">
        <v>119</v>
      </c>
      <c r="S36">
        <v>68</v>
      </c>
      <c r="T36">
        <v>22</v>
      </c>
      <c r="U36">
        <v>1196</v>
      </c>
      <c r="V36">
        <v>1</v>
      </c>
      <c r="W36">
        <v>3</v>
      </c>
      <c r="X36">
        <v>5</v>
      </c>
      <c r="Y36">
        <v>9</v>
      </c>
      <c r="Z36">
        <v>17</v>
      </c>
      <c r="AA36">
        <v>7</v>
      </c>
      <c r="AB36" t="str">
        <f t="shared" si="2"/>
        <v>Above average customer</v>
      </c>
    </row>
    <row r="37" spans="1:28" x14ac:dyDescent="0.35">
      <c r="A37">
        <v>10738</v>
      </c>
      <c r="B37">
        <v>1951</v>
      </c>
      <c r="C37" t="s">
        <v>36</v>
      </c>
      <c r="D37" t="s">
        <v>34</v>
      </c>
      <c r="E37" t="s">
        <v>27</v>
      </c>
      <c r="F37">
        <v>49389</v>
      </c>
      <c r="G37" t="str">
        <f t="shared" si="0"/>
        <v>Mid-low</v>
      </c>
      <c r="H37">
        <v>1</v>
      </c>
      <c r="I37">
        <v>1</v>
      </c>
      <c r="J37">
        <v>2</v>
      </c>
      <c r="K37" s="1">
        <v>41515</v>
      </c>
      <c r="L37">
        <v>55</v>
      </c>
      <c r="M37" t="str">
        <f t="shared" si="1"/>
        <v>Inactive</v>
      </c>
      <c r="N37">
        <v>0</v>
      </c>
      <c r="O37">
        <v>40</v>
      </c>
      <c r="P37">
        <v>0</v>
      </c>
      <c r="Q37">
        <v>19</v>
      </c>
      <c r="R37">
        <v>2</v>
      </c>
      <c r="S37">
        <v>1</v>
      </c>
      <c r="T37">
        <v>3</v>
      </c>
      <c r="U37">
        <v>65</v>
      </c>
      <c r="V37">
        <v>1</v>
      </c>
      <c r="W37">
        <v>2</v>
      </c>
      <c r="X37">
        <v>0</v>
      </c>
      <c r="Y37">
        <v>3</v>
      </c>
      <c r="Z37">
        <v>5</v>
      </c>
      <c r="AA37">
        <v>7</v>
      </c>
      <c r="AB37" t="str">
        <f t="shared" si="2"/>
        <v>Below average customer</v>
      </c>
    </row>
    <row r="38" spans="1:28" x14ac:dyDescent="0.35">
      <c r="A38">
        <v>4339</v>
      </c>
      <c r="B38">
        <v>1970</v>
      </c>
      <c r="C38" t="s">
        <v>28</v>
      </c>
      <c r="D38" t="s">
        <v>32</v>
      </c>
      <c r="E38" t="s">
        <v>33</v>
      </c>
      <c r="F38">
        <v>67353</v>
      </c>
      <c r="G38" t="str">
        <f t="shared" si="0"/>
        <v>Mid-high</v>
      </c>
      <c r="H38">
        <v>0</v>
      </c>
      <c r="I38">
        <v>1</v>
      </c>
      <c r="J38">
        <v>1</v>
      </c>
      <c r="K38" s="1">
        <v>41639</v>
      </c>
      <c r="L38">
        <v>37</v>
      </c>
      <c r="M38" t="str">
        <f t="shared" si="1"/>
        <v>Active</v>
      </c>
      <c r="N38">
        <v>0</v>
      </c>
      <c r="O38">
        <v>702</v>
      </c>
      <c r="P38">
        <v>17</v>
      </c>
      <c r="Q38">
        <v>151</v>
      </c>
      <c r="R38">
        <v>0</v>
      </c>
      <c r="S38">
        <v>8</v>
      </c>
      <c r="T38">
        <v>35</v>
      </c>
      <c r="U38">
        <v>913</v>
      </c>
      <c r="V38">
        <v>5</v>
      </c>
      <c r="W38">
        <v>5</v>
      </c>
      <c r="X38">
        <v>6</v>
      </c>
      <c r="Y38">
        <v>12</v>
      </c>
      <c r="Z38">
        <v>23</v>
      </c>
      <c r="AA38">
        <v>2</v>
      </c>
      <c r="AB38" t="str">
        <f t="shared" si="2"/>
        <v>Above average customer</v>
      </c>
    </row>
    <row r="39" spans="1:28" x14ac:dyDescent="0.35">
      <c r="A39">
        <v>10755</v>
      </c>
      <c r="B39">
        <v>1976</v>
      </c>
      <c r="C39" t="s">
        <v>31</v>
      </c>
      <c r="D39" t="s">
        <v>34</v>
      </c>
      <c r="E39" t="s">
        <v>33</v>
      </c>
      <c r="F39">
        <v>23718</v>
      </c>
      <c r="G39" t="str">
        <f t="shared" si="0"/>
        <v>Low</v>
      </c>
      <c r="H39">
        <v>1</v>
      </c>
      <c r="I39">
        <v>0</v>
      </c>
      <c r="J39">
        <v>1</v>
      </c>
      <c r="K39" s="1">
        <v>41519</v>
      </c>
      <c r="L39">
        <v>76</v>
      </c>
      <c r="M39" t="str">
        <f t="shared" si="1"/>
        <v>Inactive</v>
      </c>
      <c r="N39">
        <v>0</v>
      </c>
      <c r="O39">
        <v>6</v>
      </c>
      <c r="P39">
        <v>3</v>
      </c>
      <c r="Q39">
        <v>14</v>
      </c>
      <c r="R39">
        <v>15</v>
      </c>
      <c r="S39">
        <v>7</v>
      </c>
      <c r="T39">
        <v>36</v>
      </c>
      <c r="U39">
        <v>81</v>
      </c>
      <c r="V39">
        <v>3</v>
      </c>
      <c r="W39">
        <v>3</v>
      </c>
      <c r="X39">
        <v>1</v>
      </c>
      <c r="Y39">
        <v>2</v>
      </c>
      <c r="Z39">
        <v>6</v>
      </c>
      <c r="AA39">
        <v>7</v>
      </c>
      <c r="AB39" t="str">
        <f t="shared" si="2"/>
        <v>Below average customer</v>
      </c>
    </row>
    <row r="40" spans="1:28" x14ac:dyDescent="0.35">
      <c r="A40">
        <v>8595</v>
      </c>
      <c r="B40">
        <v>1973</v>
      </c>
      <c r="C40" t="s">
        <v>31</v>
      </c>
      <c r="D40" t="s">
        <v>26</v>
      </c>
      <c r="E40" t="s">
        <v>38</v>
      </c>
      <c r="F40">
        <v>42429</v>
      </c>
      <c r="G40" t="str">
        <f t="shared" si="0"/>
        <v>Mid-low</v>
      </c>
      <c r="H40">
        <v>0</v>
      </c>
      <c r="I40">
        <v>1</v>
      </c>
      <c r="J40">
        <v>1</v>
      </c>
      <c r="K40" s="1">
        <v>41681</v>
      </c>
      <c r="L40">
        <v>99</v>
      </c>
      <c r="M40" t="str">
        <f t="shared" si="1"/>
        <v>Inactive</v>
      </c>
      <c r="N40">
        <v>0</v>
      </c>
      <c r="O40">
        <v>55</v>
      </c>
      <c r="P40">
        <v>0</v>
      </c>
      <c r="Q40">
        <v>6</v>
      </c>
      <c r="R40">
        <v>2</v>
      </c>
      <c r="S40">
        <v>0</v>
      </c>
      <c r="T40">
        <v>4</v>
      </c>
      <c r="U40">
        <v>67</v>
      </c>
      <c r="V40">
        <v>2</v>
      </c>
      <c r="W40">
        <v>1</v>
      </c>
      <c r="X40">
        <v>1</v>
      </c>
      <c r="Y40">
        <v>3</v>
      </c>
      <c r="Z40">
        <v>5</v>
      </c>
      <c r="AA40">
        <v>5</v>
      </c>
      <c r="AB40" t="str">
        <f t="shared" si="2"/>
        <v>Below average customer</v>
      </c>
    </row>
    <row r="41" spans="1:28" x14ac:dyDescent="0.35">
      <c r="A41">
        <v>2968</v>
      </c>
      <c r="B41">
        <v>1943</v>
      </c>
      <c r="C41" t="s">
        <v>36</v>
      </c>
      <c r="D41" t="s">
        <v>32</v>
      </c>
      <c r="E41" t="s">
        <v>35</v>
      </c>
      <c r="F41">
        <v>48948</v>
      </c>
      <c r="G41" t="str">
        <f t="shared" si="0"/>
        <v>Mid-low</v>
      </c>
      <c r="H41">
        <v>0</v>
      </c>
      <c r="I41">
        <v>0</v>
      </c>
      <c r="J41">
        <v>0</v>
      </c>
      <c r="K41" s="1">
        <v>41306</v>
      </c>
      <c r="L41">
        <v>53</v>
      </c>
      <c r="M41" t="str">
        <f t="shared" si="1"/>
        <v>Inactive</v>
      </c>
      <c r="N41">
        <v>0</v>
      </c>
      <c r="O41">
        <v>437</v>
      </c>
      <c r="P41">
        <v>8</v>
      </c>
      <c r="Q41">
        <v>206</v>
      </c>
      <c r="R41">
        <v>160</v>
      </c>
      <c r="S41">
        <v>49</v>
      </c>
      <c r="T41">
        <v>42</v>
      </c>
      <c r="U41">
        <v>902</v>
      </c>
      <c r="V41">
        <v>2</v>
      </c>
      <c r="W41">
        <v>7</v>
      </c>
      <c r="X41">
        <v>10</v>
      </c>
      <c r="Y41">
        <v>5</v>
      </c>
      <c r="Z41">
        <v>22</v>
      </c>
      <c r="AA41">
        <v>6</v>
      </c>
      <c r="AB41" t="str">
        <f t="shared" si="2"/>
        <v>Below average customer</v>
      </c>
    </row>
    <row r="42" spans="1:28" x14ac:dyDescent="0.35">
      <c r="A42">
        <v>8601</v>
      </c>
      <c r="B42">
        <v>1980</v>
      </c>
      <c r="C42" t="s">
        <v>31</v>
      </c>
      <c r="D42" t="s">
        <v>26</v>
      </c>
      <c r="E42" t="s">
        <v>33</v>
      </c>
      <c r="F42">
        <v>80011</v>
      </c>
      <c r="G42" t="str">
        <f t="shared" si="0"/>
        <v>High</v>
      </c>
      <c r="H42">
        <v>0</v>
      </c>
      <c r="I42">
        <v>1</v>
      </c>
      <c r="J42">
        <v>1</v>
      </c>
      <c r="K42" s="1">
        <v>41393</v>
      </c>
      <c r="L42">
        <v>3</v>
      </c>
      <c r="M42" t="str">
        <f t="shared" si="1"/>
        <v>Active</v>
      </c>
      <c r="N42">
        <v>0</v>
      </c>
      <c r="O42">
        <v>421</v>
      </c>
      <c r="P42">
        <v>76</v>
      </c>
      <c r="Q42">
        <v>536</v>
      </c>
      <c r="R42">
        <v>82</v>
      </c>
      <c r="S42">
        <v>178</v>
      </c>
      <c r="T42">
        <v>102</v>
      </c>
      <c r="U42">
        <v>1395</v>
      </c>
      <c r="V42">
        <v>2</v>
      </c>
      <c r="W42">
        <v>8</v>
      </c>
      <c r="X42">
        <v>6</v>
      </c>
      <c r="Y42">
        <v>5</v>
      </c>
      <c r="Z42">
        <v>19</v>
      </c>
      <c r="AA42">
        <v>4</v>
      </c>
      <c r="AB42" t="str">
        <f t="shared" si="2"/>
        <v>Above average customer</v>
      </c>
    </row>
    <row r="43" spans="1:28" x14ac:dyDescent="0.35">
      <c r="A43">
        <v>503</v>
      </c>
      <c r="B43">
        <v>1985</v>
      </c>
      <c r="C43" t="s">
        <v>30</v>
      </c>
      <c r="D43" t="s">
        <v>34</v>
      </c>
      <c r="E43" t="s">
        <v>33</v>
      </c>
      <c r="F43">
        <v>20559</v>
      </c>
      <c r="G43" t="str">
        <f t="shared" si="0"/>
        <v>Low</v>
      </c>
      <c r="H43">
        <v>1</v>
      </c>
      <c r="I43">
        <v>0</v>
      </c>
      <c r="J43">
        <v>1</v>
      </c>
      <c r="K43" s="1">
        <v>41345</v>
      </c>
      <c r="L43">
        <v>88</v>
      </c>
      <c r="M43" t="str">
        <f t="shared" si="1"/>
        <v>Inactive</v>
      </c>
      <c r="N43">
        <v>0</v>
      </c>
      <c r="O43">
        <v>13</v>
      </c>
      <c r="P43">
        <v>1</v>
      </c>
      <c r="Q43">
        <v>29</v>
      </c>
      <c r="R43">
        <v>3</v>
      </c>
      <c r="S43">
        <v>0</v>
      </c>
      <c r="T43">
        <v>7</v>
      </c>
      <c r="U43">
        <v>53</v>
      </c>
      <c r="V43">
        <v>2</v>
      </c>
      <c r="W43">
        <v>2</v>
      </c>
      <c r="X43">
        <v>0</v>
      </c>
      <c r="Y43">
        <v>3</v>
      </c>
      <c r="Z43">
        <v>5</v>
      </c>
      <c r="AA43">
        <v>8</v>
      </c>
      <c r="AB43" t="str">
        <f t="shared" si="2"/>
        <v>Below average customer</v>
      </c>
    </row>
    <row r="44" spans="1:28" x14ac:dyDescent="0.35">
      <c r="A44">
        <v>8430</v>
      </c>
      <c r="B44">
        <v>1957</v>
      </c>
      <c r="C44" t="s">
        <v>25</v>
      </c>
      <c r="D44" t="s">
        <v>26</v>
      </c>
      <c r="E44" t="s">
        <v>29</v>
      </c>
      <c r="F44">
        <v>21994</v>
      </c>
      <c r="G44" t="str">
        <f t="shared" si="0"/>
        <v>Low</v>
      </c>
      <c r="H44">
        <v>0</v>
      </c>
      <c r="I44">
        <v>1</v>
      </c>
      <c r="J44">
        <v>1</v>
      </c>
      <c r="K44" s="1">
        <v>41267</v>
      </c>
      <c r="L44">
        <v>4</v>
      </c>
      <c r="M44" t="str">
        <f t="shared" si="1"/>
        <v>Active</v>
      </c>
      <c r="N44">
        <v>0</v>
      </c>
      <c r="O44">
        <v>9</v>
      </c>
      <c r="P44">
        <v>0</v>
      </c>
      <c r="Q44">
        <v>6</v>
      </c>
      <c r="R44">
        <v>3</v>
      </c>
      <c r="S44">
        <v>1</v>
      </c>
      <c r="T44">
        <v>3</v>
      </c>
      <c r="U44">
        <v>22</v>
      </c>
      <c r="V44">
        <v>1</v>
      </c>
      <c r="W44">
        <v>0</v>
      </c>
      <c r="X44">
        <v>0</v>
      </c>
      <c r="Y44">
        <v>3</v>
      </c>
      <c r="Z44">
        <v>3</v>
      </c>
      <c r="AA44">
        <v>5</v>
      </c>
      <c r="AB44" t="str">
        <f t="shared" si="2"/>
        <v>Below average customer</v>
      </c>
    </row>
    <row r="45" spans="1:28" x14ac:dyDescent="0.35">
      <c r="A45">
        <v>7281</v>
      </c>
      <c r="B45">
        <v>1959</v>
      </c>
      <c r="C45" t="s">
        <v>25</v>
      </c>
      <c r="D45" t="s">
        <v>32</v>
      </c>
      <c r="E45" t="s">
        <v>27</v>
      </c>
      <c r="G45" t="str">
        <f t="shared" si="0"/>
        <v>Low</v>
      </c>
      <c r="H45">
        <v>0</v>
      </c>
      <c r="I45">
        <v>0</v>
      </c>
      <c r="J45">
        <v>0</v>
      </c>
      <c r="K45" s="1">
        <v>41583</v>
      </c>
      <c r="L45">
        <v>80</v>
      </c>
      <c r="M45" t="str">
        <f t="shared" si="1"/>
        <v>Inactive</v>
      </c>
      <c r="N45">
        <v>0</v>
      </c>
      <c r="O45">
        <v>81</v>
      </c>
      <c r="P45">
        <v>11</v>
      </c>
      <c r="Q45">
        <v>50</v>
      </c>
      <c r="R45">
        <v>3</v>
      </c>
      <c r="S45">
        <v>2</v>
      </c>
      <c r="T45">
        <v>39</v>
      </c>
      <c r="U45">
        <v>186</v>
      </c>
      <c r="V45">
        <v>1</v>
      </c>
      <c r="W45">
        <v>1</v>
      </c>
      <c r="X45">
        <v>3</v>
      </c>
      <c r="Y45">
        <v>4</v>
      </c>
      <c r="Z45">
        <v>8</v>
      </c>
      <c r="AA45">
        <v>2</v>
      </c>
      <c r="AB45" t="str">
        <f t="shared" si="2"/>
        <v>Below average customer</v>
      </c>
    </row>
    <row r="46" spans="1:28" x14ac:dyDescent="0.35">
      <c r="A46">
        <v>2139</v>
      </c>
      <c r="B46">
        <v>1975</v>
      </c>
      <c r="C46" t="s">
        <v>31</v>
      </c>
      <c r="D46" t="s">
        <v>34</v>
      </c>
      <c r="E46" t="s">
        <v>33</v>
      </c>
      <c r="F46">
        <v>7500</v>
      </c>
      <c r="G46" t="str">
        <f t="shared" si="0"/>
        <v>Low</v>
      </c>
      <c r="H46">
        <v>1</v>
      </c>
      <c r="I46">
        <v>0</v>
      </c>
      <c r="J46">
        <v>1</v>
      </c>
      <c r="K46" s="1">
        <v>41549</v>
      </c>
      <c r="L46">
        <v>19</v>
      </c>
      <c r="M46" t="str">
        <f t="shared" si="1"/>
        <v>Active</v>
      </c>
      <c r="N46">
        <v>0</v>
      </c>
      <c r="O46">
        <v>3</v>
      </c>
      <c r="P46">
        <v>1</v>
      </c>
      <c r="Q46">
        <v>10</v>
      </c>
      <c r="R46">
        <v>3</v>
      </c>
      <c r="S46">
        <v>2</v>
      </c>
      <c r="T46">
        <v>12</v>
      </c>
      <c r="U46">
        <v>31</v>
      </c>
      <c r="V46">
        <v>3</v>
      </c>
      <c r="W46">
        <v>2</v>
      </c>
      <c r="X46">
        <v>0</v>
      </c>
      <c r="Y46">
        <v>3</v>
      </c>
      <c r="Z46">
        <v>5</v>
      </c>
      <c r="AA46">
        <v>5</v>
      </c>
      <c r="AB46" t="str">
        <f t="shared" si="2"/>
        <v>Below average customer</v>
      </c>
    </row>
    <row r="47" spans="1:28" x14ac:dyDescent="0.35">
      <c r="A47">
        <v>1371</v>
      </c>
      <c r="B47">
        <v>1976</v>
      </c>
      <c r="C47" t="s">
        <v>31</v>
      </c>
      <c r="D47" t="s">
        <v>26</v>
      </c>
      <c r="E47" t="s">
        <v>27</v>
      </c>
      <c r="F47">
        <v>79941</v>
      </c>
      <c r="G47" t="str">
        <f t="shared" si="0"/>
        <v>High</v>
      </c>
      <c r="H47">
        <v>0</v>
      </c>
      <c r="I47">
        <v>0</v>
      </c>
      <c r="J47">
        <v>0</v>
      </c>
      <c r="K47" s="1">
        <v>41818</v>
      </c>
      <c r="L47">
        <v>72</v>
      </c>
      <c r="M47" t="str">
        <f t="shared" si="1"/>
        <v>Inactive</v>
      </c>
      <c r="N47">
        <v>0</v>
      </c>
      <c r="O47">
        <v>123</v>
      </c>
      <c r="P47">
        <v>164</v>
      </c>
      <c r="Q47">
        <v>266</v>
      </c>
      <c r="R47">
        <v>227</v>
      </c>
      <c r="S47">
        <v>30</v>
      </c>
      <c r="T47">
        <v>174</v>
      </c>
      <c r="U47">
        <v>984</v>
      </c>
      <c r="V47">
        <v>1</v>
      </c>
      <c r="W47">
        <v>2</v>
      </c>
      <c r="X47">
        <v>4</v>
      </c>
      <c r="Y47">
        <v>9</v>
      </c>
      <c r="Z47">
        <v>15</v>
      </c>
      <c r="AA47">
        <v>1</v>
      </c>
      <c r="AB47" t="str">
        <f t="shared" si="2"/>
        <v>Below average customer</v>
      </c>
    </row>
    <row r="48" spans="1:28" x14ac:dyDescent="0.35">
      <c r="A48">
        <v>9909</v>
      </c>
      <c r="B48">
        <v>1996</v>
      </c>
      <c r="C48" t="s">
        <v>30</v>
      </c>
      <c r="D48" t="s">
        <v>34</v>
      </c>
      <c r="E48" t="s">
        <v>33</v>
      </c>
      <c r="F48">
        <v>7500</v>
      </c>
      <c r="G48" t="str">
        <f t="shared" si="0"/>
        <v>Low</v>
      </c>
      <c r="H48">
        <v>0</v>
      </c>
      <c r="I48">
        <v>0</v>
      </c>
      <c r="J48">
        <v>0</v>
      </c>
      <c r="K48" s="1">
        <v>41222</v>
      </c>
      <c r="L48">
        <v>24</v>
      </c>
      <c r="M48" t="str">
        <f t="shared" si="1"/>
        <v>Active</v>
      </c>
      <c r="N48">
        <v>0</v>
      </c>
      <c r="O48">
        <v>3</v>
      </c>
      <c r="P48">
        <v>18</v>
      </c>
      <c r="Q48">
        <v>14</v>
      </c>
      <c r="R48">
        <v>15</v>
      </c>
      <c r="S48">
        <v>22</v>
      </c>
      <c r="T48">
        <v>50</v>
      </c>
      <c r="U48">
        <v>122</v>
      </c>
      <c r="V48">
        <v>3</v>
      </c>
      <c r="W48">
        <v>3</v>
      </c>
      <c r="X48">
        <v>1</v>
      </c>
      <c r="Y48">
        <v>3</v>
      </c>
      <c r="Z48">
        <v>7</v>
      </c>
      <c r="AA48">
        <v>9</v>
      </c>
      <c r="AB48" t="str">
        <f t="shared" si="2"/>
        <v>Below average customer</v>
      </c>
    </row>
    <row r="49" spans="1:28" x14ac:dyDescent="0.35">
      <c r="A49">
        <v>7286</v>
      </c>
      <c r="B49">
        <v>1968</v>
      </c>
      <c r="C49" t="s">
        <v>28</v>
      </c>
      <c r="D49" t="s">
        <v>26</v>
      </c>
      <c r="E49" t="s">
        <v>29</v>
      </c>
      <c r="F49">
        <v>41728</v>
      </c>
      <c r="G49" t="str">
        <f t="shared" si="0"/>
        <v>Mid-low</v>
      </c>
      <c r="H49">
        <v>1</v>
      </c>
      <c r="I49">
        <v>0</v>
      </c>
      <c r="J49">
        <v>1</v>
      </c>
      <c r="K49" s="1">
        <v>41418</v>
      </c>
      <c r="L49">
        <v>92</v>
      </c>
      <c r="M49" t="str">
        <f t="shared" si="1"/>
        <v>Inactive</v>
      </c>
      <c r="N49">
        <v>0</v>
      </c>
      <c r="O49">
        <v>13</v>
      </c>
      <c r="P49">
        <v>6</v>
      </c>
      <c r="Q49">
        <v>15</v>
      </c>
      <c r="R49">
        <v>3</v>
      </c>
      <c r="S49">
        <v>5</v>
      </c>
      <c r="T49">
        <v>13</v>
      </c>
      <c r="U49">
        <v>55</v>
      </c>
      <c r="V49">
        <v>1</v>
      </c>
      <c r="W49">
        <v>2</v>
      </c>
      <c r="X49">
        <v>0</v>
      </c>
      <c r="Y49">
        <v>2</v>
      </c>
      <c r="Z49">
        <v>4</v>
      </c>
      <c r="AA49">
        <v>10</v>
      </c>
      <c r="AB49" t="str">
        <f t="shared" si="2"/>
        <v>Below average customer</v>
      </c>
    </row>
    <row r="50" spans="1:28" x14ac:dyDescent="0.35">
      <c r="A50">
        <v>7244</v>
      </c>
      <c r="B50">
        <v>1951</v>
      </c>
      <c r="C50" t="s">
        <v>36</v>
      </c>
      <c r="D50" t="s">
        <v>26</v>
      </c>
      <c r="E50" t="s">
        <v>27</v>
      </c>
      <c r="G50" t="str">
        <f t="shared" si="0"/>
        <v>Low</v>
      </c>
      <c r="H50">
        <v>2</v>
      </c>
      <c r="I50">
        <v>1</v>
      </c>
      <c r="J50">
        <v>3</v>
      </c>
      <c r="K50" s="1">
        <v>41640</v>
      </c>
      <c r="L50">
        <v>96</v>
      </c>
      <c r="M50" t="str">
        <f t="shared" si="1"/>
        <v>Inactive</v>
      </c>
      <c r="N50">
        <v>0</v>
      </c>
      <c r="O50">
        <v>48</v>
      </c>
      <c r="P50">
        <v>5</v>
      </c>
      <c r="Q50">
        <v>48</v>
      </c>
      <c r="R50">
        <v>6</v>
      </c>
      <c r="S50">
        <v>10</v>
      </c>
      <c r="T50">
        <v>7</v>
      </c>
      <c r="U50">
        <v>124</v>
      </c>
      <c r="V50">
        <v>3</v>
      </c>
      <c r="W50">
        <v>2</v>
      </c>
      <c r="X50">
        <v>1</v>
      </c>
      <c r="Y50">
        <v>4</v>
      </c>
      <c r="Z50">
        <v>7</v>
      </c>
      <c r="AA50">
        <v>6</v>
      </c>
      <c r="AB50" t="str">
        <f t="shared" si="2"/>
        <v>Below average customer</v>
      </c>
    </row>
    <row r="51" spans="1:28" x14ac:dyDescent="0.35">
      <c r="A51">
        <v>6566</v>
      </c>
      <c r="B51">
        <v>1954</v>
      </c>
      <c r="C51" t="s">
        <v>25</v>
      </c>
      <c r="D51" t="s">
        <v>32</v>
      </c>
      <c r="E51" t="s">
        <v>33</v>
      </c>
      <c r="F51">
        <v>72550</v>
      </c>
      <c r="G51" t="str">
        <f t="shared" si="0"/>
        <v>High</v>
      </c>
      <c r="H51">
        <v>1</v>
      </c>
      <c r="I51">
        <v>1</v>
      </c>
      <c r="J51">
        <v>2</v>
      </c>
      <c r="K51" s="1">
        <v>41221</v>
      </c>
      <c r="L51">
        <v>39</v>
      </c>
      <c r="M51" t="str">
        <f t="shared" si="1"/>
        <v>Active</v>
      </c>
      <c r="N51">
        <v>0</v>
      </c>
      <c r="O51">
        <v>826</v>
      </c>
      <c r="P51">
        <v>50</v>
      </c>
      <c r="Q51">
        <v>317</v>
      </c>
      <c r="R51">
        <v>50</v>
      </c>
      <c r="S51">
        <v>38</v>
      </c>
      <c r="T51">
        <v>38</v>
      </c>
      <c r="U51">
        <v>1319</v>
      </c>
      <c r="V51">
        <v>9</v>
      </c>
      <c r="W51">
        <v>5</v>
      </c>
      <c r="X51">
        <v>2</v>
      </c>
      <c r="Y51">
        <v>12</v>
      </c>
      <c r="Z51">
        <v>19</v>
      </c>
      <c r="AA51">
        <v>8</v>
      </c>
      <c r="AB51" t="str">
        <f t="shared" si="2"/>
        <v>Above average customer</v>
      </c>
    </row>
    <row r="52" spans="1:28" x14ac:dyDescent="0.35">
      <c r="A52">
        <v>8614</v>
      </c>
      <c r="B52">
        <v>1957</v>
      </c>
      <c r="C52" t="s">
        <v>25</v>
      </c>
      <c r="D52" t="s">
        <v>26</v>
      </c>
      <c r="E52" t="s">
        <v>38</v>
      </c>
      <c r="F52">
        <v>65486</v>
      </c>
      <c r="G52" t="str">
        <f t="shared" si="0"/>
        <v>Mid-high</v>
      </c>
      <c r="H52">
        <v>0</v>
      </c>
      <c r="I52">
        <v>1</v>
      </c>
      <c r="J52">
        <v>1</v>
      </c>
      <c r="K52" s="1">
        <v>41771</v>
      </c>
      <c r="L52">
        <v>29</v>
      </c>
      <c r="M52" t="str">
        <f t="shared" si="1"/>
        <v>Active</v>
      </c>
      <c r="N52">
        <v>0</v>
      </c>
      <c r="O52">
        <v>245</v>
      </c>
      <c r="P52">
        <v>19</v>
      </c>
      <c r="Q52">
        <v>125</v>
      </c>
      <c r="R52">
        <v>37</v>
      </c>
      <c r="S52">
        <v>67</v>
      </c>
      <c r="T52">
        <v>14</v>
      </c>
      <c r="U52">
        <v>507</v>
      </c>
      <c r="V52">
        <v>1</v>
      </c>
      <c r="W52">
        <v>4</v>
      </c>
      <c r="X52">
        <v>2</v>
      </c>
      <c r="Y52">
        <v>10</v>
      </c>
      <c r="Z52">
        <v>16</v>
      </c>
      <c r="AA52">
        <v>2</v>
      </c>
      <c r="AB52" t="str">
        <f t="shared" si="2"/>
        <v>Below average customer</v>
      </c>
    </row>
    <row r="53" spans="1:28" x14ac:dyDescent="0.35">
      <c r="A53">
        <v>4114</v>
      </c>
      <c r="B53">
        <v>1964</v>
      </c>
      <c r="C53" t="s">
        <v>28</v>
      </c>
      <c r="D53" t="s">
        <v>34</v>
      </c>
      <c r="E53" t="s">
        <v>33</v>
      </c>
      <c r="F53">
        <v>79143</v>
      </c>
      <c r="G53" t="str">
        <f t="shared" si="0"/>
        <v>High</v>
      </c>
      <c r="H53">
        <v>0</v>
      </c>
      <c r="I53">
        <v>0</v>
      </c>
      <c r="J53">
        <v>0</v>
      </c>
      <c r="K53" s="1">
        <v>41132</v>
      </c>
      <c r="L53">
        <v>2</v>
      </c>
      <c r="M53" t="str">
        <f t="shared" si="1"/>
        <v>Active</v>
      </c>
      <c r="N53">
        <v>0</v>
      </c>
      <c r="O53">
        <v>650</v>
      </c>
      <c r="P53">
        <v>37</v>
      </c>
      <c r="Q53">
        <v>780</v>
      </c>
      <c r="R53">
        <v>27</v>
      </c>
      <c r="S53">
        <v>167</v>
      </c>
      <c r="T53">
        <v>32</v>
      </c>
      <c r="U53">
        <v>1693</v>
      </c>
      <c r="V53">
        <v>1</v>
      </c>
      <c r="W53">
        <v>6</v>
      </c>
      <c r="X53">
        <v>9</v>
      </c>
      <c r="Y53">
        <v>13</v>
      </c>
      <c r="Z53">
        <v>28</v>
      </c>
      <c r="AA53">
        <v>3</v>
      </c>
      <c r="AB53" t="str">
        <f t="shared" si="2"/>
        <v>Above average customer</v>
      </c>
    </row>
    <row r="54" spans="1:28" x14ac:dyDescent="0.35">
      <c r="A54">
        <v>1331</v>
      </c>
      <c r="B54">
        <v>1977</v>
      </c>
      <c r="C54" t="s">
        <v>31</v>
      </c>
      <c r="D54" t="s">
        <v>26</v>
      </c>
      <c r="E54" t="s">
        <v>27</v>
      </c>
      <c r="F54">
        <v>35790</v>
      </c>
      <c r="G54" t="str">
        <f t="shared" si="0"/>
        <v>Mid-low</v>
      </c>
      <c r="H54">
        <v>1</v>
      </c>
      <c r="I54">
        <v>0</v>
      </c>
      <c r="J54">
        <v>1</v>
      </c>
      <c r="K54" s="1">
        <v>41276</v>
      </c>
      <c r="L54">
        <v>54</v>
      </c>
      <c r="M54" t="str">
        <f t="shared" si="1"/>
        <v>Inactive</v>
      </c>
      <c r="N54">
        <v>0</v>
      </c>
      <c r="O54">
        <v>12</v>
      </c>
      <c r="P54">
        <v>6</v>
      </c>
      <c r="Q54">
        <v>20</v>
      </c>
      <c r="R54">
        <v>30</v>
      </c>
      <c r="S54">
        <v>1</v>
      </c>
      <c r="T54">
        <v>3</v>
      </c>
      <c r="U54">
        <v>72</v>
      </c>
      <c r="V54">
        <v>2</v>
      </c>
      <c r="W54">
        <v>2</v>
      </c>
      <c r="X54">
        <v>0</v>
      </c>
      <c r="Y54">
        <v>3</v>
      </c>
      <c r="Z54">
        <v>5</v>
      </c>
      <c r="AA54">
        <v>7</v>
      </c>
      <c r="AB54" t="str">
        <f t="shared" si="2"/>
        <v>Below average customer</v>
      </c>
    </row>
    <row r="55" spans="1:28" x14ac:dyDescent="0.35">
      <c r="A55">
        <v>2225</v>
      </c>
      <c r="B55">
        <v>1977</v>
      </c>
      <c r="C55" t="s">
        <v>31</v>
      </c>
      <c r="D55" t="s">
        <v>26</v>
      </c>
      <c r="E55" t="s">
        <v>35</v>
      </c>
      <c r="F55">
        <v>82582</v>
      </c>
      <c r="G55" t="str">
        <f t="shared" si="0"/>
        <v>High</v>
      </c>
      <c r="H55">
        <v>0</v>
      </c>
      <c r="I55">
        <v>0</v>
      </c>
      <c r="J55">
        <v>0</v>
      </c>
      <c r="K55" s="1">
        <v>41797</v>
      </c>
      <c r="L55">
        <v>54</v>
      </c>
      <c r="M55" t="str">
        <f t="shared" si="1"/>
        <v>Inactive</v>
      </c>
      <c r="N55">
        <v>0</v>
      </c>
      <c r="O55">
        <v>510</v>
      </c>
      <c r="P55">
        <v>120</v>
      </c>
      <c r="Q55">
        <v>550</v>
      </c>
      <c r="R55">
        <v>156</v>
      </c>
      <c r="S55">
        <v>40</v>
      </c>
      <c r="T55">
        <v>241</v>
      </c>
      <c r="U55">
        <v>1617</v>
      </c>
      <c r="V55">
        <v>1</v>
      </c>
      <c r="W55">
        <v>4</v>
      </c>
      <c r="X55">
        <v>9</v>
      </c>
      <c r="Y55">
        <v>7</v>
      </c>
      <c r="Z55">
        <v>20</v>
      </c>
      <c r="AA55">
        <v>1</v>
      </c>
      <c r="AB55" t="str">
        <f t="shared" si="2"/>
        <v>Below average customer</v>
      </c>
    </row>
    <row r="56" spans="1:28" x14ac:dyDescent="0.35">
      <c r="A56">
        <v>9381</v>
      </c>
      <c r="B56">
        <v>1978</v>
      </c>
      <c r="C56" t="s">
        <v>31</v>
      </c>
      <c r="D56" t="s">
        <v>26</v>
      </c>
      <c r="E56" t="s">
        <v>33</v>
      </c>
      <c r="F56">
        <v>66373</v>
      </c>
      <c r="G56" t="str">
        <f t="shared" si="0"/>
        <v>Mid-high</v>
      </c>
      <c r="H56">
        <v>1</v>
      </c>
      <c r="I56">
        <v>1</v>
      </c>
      <c r="J56">
        <v>2</v>
      </c>
      <c r="K56" s="1">
        <v>41437</v>
      </c>
      <c r="L56">
        <v>57</v>
      </c>
      <c r="M56" t="str">
        <f t="shared" si="1"/>
        <v>Inactive</v>
      </c>
      <c r="N56">
        <v>0</v>
      </c>
      <c r="O56">
        <v>328</v>
      </c>
      <c r="P56">
        <v>9</v>
      </c>
      <c r="Q56">
        <v>124</v>
      </c>
      <c r="R56">
        <v>12</v>
      </c>
      <c r="S56">
        <v>24</v>
      </c>
      <c r="T56">
        <v>109</v>
      </c>
      <c r="U56">
        <v>606</v>
      </c>
      <c r="V56">
        <v>7</v>
      </c>
      <c r="W56">
        <v>4</v>
      </c>
      <c r="X56">
        <v>2</v>
      </c>
      <c r="Y56">
        <v>10</v>
      </c>
      <c r="Z56">
        <v>16</v>
      </c>
      <c r="AA56">
        <v>3</v>
      </c>
      <c r="AB56" t="str">
        <f t="shared" si="2"/>
        <v>Below average customer</v>
      </c>
    </row>
    <row r="57" spans="1:28" x14ac:dyDescent="0.35">
      <c r="A57">
        <v>6260</v>
      </c>
      <c r="B57">
        <v>1955</v>
      </c>
      <c r="C57" t="s">
        <v>25</v>
      </c>
      <c r="D57" t="s">
        <v>34</v>
      </c>
      <c r="E57" t="s">
        <v>29</v>
      </c>
      <c r="F57">
        <v>82384</v>
      </c>
      <c r="G57" t="str">
        <f t="shared" si="0"/>
        <v>High</v>
      </c>
      <c r="H57">
        <v>0</v>
      </c>
      <c r="I57">
        <v>0</v>
      </c>
      <c r="J57">
        <v>0</v>
      </c>
      <c r="K57" s="1">
        <v>41232</v>
      </c>
      <c r="L57">
        <v>55</v>
      </c>
      <c r="M57" t="str">
        <f t="shared" si="1"/>
        <v>Inactive</v>
      </c>
      <c r="N57">
        <v>0</v>
      </c>
      <c r="O57">
        <v>984</v>
      </c>
      <c r="P57">
        <v>51</v>
      </c>
      <c r="Q57">
        <v>432</v>
      </c>
      <c r="R57">
        <v>180</v>
      </c>
      <c r="S57">
        <v>120</v>
      </c>
      <c r="T57">
        <v>190</v>
      </c>
      <c r="U57">
        <v>1957</v>
      </c>
      <c r="V57">
        <v>1</v>
      </c>
      <c r="W57">
        <v>3</v>
      </c>
      <c r="X57">
        <v>10</v>
      </c>
      <c r="Y57">
        <v>13</v>
      </c>
      <c r="Z57">
        <v>26</v>
      </c>
      <c r="AA57">
        <v>1</v>
      </c>
      <c r="AB57" t="str">
        <f t="shared" si="2"/>
        <v>Below average customer</v>
      </c>
    </row>
    <row r="58" spans="1:28" x14ac:dyDescent="0.35">
      <c r="A58">
        <v>10383</v>
      </c>
      <c r="B58">
        <v>1966</v>
      </c>
      <c r="C58" t="s">
        <v>28</v>
      </c>
      <c r="D58" t="s">
        <v>26</v>
      </c>
      <c r="E58" t="s">
        <v>35</v>
      </c>
      <c r="F58">
        <v>70287</v>
      </c>
      <c r="G58" t="str">
        <f t="shared" si="0"/>
        <v>High</v>
      </c>
      <c r="H58">
        <v>0</v>
      </c>
      <c r="I58">
        <v>0</v>
      </c>
      <c r="J58">
        <v>0</v>
      </c>
      <c r="K58" s="1">
        <v>41366</v>
      </c>
      <c r="L58">
        <v>30</v>
      </c>
      <c r="M58" t="str">
        <f t="shared" si="1"/>
        <v>Active</v>
      </c>
      <c r="N58">
        <v>0</v>
      </c>
      <c r="O58">
        <v>295</v>
      </c>
      <c r="P58">
        <v>35</v>
      </c>
      <c r="Q58">
        <v>482</v>
      </c>
      <c r="R58">
        <v>121</v>
      </c>
      <c r="S58">
        <v>120</v>
      </c>
      <c r="T58">
        <v>40</v>
      </c>
      <c r="U58">
        <v>1093</v>
      </c>
      <c r="V58">
        <v>1</v>
      </c>
      <c r="W58">
        <v>5</v>
      </c>
      <c r="X58">
        <v>5</v>
      </c>
      <c r="Y58">
        <v>10</v>
      </c>
      <c r="Z58">
        <v>20</v>
      </c>
      <c r="AA58">
        <v>3</v>
      </c>
      <c r="AB58" t="str">
        <f t="shared" si="2"/>
        <v>Above average customer</v>
      </c>
    </row>
    <row r="59" spans="1:28" x14ac:dyDescent="0.35">
      <c r="A59">
        <v>7437</v>
      </c>
      <c r="B59">
        <v>1988</v>
      </c>
      <c r="C59" t="s">
        <v>30</v>
      </c>
      <c r="D59" t="s">
        <v>26</v>
      </c>
      <c r="E59" t="s">
        <v>27</v>
      </c>
      <c r="F59">
        <v>27938</v>
      </c>
      <c r="G59" t="str">
        <f t="shared" si="0"/>
        <v>Low</v>
      </c>
      <c r="H59">
        <v>1</v>
      </c>
      <c r="I59">
        <v>0</v>
      </c>
      <c r="J59">
        <v>1</v>
      </c>
      <c r="K59" s="1">
        <v>41757</v>
      </c>
      <c r="L59">
        <v>31</v>
      </c>
      <c r="M59" t="str">
        <f t="shared" si="1"/>
        <v>Active</v>
      </c>
      <c r="N59">
        <v>0</v>
      </c>
      <c r="O59">
        <v>13</v>
      </c>
      <c r="P59">
        <v>0</v>
      </c>
      <c r="Q59">
        <v>8</v>
      </c>
      <c r="R59">
        <v>2</v>
      </c>
      <c r="S59">
        <v>1</v>
      </c>
      <c r="T59">
        <v>5</v>
      </c>
      <c r="U59">
        <v>29</v>
      </c>
      <c r="V59">
        <v>1</v>
      </c>
      <c r="W59">
        <v>1</v>
      </c>
      <c r="X59">
        <v>0</v>
      </c>
      <c r="Y59">
        <v>4</v>
      </c>
      <c r="Z59">
        <v>5</v>
      </c>
      <c r="AA59">
        <v>3</v>
      </c>
      <c r="AB59" t="str">
        <f t="shared" si="2"/>
        <v>Below average customer</v>
      </c>
    </row>
    <row r="60" spans="1:28" x14ac:dyDescent="0.35">
      <c r="A60">
        <v>8557</v>
      </c>
      <c r="B60">
        <v>1982</v>
      </c>
      <c r="C60" t="s">
        <v>31</v>
      </c>
      <c r="D60" t="s">
        <v>26</v>
      </c>
      <c r="E60" t="s">
        <v>27</v>
      </c>
      <c r="G60" t="str">
        <f t="shared" si="0"/>
        <v>Low</v>
      </c>
      <c r="H60">
        <v>1</v>
      </c>
      <c r="I60">
        <v>0</v>
      </c>
      <c r="J60">
        <v>1</v>
      </c>
      <c r="K60" s="1">
        <v>41442</v>
      </c>
      <c r="L60">
        <v>57</v>
      </c>
      <c r="M60" t="str">
        <f t="shared" si="1"/>
        <v>Inactive</v>
      </c>
      <c r="N60">
        <v>0</v>
      </c>
      <c r="O60">
        <v>11</v>
      </c>
      <c r="P60">
        <v>3</v>
      </c>
      <c r="Q60">
        <v>22</v>
      </c>
      <c r="R60">
        <v>2</v>
      </c>
      <c r="S60">
        <v>2</v>
      </c>
      <c r="T60">
        <v>6</v>
      </c>
      <c r="U60">
        <v>46</v>
      </c>
      <c r="V60">
        <v>2</v>
      </c>
      <c r="W60">
        <v>2</v>
      </c>
      <c r="X60">
        <v>0</v>
      </c>
      <c r="Y60">
        <v>3</v>
      </c>
      <c r="Z60">
        <v>5</v>
      </c>
      <c r="AA60">
        <v>6</v>
      </c>
      <c r="AB60" t="str">
        <f t="shared" si="2"/>
        <v>Below average customer</v>
      </c>
    </row>
    <row r="61" spans="1:28" x14ac:dyDescent="0.35">
      <c r="A61">
        <v>8375</v>
      </c>
      <c r="B61">
        <v>1968</v>
      </c>
      <c r="C61" t="s">
        <v>28</v>
      </c>
      <c r="D61" t="s">
        <v>32</v>
      </c>
      <c r="E61" t="s">
        <v>33</v>
      </c>
      <c r="F61">
        <v>55954</v>
      </c>
      <c r="G61" t="str">
        <f t="shared" si="0"/>
        <v>Mid-high</v>
      </c>
      <c r="H61">
        <v>0</v>
      </c>
      <c r="I61">
        <v>1</v>
      </c>
      <c r="J61">
        <v>1</v>
      </c>
      <c r="K61" s="1">
        <v>41701</v>
      </c>
      <c r="L61">
        <v>63</v>
      </c>
      <c r="M61" t="str">
        <f t="shared" si="1"/>
        <v>Inactive</v>
      </c>
      <c r="N61">
        <v>0</v>
      </c>
      <c r="O61">
        <v>447</v>
      </c>
      <c r="P61">
        <v>0</v>
      </c>
      <c r="Q61">
        <v>28</v>
      </c>
      <c r="R61">
        <v>0</v>
      </c>
      <c r="S61">
        <v>0</v>
      </c>
      <c r="T61">
        <v>43</v>
      </c>
      <c r="U61">
        <v>518</v>
      </c>
      <c r="V61">
        <v>3</v>
      </c>
      <c r="W61">
        <v>8</v>
      </c>
      <c r="X61">
        <v>2</v>
      </c>
      <c r="Y61">
        <v>6</v>
      </c>
      <c r="Z61">
        <v>16</v>
      </c>
      <c r="AA61">
        <v>7</v>
      </c>
      <c r="AB61" t="str">
        <f t="shared" si="2"/>
        <v>Below average customer</v>
      </c>
    </row>
    <row r="62" spans="1:28" x14ac:dyDescent="0.35">
      <c r="A62">
        <v>6853</v>
      </c>
      <c r="B62">
        <v>1982</v>
      </c>
      <c r="C62" t="s">
        <v>31</v>
      </c>
      <c r="D62" t="s">
        <v>34</v>
      </c>
      <c r="E62" t="s">
        <v>27</v>
      </c>
      <c r="F62">
        <v>75777</v>
      </c>
      <c r="G62" t="str">
        <f t="shared" si="0"/>
        <v>High</v>
      </c>
      <c r="H62">
        <v>0</v>
      </c>
      <c r="I62">
        <v>0</v>
      </c>
      <c r="J62">
        <v>0</v>
      </c>
      <c r="K62" s="1">
        <v>41459</v>
      </c>
      <c r="L62">
        <v>12</v>
      </c>
      <c r="M62" t="str">
        <f t="shared" si="1"/>
        <v>Active</v>
      </c>
      <c r="N62">
        <v>0</v>
      </c>
      <c r="O62">
        <v>712</v>
      </c>
      <c r="P62">
        <v>26</v>
      </c>
      <c r="Q62">
        <v>538</v>
      </c>
      <c r="R62">
        <v>69</v>
      </c>
      <c r="S62">
        <v>13</v>
      </c>
      <c r="T62">
        <v>80</v>
      </c>
      <c r="U62">
        <v>1438</v>
      </c>
      <c r="V62">
        <v>1</v>
      </c>
      <c r="W62">
        <v>3</v>
      </c>
      <c r="X62">
        <v>6</v>
      </c>
      <c r="Y62">
        <v>11</v>
      </c>
      <c r="Z62">
        <v>20</v>
      </c>
      <c r="AA62">
        <v>1</v>
      </c>
      <c r="AB62" t="str">
        <f t="shared" si="2"/>
        <v>Above average customer</v>
      </c>
    </row>
    <row r="63" spans="1:28" x14ac:dyDescent="0.35">
      <c r="A63">
        <v>3076</v>
      </c>
      <c r="B63">
        <v>1975</v>
      </c>
      <c r="C63" t="s">
        <v>31</v>
      </c>
      <c r="D63" t="s">
        <v>26</v>
      </c>
      <c r="E63" t="s">
        <v>29</v>
      </c>
      <c r="F63">
        <v>66653</v>
      </c>
      <c r="G63" t="str">
        <f t="shared" si="0"/>
        <v>Mid-high</v>
      </c>
      <c r="H63">
        <v>1</v>
      </c>
      <c r="I63">
        <v>1</v>
      </c>
      <c r="J63">
        <v>2</v>
      </c>
      <c r="K63" s="1">
        <v>41159</v>
      </c>
      <c r="L63">
        <v>18</v>
      </c>
      <c r="M63" t="str">
        <f t="shared" si="1"/>
        <v>Active</v>
      </c>
      <c r="N63">
        <v>0</v>
      </c>
      <c r="O63">
        <v>452</v>
      </c>
      <c r="P63">
        <v>18</v>
      </c>
      <c r="Q63">
        <v>102</v>
      </c>
      <c r="R63">
        <v>16</v>
      </c>
      <c r="S63">
        <v>18</v>
      </c>
      <c r="T63">
        <v>6</v>
      </c>
      <c r="U63">
        <v>612</v>
      </c>
      <c r="V63">
        <v>4</v>
      </c>
      <c r="W63">
        <v>4</v>
      </c>
      <c r="X63">
        <v>2</v>
      </c>
      <c r="Y63">
        <v>12</v>
      </c>
      <c r="Z63">
        <v>18</v>
      </c>
      <c r="AA63">
        <v>3</v>
      </c>
      <c r="AB63" t="str">
        <f t="shared" si="2"/>
        <v>Above average customer</v>
      </c>
    </row>
    <row r="64" spans="1:28" x14ac:dyDescent="0.35">
      <c r="A64">
        <v>1012</v>
      </c>
      <c r="B64">
        <v>1952</v>
      </c>
      <c r="C64" t="s">
        <v>36</v>
      </c>
      <c r="D64" t="s">
        <v>26</v>
      </c>
      <c r="E64" t="s">
        <v>27</v>
      </c>
      <c r="F64">
        <v>61823</v>
      </c>
      <c r="G64" t="str">
        <f t="shared" si="0"/>
        <v>Mid-high</v>
      </c>
      <c r="H64">
        <v>0</v>
      </c>
      <c r="I64">
        <v>1</v>
      </c>
      <c r="J64">
        <v>1</v>
      </c>
      <c r="K64" s="1">
        <v>41323</v>
      </c>
      <c r="L64">
        <v>26</v>
      </c>
      <c r="M64" t="str">
        <f t="shared" si="1"/>
        <v>Active</v>
      </c>
      <c r="N64">
        <v>0</v>
      </c>
      <c r="O64">
        <v>523</v>
      </c>
      <c r="P64">
        <v>7</v>
      </c>
      <c r="Q64">
        <v>134</v>
      </c>
      <c r="R64">
        <v>37</v>
      </c>
      <c r="S64">
        <v>14</v>
      </c>
      <c r="T64">
        <v>169</v>
      </c>
      <c r="U64">
        <v>884</v>
      </c>
      <c r="V64">
        <v>4</v>
      </c>
      <c r="W64">
        <v>8</v>
      </c>
      <c r="X64">
        <v>2</v>
      </c>
      <c r="Y64">
        <v>10</v>
      </c>
      <c r="Z64">
        <v>20</v>
      </c>
      <c r="AA64">
        <v>7</v>
      </c>
      <c r="AB64" t="str">
        <f t="shared" si="2"/>
        <v>Above average customer</v>
      </c>
    </row>
    <row r="65" spans="1:28" x14ac:dyDescent="0.35">
      <c r="A65">
        <v>6518</v>
      </c>
      <c r="B65">
        <v>1951</v>
      </c>
      <c r="C65" t="s">
        <v>36</v>
      </c>
      <c r="D65" t="s">
        <v>32</v>
      </c>
      <c r="E65" t="s">
        <v>38</v>
      </c>
      <c r="F65">
        <v>67680</v>
      </c>
      <c r="G65" t="str">
        <f t="shared" si="0"/>
        <v>Mid-high</v>
      </c>
      <c r="H65">
        <v>0</v>
      </c>
      <c r="I65">
        <v>1</v>
      </c>
      <c r="J65">
        <v>1</v>
      </c>
      <c r="K65" s="1">
        <v>41436</v>
      </c>
      <c r="L65">
        <v>8</v>
      </c>
      <c r="M65" t="str">
        <f t="shared" si="1"/>
        <v>Active</v>
      </c>
      <c r="N65">
        <v>0</v>
      </c>
      <c r="O65">
        <v>546</v>
      </c>
      <c r="P65">
        <v>0</v>
      </c>
      <c r="Q65">
        <v>48</v>
      </c>
      <c r="R65">
        <v>0</v>
      </c>
      <c r="S65">
        <v>6</v>
      </c>
      <c r="T65">
        <v>6</v>
      </c>
      <c r="U65">
        <v>606</v>
      </c>
      <c r="V65">
        <v>1</v>
      </c>
      <c r="W65">
        <v>7</v>
      </c>
      <c r="X65">
        <v>3</v>
      </c>
      <c r="Y65">
        <v>8</v>
      </c>
      <c r="Z65">
        <v>18</v>
      </c>
      <c r="AA65">
        <v>5</v>
      </c>
      <c r="AB65" t="str">
        <f t="shared" si="2"/>
        <v>Below average customer</v>
      </c>
    </row>
    <row r="66" spans="1:28" x14ac:dyDescent="0.35">
      <c r="A66">
        <v>4137</v>
      </c>
      <c r="B66">
        <v>1948</v>
      </c>
      <c r="C66" t="s">
        <v>36</v>
      </c>
      <c r="D66" t="s">
        <v>26</v>
      </c>
      <c r="E66" t="s">
        <v>29</v>
      </c>
      <c r="F66">
        <v>70666</v>
      </c>
      <c r="G66" t="str">
        <f t="shared" ref="G66:G129" si="3">IF(F66&lt;=_xlfn.PERCENTILE.INC($F$2:$F$2056,0.25),"Low",IF(F66&lt;=_xlfn.PERCENTILE.INC($F$2:$F$2056,0.5),"Mid-low",IF(F66&lt;=_xlfn.PERCENTILE.INC($F$2:$F$2056,0.75),"Mid-high","High")))</f>
        <v>High</v>
      </c>
      <c r="H66">
        <v>0</v>
      </c>
      <c r="I66">
        <v>0</v>
      </c>
      <c r="J66">
        <v>0</v>
      </c>
      <c r="K66" s="1">
        <v>41614</v>
      </c>
      <c r="L66">
        <v>29</v>
      </c>
      <c r="M66" t="str">
        <f t="shared" ref="M66:M129" si="4">IF(L66&gt;AVERAGE($L$2:$L$2056),"Inactive","Active")</f>
        <v>Active</v>
      </c>
      <c r="N66">
        <v>0</v>
      </c>
      <c r="O66">
        <v>398</v>
      </c>
      <c r="P66">
        <v>40</v>
      </c>
      <c r="Q66">
        <v>367</v>
      </c>
      <c r="R66">
        <v>119</v>
      </c>
      <c r="S66">
        <v>122</v>
      </c>
      <c r="T66">
        <v>30</v>
      </c>
      <c r="U66">
        <v>1076</v>
      </c>
      <c r="V66">
        <v>1</v>
      </c>
      <c r="W66">
        <v>7</v>
      </c>
      <c r="X66">
        <v>4</v>
      </c>
      <c r="Y66">
        <v>4</v>
      </c>
      <c r="Z66">
        <v>15</v>
      </c>
      <c r="AA66">
        <v>4</v>
      </c>
      <c r="AB66" t="str">
        <f t="shared" ref="AB66:AB129" si="5">IF(AND(Z66&gt;AVERAGE($Z$2:$Z$2056),U66&gt;AVERAGE($U$2:$U$2056),N66=0,L66&lt;AVERAGE($L$2:$L$2056),F66&gt;AVERAGE($F$2:$F$2240)),"Above average customer","Below average customer")</f>
        <v>Above average customer</v>
      </c>
    </row>
    <row r="67" spans="1:28" x14ac:dyDescent="0.35">
      <c r="A67">
        <v>8082</v>
      </c>
      <c r="B67">
        <v>1971</v>
      </c>
      <c r="C67" t="s">
        <v>28</v>
      </c>
      <c r="D67" t="s">
        <v>26</v>
      </c>
      <c r="E67" t="s">
        <v>33</v>
      </c>
      <c r="F67">
        <v>25721</v>
      </c>
      <c r="G67" t="str">
        <f t="shared" si="3"/>
        <v>Low</v>
      </c>
      <c r="H67">
        <v>1</v>
      </c>
      <c r="I67">
        <v>0</v>
      </c>
      <c r="J67">
        <v>1</v>
      </c>
      <c r="K67" s="1">
        <v>41415</v>
      </c>
      <c r="L67">
        <v>75</v>
      </c>
      <c r="M67" t="str">
        <f t="shared" si="4"/>
        <v>Inactive</v>
      </c>
      <c r="N67">
        <v>0</v>
      </c>
      <c r="O67">
        <v>1</v>
      </c>
      <c r="P67">
        <v>3</v>
      </c>
      <c r="Q67">
        <v>6</v>
      </c>
      <c r="R67">
        <v>3</v>
      </c>
      <c r="S67">
        <v>6</v>
      </c>
      <c r="T67">
        <v>15</v>
      </c>
      <c r="U67">
        <v>34</v>
      </c>
      <c r="V67">
        <v>1</v>
      </c>
      <c r="W67">
        <v>1</v>
      </c>
      <c r="X67">
        <v>1</v>
      </c>
      <c r="Y67">
        <v>2</v>
      </c>
      <c r="Z67">
        <v>4</v>
      </c>
      <c r="AA67">
        <v>7</v>
      </c>
      <c r="AB67" t="str">
        <f t="shared" si="5"/>
        <v>Below average customer</v>
      </c>
    </row>
    <row r="68" spans="1:28" x14ac:dyDescent="0.35">
      <c r="A68">
        <v>1386</v>
      </c>
      <c r="B68">
        <v>1967</v>
      </c>
      <c r="C68" t="s">
        <v>28</v>
      </c>
      <c r="D68" t="s">
        <v>26</v>
      </c>
      <c r="E68" t="s">
        <v>29</v>
      </c>
      <c r="F68">
        <v>32474</v>
      </c>
      <c r="G68" t="str">
        <f t="shared" si="3"/>
        <v>Low</v>
      </c>
      <c r="H68">
        <v>1</v>
      </c>
      <c r="I68">
        <v>1</v>
      </c>
      <c r="J68">
        <v>2</v>
      </c>
      <c r="K68" s="1">
        <v>41770</v>
      </c>
      <c r="L68">
        <v>0</v>
      </c>
      <c r="M68" t="str">
        <f t="shared" si="4"/>
        <v>Active</v>
      </c>
      <c r="N68">
        <v>0</v>
      </c>
      <c r="O68">
        <v>10</v>
      </c>
      <c r="P68">
        <v>0</v>
      </c>
      <c r="Q68">
        <v>1</v>
      </c>
      <c r="R68">
        <v>0</v>
      </c>
      <c r="S68">
        <v>0</v>
      </c>
      <c r="T68">
        <v>0</v>
      </c>
      <c r="U68">
        <v>11</v>
      </c>
      <c r="V68">
        <v>1</v>
      </c>
      <c r="W68">
        <v>1</v>
      </c>
      <c r="X68">
        <v>0</v>
      </c>
      <c r="Y68">
        <v>2</v>
      </c>
      <c r="Z68">
        <v>3</v>
      </c>
      <c r="AA68">
        <v>7</v>
      </c>
      <c r="AB68" t="str">
        <f t="shared" si="5"/>
        <v>Below average customer</v>
      </c>
    </row>
    <row r="69" spans="1:28" x14ac:dyDescent="0.35">
      <c r="A69">
        <v>9369</v>
      </c>
      <c r="B69">
        <v>1979</v>
      </c>
      <c r="C69" t="s">
        <v>31</v>
      </c>
      <c r="D69" t="s">
        <v>34</v>
      </c>
      <c r="E69" t="s">
        <v>27</v>
      </c>
      <c r="F69">
        <v>88194</v>
      </c>
      <c r="G69" t="str">
        <f t="shared" si="3"/>
        <v>High</v>
      </c>
      <c r="H69">
        <v>0</v>
      </c>
      <c r="I69">
        <v>1</v>
      </c>
      <c r="J69">
        <v>1</v>
      </c>
      <c r="K69" s="1">
        <v>41717</v>
      </c>
      <c r="L69">
        <v>19</v>
      </c>
      <c r="M69" t="str">
        <f t="shared" si="4"/>
        <v>Active</v>
      </c>
      <c r="N69">
        <v>0</v>
      </c>
      <c r="O69">
        <v>688</v>
      </c>
      <c r="P69">
        <v>14</v>
      </c>
      <c r="Q69">
        <v>309</v>
      </c>
      <c r="R69">
        <v>201</v>
      </c>
      <c r="S69">
        <v>24</v>
      </c>
      <c r="T69">
        <v>38</v>
      </c>
      <c r="U69">
        <v>1274</v>
      </c>
      <c r="V69">
        <v>1</v>
      </c>
      <c r="W69">
        <v>11</v>
      </c>
      <c r="X69">
        <v>10</v>
      </c>
      <c r="Y69">
        <v>10</v>
      </c>
      <c r="Z69">
        <v>31</v>
      </c>
      <c r="AA69">
        <v>5</v>
      </c>
      <c r="AB69" t="str">
        <f t="shared" si="5"/>
        <v>Above average customer</v>
      </c>
    </row>
    <row r="70" spans="1:28" x14ac:dyDescent="0.35">
      <c r="A70">
        <v>4477</v>
      </c>
      <c r="B70">
        <v>1958</v>
      </c>
      <c r="C70" t="s">
        <v>25</v>
      </c>
      <c r="D70" t="s">
        <v>26</v>
      </c>
      <c r="E70" t="s">
        <v>29</v>
      </c>
      <c r="F70">
        <v>69096</v>
      </c>
      <c r="G70" t="str">
        <f t="shared" si="3"/>
        <v>High</v>
      </c>
      <c r="H70">
        <v>0</v>
      </c>
      <c r="I70">
        <v>1</v>
      </c>
      <c r="J70">
        <v>1</v>
      </c>
      <c r="K70" s="1">
        <v>41544</v>
      </c>
      <c r="L70">
        <v>4</v>
      </c>
      <c r="M70" t="str">
        <f t="shared" si="4"/>
        <v>Active</v>
      </c>
      <c r="N70">
        <v>0</v>
      </c>
      <c r="O70">
        <v>247</v>
      </c>
      <c r="P70">
        <v>49</v>
      </c>
      <c r="Q70">
        <v>159</v>
      </c>
      <c r="R70">
        <v>7</v>
      </c>
      <c r="S70">
        <v>82</v>
      </c>
      <c r="T70">
        <v>109</v>
      </c>
      <c r="U70">
        <v>653</v>
      </c>
      <c r="V70">
        <v>1</v>
      </c>
      <c r="W70">
        <v>5</v>
      </c>
      <c r="X70">
        <v>2</v>
      </c>
      <c r="Y70">
        <v>10</v>
      </c>
      <c r="Z70">
        <v>17</v>
      </c>
      <c r="AA70">
        <v>4</v>
      </c>
      <c r="AB70" t="str">
        <f t="shared" si="5"/>
        <v>Above average customer</v>
      </c>
    </row>
    <row r="71" spans="1:28" x14ac:dyDescent="0.35">
      <c r="A71">
        <v>1357</v>
      </c>
      <c r="B71">
        <v>1970</v>
      </c>
      <c r="C71" t="s">
        <v>28</v>
      </c>
      <c r="D71" t="s">
        <v>26</v>
      </c>
      <c r="E71" t="s">
        <v>29</v>
      </c>
      <c r="F71">
        <v>74854</v>
      </c>
      <c r="G71" t="str">
        <f t="shared" si="3"/>
        <v>High</v>
      </c>
      <c r="H71">
        <v>1</v>
      </c>
      <c r="I71">
        <v>2</v>
      </c>
      <c r="J71">
        <v>3</v>
      </c>
      <c r="K71" s="1">
        <v>41372</v>
      </c>
      <c r="L71">
        <v>90</v>
      </c>
      <c r="M71" t="str">
        <f t="shared" si="4"/>
        <v>Inactive</v>
      </c>
      <c r="N71">
        <v>0</v>
      </c>
      <c r="O71">
        <v>856</v>
      </c>
      <c r="P71">
        <v>59</v>
      </c>
      <c r="Q71">
        <v>487</v>
      </c>
      <c r="R71">
        <v>58</v>
      </c>
      <c r="S71">
        <v>29</v>
      </c>
      <c r="T71">
        <v>73</v>
      </c>
      <c r="U71">
        <v>1562</v>
      </c>
      <c r="V71">
        <v>7</v>
      </c>
      <c r="W71">
        <v>2</v>
      </c>
      <c r="X71">
        <v>5</v>
      </c>
      <c r="Y71">
        <v>5</v>
      </c>
      <c r="Z71">
        <v>12</v>
      </c>
      <c r="AA71">
        <v>5</v>
      </c>
      <c r="AB71" t="str">
        <f t="shared" si="5"/>
        <v>Below average customer</v>
      </c>
    </row>
    <row r="72" spans="1:28" x14ac:dyDescent="0.35">
      <c r="A72">
        <v>1402</v>
      </c>
      <c r="B72">
        <v>1954</v>
      </c>
      <c r="C72" t="s">
        <v>25</v>
      </c>
      <c r="D72" t="s">
        <v>34</v>
      </c>
      <c r="E72" t="s">
        <v>33</v>
      </c>
      <c r="F72">
        <v>66991</v>
      </c>
      <c r="G72" t="str">
        <f t="shared" si="3"/>
        <v>Mid-high</v>
      </c>
      <c r="H72">
        <v>0</v>
      </c>
      <c r="I72">
        <v>0</v>
      </c>
      <c r="J72">
        <v>0</v>
      </c>
      <c r="K72" s="1">
        <v>41163</v>
      </c>
      <c r="L72">
        <v>1</v>
      </c>
      <c r="M72" t="str">
        <f t="shared" si="4"/>
        <v>Active</v>
      </c>
      <c r="N72">
        <v>0</v>
      </c>
      <c r="O72">
        <v>496</v>
      </c>
      <c r="P72">
        <v>36</v>
      </c>
      <c r="Q72">
        <v>460</v>
      </c>
      <c r="R72">
        <v>189</v>
      </c>
      <c r="S72">
        <v>60</v>
      </c>
      <c r="T72">
        <v>12</v>
      </c>
      <c r="U72">
        <v>1253</v>
      </c>
      <c r="V72">
        <v>3</v>
      </c>
      <c r="W72">
        <v>4</v>
      </c>
      <c r="X72">
        <v>8</v>
      </c>
      <c r="Y72">
        <v>6</v>
      </c>
      <c r="Z72">
        <v>18</v>
      </c>
      <c r="AA72">
        <v>3</v>
      </c>
      <c r="AB72" t="str">
        <f t="shared" si="5"/>
        <v>Above average customer</v>
      </c>
    </row>
    <row r="73" spans="1:28" x14ac:dyDescent="0.35">
      <c r="A73">
        <v>10629</v>
      </c>
      <c r="B73">
        <v>1973</v>
      </c>
      <c r="C73" t="s">
        <v>31</v>
      </c>
      <c r="D73" t="s">
        <v>34</v>
      </c>
      <c r="E73" t="s">
        <v>33</v>
      </c>
      <c r="G73" t="str">
        <f t="shared" si="3"/>
        <v>Low</v>
      </c>
      <c r="H73">
        <v>1</v>
      </c>
      <c r="I73">
        <v>0</v>
      </c>
      <c r="J73">
        <v>1</v>
      </c>
      <c r="K73" s="1">
        <v>41166</v>
      </c>
      <c r="L73">
        <v>25</v>
      </c>
      <c r="M73" t="str">
        <f t="shared" si="4"/>
        <v>Active</v>
      </c>
      <c r="N73">
        <v>0</v>
      </c>
      <c r="O73">
        <v>25</v>
      </c>
      <c r="P73">
        <v>3</v>
      </c>
      <c r="Q73">
        <v>43</v>
      </c>
      <c r="R73">
        <v>17</v>
      </c>
      <c r="S73">
        <v>4</v>
      </c>
      <c r="T73">
        <v>17</v>
      </c>
      <c r="U73">
        <v>109</v>
      </c>
      <c r="V73">
        <v>3</v>
      </c>
      <c r="W73">
        <v>3</v>
      </c>
      <c r="X73">
        <v>0</v>
      </c>
      <c r="Y73">
        <v>3</v>
      </c>
      <c r="Z73">
        <v>6</v>
      </c>
      <c r="AA73">
        <v>8</v>
      </c>
      <c r="AB73" t="str">
        <f t="shared" si="5"/>
        <v>Below average customer</v>
      </c>
    </row>
    <row r="74" spans="1:28" x14ac:dyDescent="0.35">
      <c r="A74">
        <v>6312</v>
      </c>
      <c r="B74">
        <v>1959</v>
      </c>
      <c r="C74" t="s">
        <v>25</v>
      </c>
      <c r="D74" t="s">
        <v>26</v>
      </c>
      <c r="E74" t="s">
        <v>33</v>
      </c>
      <c r="F74">
        <v>65031</v>
      </c>
      <c r="G74" t="str">
        <f t="shared" si="3"/>
        <v>Mid-high</v>
      </c>
      <c r="H74">
        <v>0</v>
      </c>
      <c r="I74">
        <v>1</v>
      </c>
      <c r="J74">
        <v>1</v>
      </c>
      <c r="K74" s="1">
        <v>41350</v>
      </c>
      <c r="L74">
        <v>29</v>
      </c>
      <c r="M74" t="str">
        <f t="shared" si="4"/>
        <v>Active</v>
      </c>
      <c r="N74">
        <v>0</v>
      </c>
      <c r="O74">
        <v>258</v>
      </c>
      <c r="P74">
        <v>107</v>
      </c>
      <c r="Q74">
        <v>291</v>
      </c>
      <c r="R74">
        <v>84</v>
      </c>
      <c r="S74">
        <v>37</v>
      </c>
      <c r="T74">
        <v>86</v>
      </c>
      <c r="U74">
        <v>863</v>
      </c>
      <c r="V74">
        <v>4</v>
      </c>
      <c r="W74">
        <v>10</v>
      </c>
      <c r="X74">
        <v>3</v>
      </c>
      <c r="Y74">
        <v>13</v>
      </c>
      <c r="Z74">
        <v>26</v>
      </c>
      <c r="AA74">
        <v>7</v>
      </c>
      <c r="AB74" t="str">
        <f t="shared" si="5"/>
        <v>Above average customer</v>
      </c>
    </row>
    <row r="75" spans="1:28" x14ac:dyDescent="0.35">
      <c r="A75">
        <v>8132</v>
      </c>
      <c r="B75">
        <v>1975</v>
      </c>
      <c r="C75" t="s">
        <v>31</v>
      </c>
      <c r="D75" t="s">
        <v>32</v>
      </c>
      <c r="E75" t="s">
        <v>33</v>
      </c>
      <c r="F75">
        <v>60631</v>
      </c>
      <c r="G75" t="str">
        <f t="shared" si="3"/>
        <v>Mid-high</v>
      </c>
      <c r="H75">
        <v>1</v>
      </c>
      <c r="I75">
        <v>1</v>
      </c>
      <c r="J75">
        <v>2</v>
      </c>
      <c r="K75" s="1">
        <v>41369</v>
      </c>
      <c r="L75">
        <v>88</v>
      </c>
      <c r="M75" t="str">
        <f t="shared" si="4"/>
        <v>Inactive</v>
      </c>
      <c r="N75">
        <v>0</v>
      </c>
      <c r="O75">
        <v>565</v>
      </c>
      <c r="P75">
        <v>6</v>
      </c>
      <c r="Q75">
        <v>65</v>
      </c>
      <c r="R75">
        <v>0</v>
      </c>
      <c r="S75">
        <v>6</v>
      </c>
      <c r="T75">
        <v>19</v>
      </c>
      <c r="U75">
        <v>661</v>
      </c>
      <c r="V75">
        <v>5</v>
      </c>
      <c r="W75">
        <v>9</v>
      </c>
      <c r="X75">
        <v>2</v>
      </c>
      <c r="Y75">
        <v>8</v>
      </c>
      <c r="Z75">
        <v>19</v>
      </c>
      <c r="AA75">
        <v>7</v>
      </c>
      <c r="AB75" t="str">
        <f t="shared" si="5"/>
        <v>Below average customer</v>
      </c>
    </row>
    <row r="76" spans="1:28" x14ac:dyDescent="0.35">
      <c r="A76">
        <v>1050</v>
      </c>
      <c r="B76">
        <v>1952</v>
      </c>
      <c r="C76" t="s">
        <v>36</v>
      </c>
      <c r="D76" t="s">
        <v>26</v>
      </c>
      <c r="E76" t="s">
        <v>33</v>
      </c>
      <c r="F76">
        <v>28332</v>
      </c>
      <c r="G76" t="str">
        <f t="shared" si="3"/>
        <v>Low</v>
      </c>
      <c r="H76">
        <v>0</v>
      </c>
      <c r="I76">
        <v>0</v>
      </c>
      <c r="J76">
        <v>0</v>
      </c>
      <c r="K76" s="1">
        <v>41759</v>
      </c>
      <c r="L76">
        <v>58</v>
      </c>
      <c r="M76" t="str">
        <f t="shared" si="4"/>
        <v>Inactive</v>
      </c>
      <c r="N76">
        <v>0</v>
      </c>
      <c r="O76">
        <v>14</v>
      </c>
      <c r="P76">
        <v>10</v>
      </c>
      <c r="Q76">
        <v>13</v>
      </c>
      <c r="R76">
        <v>4</v>
      </c>
      <c r="S76">
        <v>15</v>
      </c>
      <c r="T76">
        <v>9</v>
      </c>
      <c r="U76">
        <v>65</v>
      </c>
      <c r="V76">
        <v>1</v>
      </c>
      <c r="W76">
        <v>2</v>
      </c>
      <c r="X76">
        <v>1</v>
      </c>
      <c r="Y76">
        <v>4</v>
      </c>
      <c r="Z76">
        <v>7</v>
      </c>
      <c r="AA76">
        <v>2</v>
      </c>
      <c r="AB76" t="str">
        <f t="shared" si="5"/>
        <v>Below average customer</v>
      </c>
    </row>
    <row r="77" spans="1:28" x14ac:dyDescent="0.35">
      <c r="A77">
        <v>5846</v>
      </c>
      <c r="B77">
        <v>1977</v>
      </c>
      <c r="C77" t="s">
        <v>31</v>
      </c>
      <c r="D77" t="s">
        <v>26</v>
      </c>
      <c r="E77" t="s">
        <v>35</v>
      </c>
      <c r="F77">
        <v>40246</v>
      </c>
      <c r="G77" t="str">
        <f t="shared" si="3"/>
        <v>Mid-low</v>
      </c>
      <c r="H77">
        <v>1</v>
      </c>
      <c r="I77">
        <v>0</v>
      </c>
      <c r="J77">
        <v>1</v>
      </c>
      <c r="K77" s="1">
        <v>41262</v>
      </c>
      <c r="L77">
        <v>68</v>
      </c>
      <c r="M77" t="str">
        <f t="shared" si="4"/>
        <v>Inactive</v>
      </c>
      <c r="N77">
        <v>0</v>
      </c>
      <c r="O77">
        <v>2</v>
      </c>
      <c r="P77">
        <v>1</v>
      </c>
      <c r="Q77">
        <v>6</v>
      </c>
      <c r="R77">
        <v>2</v>
      </c>
      <c r="S77">
        <v>1</v>
      </c>
      <c r="T77">
        <v>1</v>
      </c>
      <c r="U77">
        <v>13</v>
      </c>
      <c r="V77">
        <v>1</v>
      </c>
      <c r="W77">
        <v>1</v>
      </c>
      <c r="X77">
        <v>0</v>
      </c>
      <c r="Y77">
        <v>2</v>
      </c>
      <c r="Z77">
        <v>3</v>
      </c>
      <c r="AA77">
        <v>6</v>
      </c>
      <c r="AB77" t="str">
        <f t="shared" si="5"/>
        <v>Below average customer</v>
      </c>
    </row>
    <row r="78" spans="1:28" x14ac:dyDescent="0.35">
      <c r="A78">
        <v>1859</v>
      </c>
      <c r="B78">
        <v>1972</v>
      </c>
      <c r="C78" t="s">
        <v>28</v>
      </c>
      <c r="D78" t="s">
        <v>34</v>
      </c>
      <c r="E78" t="s">
        <v>33</v>
      </c>
      <c r="F78">
        <v>75251</v>
      </c>
      <c r="G78" t="str">
        <f t="shared" si="3"/>
        <v>High</v>
      </c>
      <c r="H78">
        <v>0</v>
      </c>
      <c r="I78">
        <v>0</v>
      </c>
      <c r="J78">
        <v>0</v>
      </c>
      <c r="K78" s="1">
        <v>41148</v>
      </c>
      <c r="L78">
        <v>34</v>
      </c>
      <c r="M78" t="str">
        <f t="shared" si="4"/>
        <v>Active</v>
      </c>
      <c r="N78">
        <v>0</v>
      </c>
      <c r="O78">
        <v>721</v>
      </c>
      <c r="P78">
        <v>111</v>
      </c>
      <c r="Q78">
        <v>925</v>
      </c>
      <c r="R78">
        <v>97</v>
      </c>
      <c r="S78">
        <v>18</v>
      </c>
      <c r="T78">
        <v>18</v>
      </c>
      <c r="U78">
        <v>1890</v>
      </c>
      <c r="V78">
        <v>1</v>
      </c>
      <c r="W78">
        <v>7</v>
      </c>
      <c r="X78">
        <v>6</v>
      </c>
      <c r="Y78">
        <v>5</v>
      </c>
      <c r="Z78">
        <v>18</v>
      </c>
      <c r="AA78">
        <v>5</v>
      </c>
      <c r="AB78" t="str">
        <f t="shared" si="5"/>
        <v>Above average customer</v>
      </c>
    </row>
    <row r="79" spans="1:28" x14ac:dyDescent="0.35">
      <c r="A79">
        <v>7503</v>
      </c>
      <c r="B79">
        <v>1976</v>
      </c>
      <c r="C79" t="s">
        <v>31</v>
      </c>
      <c r="D79" t="s">
        <v>26</v>
      </c>
      <c r="E79" t="s">
        <v>27</v>
      </c>
      <c r="F79">
        <v>75825</v>
      </c>
      <c r="G79" t="str">
        <f t="shared" si="3"/>
        <v>High</v>
      </c>
      <c r="H79">
        <v>0</v>
      </c>
      <c r="I79">
        <v>0</v>
      </c>
      <c r="J79">
        <v>0</v>
      </c>
      <c r="K79" s="1">
        <v>41194</v>
      </c>
      <c r="L79">
        <v>40</v>
      </c>
      <c r="M79" t="str">
        <f t="shared" si="4"/>
        <v>Active</v>
      </c>
      <c r="N79">
        <v>0</v>
      </c>
      <c r="O79">
        <v>1032</v>
      </c>
      <c r="P79">
        <v>105</v>
      </c>
      <c r="Q79">
        <v>779</v>
      </c>
      <c r="R79">
        <v>137</v>
      </c>
      <c r="S79">
        <v>105</v>
      </c>
      <c r="T79">
        <v>51</v>
      </c>
      <c r="U79">
        <v>2209</v>
      </c>
      <c r="V79">
        <v>0</v>
      </c>
      <c r="W79">
        <v>5</v>
      </c>
      <c r="X79">
        <v>8</v>
      </c>
      <c r="Y79">
        <v>9</v>
      </c>
      <c r="Z79">
        <v>22</v>
      </c>
      <c r="AA79">
        <v>4</v>
      </c>
      <c r="AB79" t="str">
        <f t="shared" si="5"/>
        <v>Above average customer</v>
      </c>
    </row>
    <row r="80" spans="1:28" x14ac:dyDescent="0.35">
      <c r="A80">
        <v>10401</v>
      </c>
      <c r="B80">
        <v>1976</v>
      </c>
      <c r="C80" t="s">
        <v>31</v>
      </c>
      <c r="D80" t="s">
        <v>34</v>
      </c>
      <c r="E80" t="s">
        <v>29</v>
      </c>
      <c r="F80">
        <v>26326</v>
      </c>
      <c r="G80" t="str">
        <f t="shared" si="3"/>
        <v>Low</v>
      </c>
      <c r="H80">
        <v>0</v>
      </c>
      <c r="I80">
        <v>0</v>
      </c>
      <c r="J80">
        <v>0</v>
      </c>
      <c r="K80" s="1">
        <v>41521</v>
      </c>
      <c r="L80">
        <v>12</v>
      </c>
      <c r="M80" t="str">
        <f t="shared" si="4"/>
        <v>Active</v>
      </c>
      <c r="N80">
        <v>1</v>
      </c>
      <c r="O80">
        <v>1</v>
      </c>
      <c r="P80">
        <v>0</v>
      </c>
      <c r="Q80">
        <v>5</v>
      </c>
      <c r="R80">
        <v>0</v>
      </c>
      <c r="S80">
        <v>3</v>
      </c>
      <c r="T80">
        <v>9</v>
      </c>
      <c r="U80">
        <v>18</v>
      </c>
      <c r="V80">
        <v>1</v>
      </c>
      <c r="W80">
        <v>0</v>
      </c>
      <c r="X80">
        <v>0</v>
      </c>
      <c r="Y80">
        <v>3</v>
      </c>
      <c r="Z80">
        <v>3</v>
      </c>
      <c r="AA80">
        <v>3</v>
      </c>
      <c r="AB80" t="str">
        <f t="shared" si="5"/>
        <v>Below average customer</v>
      </c>
    </row>
    <row r="81" spans="1:28" x14ac:dyDescent="0.35">
      <c r="A81">
        <v>1618</v>
      </c>
      <c r="B81">
        <v>1965</v>
      </c>
      <c r="C81" t="s">
        <v>28</v>
      </c>
      <c r="D81" t="s">
        <v>26</v>
      </c>
      <c r="E81" t="s">
        <v>29</v>
      </c>
      <c r="F81">
        <v>56046</v>
      </c>
      <c r="G81" t="str">
        <f t="shared" si="3"/>
        <v>Mid-high</v>
      </c>
      <c r="H81">
        <v>0</v>
      </c>
      <c r="I81">
        <v>0</v>
      </c>
      <c r="J81">
        <v>0</v>
      </c>
      <c r="K81" s="1">
        <v>41276</v>
      </c>
      <c r="L81">
        <v>9</v>
      </c>
      <c r="M81" t="str">
        <f t="shared" si="4"/>
        <v>Active</v>
      </c>
      <c r="N81">
        <v>0</v>
      </c>
      <c r="O81">
        <v>577</v>
      </c>
      <c r="P81">
        <v>0</v>
      </c>
      <c r="Q81">
        <v>64</v>
      </c>
      <c r="R81">
        <v>0</v>
      </c>
      <c r="S81">
        <v>0</v>
      </c>
      <c r="T81">
        <v>51</v>
      </c>
      <c r="U81">
        <v>692</v>
      </c>
      <c r="V81">
        <v>2</v>
      </c>
      <c r="W81">
        <v>10</v>
      </c>
      <c r="X81">
        <v>1</v>
      </c>
      <c r="Y81">
        <v>8</v>
      </c>
      <c r="Z81">
        <v>19</v>
      </c>
      <c r="AA81">
        <v>8</v>
      </c>
      <c r="AB81" t="str">
        <f t="shared" si="5"/>
        <v>Above average customer</v>
      </c>
    </row>
    <row r="82" spans="1:28" x14ac:dyDescent="0.35">
      <c r="A82">
        <v>3332</v>
      </c>
      <c r="B82">
        <v>1985</v>
      </c>
      <c r="C82" t="s">
        <v>30</v>
      </c>
      <c r="D82" t="s">
        <v>26</v>
      </c>
      <c r="E82" t="s">
        <v>27</v>
      </c>
      <c r="F82">
        <v>29760</v>
      </c>
      <c r="G82" t="str">
        <f t="shared" si="3"/>
        <v>Low</v>
      </c>
      <c r="H82">
        <v>1</v>
      </c>
      <c r="I82">
        <v>0</v>
      </c>
      <c r="J82">
        <v>1</v>
      </c>
      <c r="K82" s="1">
        <v>41150</v>
      </c>
      <c r="L82">
        <v>87</v>
      </c>
      <c r="M82" t="str">
        <f t="shared" si="4"/>
        <v>Inactive</v>
      </c>
      <c r="N82">
        <v>0</v>
      </c>
      <c r="O82">
        <v>64</v>
      </c>
      <c r="P82">
        <v>4</v>
      </c>
      <c r="Q82">
        <v>68</v>
      </c>
      <c r="R82">
        <v>7</v>
      </c>
      <c r="S82">
        <v>5</v>
      </c>
      <c r="T82">
        <v>17</v>
      </c>
      <c r="U82">
        <v>165</v>
      </c>
      <c r="V82">
        <v>4</v>
      </c>
      <c r="W82">
        <v>3</v>
      </c>
      <c r="X82">
        <v>1</v>
      </c>
      <c r="Y82">
        <v>4</v>
      </c>
      <c r="Z82">
        <v>8</v>
      </c>
      <c r="AA82">
        <v>8</v>
      </c>
      <c r="AB82" t="str">
        <f t="shared" si="5"/>
        <v>Below average customer</v>
      </c>
    </row>
    <row r="83" spans="1:28" x14ac:dyDescent="0.35">
      <c r="A83">
        <v>2261</v>
      </c>
      <c r="B83">
        <v>1969</v>
      </c>
      <c r="C83" t="s">
        <v>28</v>
      </c>
      <c r="D83" t="s">
        <v>26</v>
      </c>
      <c r="E83" t="s">
        <v>33</v>
      </c>
      <c r="F83">
        <v>26304</v>
      </c>
      <c r="G83" t="str">
        <f t="shared" si="3"/>
        <v>Low</v>
      </c>
      <c r="H83">
        <v>1</v>
      </c>
      <c r="I83">
        <v>0</v>
      </c>
      <c r="J83">
        <v>1</v>
      </c>
      <c r="K83" s="1">
        <v>41448</v>
      </c>
      <c r="L83">
        <v>5</v>
      </c>
      <c r="M83" t="str">
        <f t="shared" si="4"/>
        <v>Active</v>
      </c>
      <c r="N83">
        <v>0</v>
      </c>
      <c r="O83">
        <v>4</v>
      </c>
      <c r="P83">
        <v>1</v>
      </c>
      <c r="Q83">
        <v>5</v>
      </c>
      <c r="R83">
        <v>2</v>
      </c>
      <c r="S83">
        <v>0</v>
      </c>
      <c r="T83">
        <v>4</v>
      </c>
      <c r="U83">
        <v>16</v>
      </c>
      <c r="V83">
        <v>1</v>
      </c>
      <c r="W83">
        <v>1</v>
      </c>
      <c r="X83">
        <v>0</v>
      </c>
      <c r="Y83">
        <v>2</v>
      </c>
      <c r="Z83">
        <v>3</v>
      </c>
      <c r="AA83">
        <v>7</v>
      </c>
      <c r="AB83" t="str">
        <f t="shared" si="5"/>
        <v>Below average customer</v>
      </c>
    </row>
    <row r="84" spans="1:28" x14ac:dyDescent="0.35">
      <c r="A84">
        <v>5346</v>
      </c>
      <c r="B84">
        <v>1973</v>
      </c>
      <c r="C84" t="s">
        <v>31</v>
      </c>
      <c r="D84" t="s">
        <v>34</v>
      </c>
      <c r="E84" t="s">
        <v>33</v>
      </c>
      <c r="F84">
        <v>23559</v>
      </c>
      <c r="G84" t="str">
        <f t="shared" si="3"/>
        <v>Low</v>
      </c>
      <c r="H84">
        <v>1</v>
      </c>
      <c r="I84">
        <v>0</v>
      </c>
      <c r="J84">
        <v>1</v>
      </c>
      <c r="K84" s="1">
        <v>41458</v>
      </c>
      <c r="L84">
        <v>87</v>
      </c>
      <c r="M84" t="str">
        <f t="shared" si="4"/>
        <v>Inactive</v>
      </c>
      <c r="N84">
        <v>0</v>
      </c>
      <c r="O84">
        <v>25</v>
      </c>
      <c r="P84">
        <v>5</v>
      </c>
      <c r="Q84">
        <v>19</v>
      </c>
      <c r="R84">
        <v>7</v>
      </c>
      <c r="S84">
        <v>0</v>
      </c>
      <c r="T84">
        <v>23</v>
      </c>
      <c r="U84">
        <v>79</v>
      </c>
      <c r="V84">
        <v>3</v>
      </c>
      <c r="W84">
        <v>3</v>
      </c>
      <c r="X84">
        <v>0</v>
      </c>
      <c r="Y84">
        <v>3</v>
      </c>
      <c r="Z84">
        <v>6</v>
      </c>
      <c r="AA84">
        <v>7</v>
      </c>
      <c r="AB84" t="str">
        <f t="shared" si="5"/>
        <v>Below average customer</v>
      </c>
    </row>
    <row r="85" spans="1:28" x14ac:dyDescent="0.35">
      <c r="A85">
        <v>535</v>
      </c>
      <c r="B85">
        <v>1987</v>
      </c>
      <c r="C85" t="s">
        <v>30</v>
      </c>
      <c r="D85" t="s">
        <v>26</v>
      </c>
      <c r="E85" t="s">
        <v>35</v>
      </c>
      <c r="F85">
        <v>81361</v>
      </c>
      <c r="G85" t="str">
        <f t="shared" si="3"/>
        <v>High</v>
      </c>
      <c r="H85">
        <v>0</v>
      </c>
      <c r="I85">
        <v>0</v>
      </c>
      <c r="J85">
        <v>0</v>
      </c>
      <c r="K85" s="1">
        <v>41695</v>
      </c>
      <c r="L85">
        <v>18</v>
      </c>
      <c r="M85" t="str">
        <f t="shared" si="4"/>
        <v>Active</v>
      </c>
      <c r="N85">
        <v>0</v>
      </c>
      <c r="O85">
        <v>163</v>
      </c>
      <c r="P85">
        <v>23</v>
      </c>
      <c r="Q85">
        <v>424</v>
      </c>
      <c r="R85">
        <v>27</v>
      </c>
      <c r="S85">
        <v>65</v>
      </c>
      <c r="T85">
        <v>76</v>
      </c>
      <c r="U85">
        <v>778</v>
      </c>
      <c r="V85">
        <v>1</v>
      </c>
      <c r="W85">
        <v>3</v>
      </c>
      <c r="X85">
        <v>10</v>
      </c>
      <c r="Y85">
        <v>13</v>
      </c>
      <c r="Z85">
        <v>26</v>
      </c>
      <c r="AA85">
        <v>1</v>
      </c>
      <c r="AB85" t="str">
        <f t="shared" si="5"/>
        <v>Above average customer</v>
      </c>
    </row>
    <row r="86" spans="1:28" x14ac:dyDescent="0.35">
      <c r="A86">
        <v>5268</v>
      </c>
      <c r="B86">
        <v>1960</v>
      </c>
      <c r="C86" t="s">
        <v>25</v>
      </c>
      <c r="D86" t="s">
        <v>26</v>
      </c>
      <c r="E86" t="s">
        <v>33</v>
      </c>
      <c r="F86">
        <v>29440</v>
      </c>
      <c r="G86" t="str">
        <f t="shared" si="3"/>
        <v>Low</v>
      </c>
      <c r="H86">
        <v>1</v>
      </c>
      <c r="I86">
        <v>1</v>
      </c>
      <c r="J86">
        <v>2</v>
      </c>
      <c r="K86" s="1">
        <v>41497</v>
      </c>
      <c r="L86">
        <v>95</v>
      </c>
      <c r="M86" t="str">
        <f t="shared" si="4"/>
        <v>Inactive</v>
      </c>
      <c r="N86">
        <v>0</v>
      </c>
      <c r="O86">
        <v>17</v>
      </c>
      <c r="P86">
        <v>8</v>
      </c>
      <c r="Q86">
        <v>14</v>
      </c>
      <c r="R86">
        <v>10</v>
      </c>
      <c r="S86">
        <v>4</v>
      </c>
      <c r="T86">
        <v>3</v>
      </c>
      <c r="U86">
        <v>56</v>
      </c>
      <c r="V86">
        <v>2</v>
      </c>
      <c r="W86">
        <v>1</v>
      </c>
      <c r="X86">
        <v>0</v>
      </c>
      <c r="Y86">
        <v>4</v>
      </c>
      <c r="Z86">
        <v>5</v>
      </c>
      <c r="AA86">
        <v>7</v>
      </c>
      <c r="AB86" t="str">
        <f t="shared" si="5"/>
        <v>Below average customer</v>
      </c>
    </row>
    <row r="87" spans="1:28" x14ac:dyDescent="0.35">
      <c r="A87">
        <v>273</v>
      </c>
      <c r="B87">
        <v>1970</v>
      </c>
      <c r="C87" t="s">
        <v>28</v>
      </c>
      <c r="D87" t="s">
        <v>34</v>
      </c>
      <c r="E87" t="s">
        <v>33</v>
      </c>
      <c r="F87">
        <v>36138</v>
      </c>
      <c r="G87" t="str">
        <f t="shared" si="3"/>
        <v>Mid-low</v>
      </c>
      <c r="H87">
        <v>1</v>
      </c>
      <c r="I87">
        <v>1</v>
      </c>
      <c r="J87">
        <v>2</v>
      </c>
      <c r="K87" s="1">
        <v>41471</v>
      </c>
      <c r="L87">
        <v>48</v>
      </c>
      <c r="M87" t="str">
        <f t="shared" si="4"/>
        <v>Active</v>
      </c>
      <c r="N87">
        <v>0</v>
      </c>
      <c r="O87">
        <v>130</v>
      </c>
      <c r="P87">
        <v>0</v>
      </c>
      <c r="Q87">
        <v>16</v>
      </c>
      <c r="R87">
        <v>0</v>
      </c>
      <c r="S87">
        <v>0</v>
      </c>
      <c r="T87">
        <v>5</v>
      </c>
      <c r="U87">
        <v>151</v>
      </c>
      <c r="V87">
        <v>5</v>
      </c>
      <c r="W87">
        <v>3</v>
      </c>
      <c r="X87">
        <v>1</v>
      </c>
      <c r="Y87">
        <v>4</v>
      </c>
      <c r="Z87">
        <v>8</v>
      </c>
      <c r="AA87">
        <v>7</v>
      </c>
      <c r="AB87" t="str">
        <f t="shared" si="5"/>
        <v>Below average customer</v>
      </c>
    </row>
    <row r="88" spans="1:28" x14ac:dyDescent="0.35">
      <c r="A88">
        <v>4452</v>
      </c>
      <c r="B88">
        <v>1957</v>
      </c>
      <c r="C88" t="s">
        <v>25</v>
      </c>
      <c r="D88" t="s">
        <v>26</v>
      </c>
      <c r="E88" t="s">
        <v>27</v>
      </c>
      <c r="F88">
        <v>50388</v>
      </c>
      <c r="G88" t="str">
        <f t="shared" si="3"/>
        <v>Mid-low</v>
      </c>
      <c r="H88">
        <v>0</v>
      </c>
      <c r="I88">
        <v>1</v>
      </c>
      <c r="J88">
        <v>1</v>
      </c>
      <c r="K88" s="1">
        <v>41787</v>
      </c>
      <c r="L88">
        <v>3</v>
      </c>
      <c r="M88" t="str">
        <f t="shared" si="4"/>
        <v>Active</v>
      </c>
      <c r="N88">
        <v>0</v>
      </c>
      <c r="O88">
        <v>292</v>
      </c>
      <c r="P88">
        <v>6</v>
      </c>
      <c r="Q88">
        <v>37</v>
      </c>
      <c r="R88">
        <v>0</v>
      </c>
      <c r="S88">
        <v>3</v>
      </c>
      <c r="T88">
        <v>34</v>
      </c>
      <c r="U88">
        <v>372</v>
      </c>
      <c r="V88">
        <v>4</v>
      </c>
      <c r="W88">
        <v>6</v>
      </c>
      <c r="X88">
        <v>1</v>
      </c>
      <c r="Y88">
        <v>6</v>
      </c>
      <c r="Z88">
        <v>13</v>
      </c>
      <c r="AA88">
        <v>7</v>
      </c>
      <c r="AB88" t="str">
        <f t="shared" si="5"/>
        <v>Below average customer</v>
      </c>
    </row>
    <row r="89" spans="1:28" x14ac:dyDescent="0.35">
      <c r="A89">
        <v>8504</v>
      </c>
      <c r="B89">
        <v>1973</v>
      </c>
      <c r="C89" t="s">
        <v>31</v>
      </c>
      <c r="D89" t="s">
        <v>26</v>
      </c>
      <c r="E89" t="s">
        <v>33</v>
      </c>
      <c r="F89">
        <v>79593</v>
      </c>
      <c r="G89" t="str">
        <f t="shared" si="3"/>
        <v>High</v>
      </c>
      <c r="H89">
        <v>0</v>
      </c>
      <c r="I89">
        <v>0</v>
      </c>
      <c r="J89">
        <v>0</v>
      </c>
      <c r="K89" s="1">
        <v>41771</v>
      </c>
      <c r="L89">
        <v>70</v>
      </c>
      <c r="M89" t="str">
        <f t="shared" si="4"/>
        <v>Inactive</v>
      </c>
      <c r="N89">
        <v>0</v>
      </c>
      <c r="O89">
        <v>350</v>
      </c>
      <c r="P89">
        <v>60</v>
      </c>
      <c r="Q89">
        <v>568</v>
      </c>
      <c r="R89">
        <v>110</v>
      </c>
      <c r="S89">
        <v>133</v>
      </c>
      <c r="T89">
        <v>145</v>
      </c>
      <c r="U89">
        <v>1366</v>
      </c>
      <c r="V89">
        <v>1</v>
      </c>
      <c r="W89">
        <v>5</v>
      </c>
      <c r="X89">
        <v>6</v>
      </c>
      <c r="Y89">
        <v>7</v>
      </c>
      <c r="Z89">
        <v>18</v>
      </c>
      <c r="AA89">
        <v>2</v>
      </c>
      <c r="AB89" t="str">
        <f t="shared" si="5"/>
        <v>Below average customer</v>
      </c>
    </row>
    <row r="90" spans="1:28" x14ac:dyDescent="0.35">
      <c r="A90">
        <v>771</v>
      </c>
      <c r="B90">
        <v>1967</v>
      </c>
      <c r="C90" t="s">
        <v>28</v>
      </c>
      <c r="D90" t="s">
        <v>26</v>
      </c>
      <c r="E90" t="s">
        <v>29</v>
      </c>
      <c r="F90">
        <v>54178</v>
      </c>
      <c r="G90" t="str">
        <f t="shared" si="3"/>
        <v>Mid-high</v>
      </c>
      <c r="H90">
        <v>0</v>
      </c>
      <c r="I90">
        <v>1</v>
      </c>
      <c r="J90">
        <v>1</v>
      </c>
      <c r="K90" s="1">
        <v>41660</v>
      </c>
      <c r="L90">
        <v>79</v>
      </c>
      <c r="M90" t="str">
        <f t="shared" si="4"/>
        <v>Inactive</v>
      </c>
      <c r="N90">
        <v>0</v>
      </c>
      <c r="O90">
        <v>135</v>
      </c>
      <c r="P90">
        <v>9</v>
      </c>
      <c r="Q90">
        <v>39</v>
      </c>
      <c r="R90">
        <v>4</v>
      </c>
      <c r="S90">
        <v>0</v>
      </c>
      <c r="T90">
        <v>7</v>
      </c>
      <c r="U90">
        <v>194</v>
      </c>
      <c r="V90">
        <v>1</v>
      </c>
      <c r="W90">
        <v>2</v>
      </c>
      <c r="X90">
        <v>2</v>
      </c>
      <c r="Y90">
        <v>5</v>
      </c>
      <c r="Z90">
        <v>9</v>
      </c>
      <c r="AA90">
        <v>2</v>
      </c>
      <c r="AB90" t="str">
        <f t="shared" si="5"/>
        <v>Below average customer</v>
      </c>
    </row>
    <row r="91" spans="1:28" x14ac:dyDescent="0.35">
      <c r="A91">
        <v>8996</v>
      </c>
      <c r="B91">
        <v>1957</v>
      </c>
      <c r="C91" t="s">
        <v>25</v>
      </c>
      <c r="D91" t="s">
        <v>32</v>
      </c>
      <c r="E91" t="s">
        <v>33</v>
      </c>
      <c r="G91" t="str">
        <f t="shared" si="3"/>
        <v>Low</v>
      </c>
      <c r="H91">
        <v>2</v>
      </c>
      <c r="I91">
        <v>1</v>
      </c>
      <c r="J91">
        <v>3</v>
      </c>
      <c r="K91" s="1">
        <v>41232</v>
      </c>
      <c r="L91">
        <v>4</v>
      </c>
      <c r="M91" t="str">
        <f t="shared" si="4"/>
        <v>Active</v>
      </c>
      <c r="N91">
        <v>0</v>
      </c>
      <c r="O91">
        <v>230</v>
      </c>
      <c r="P91">
        <v>42</v>
      </c>
      <c r="Q91">
        <v>192</v>
      </c>
      <c r="R91">
        <v>49</v>
      </c>
      <c r="S91">
        <v>37</v>
      </c>
      <c r="T91">
        <v>53</v>
      </c>
      <c r="U91">
        <v>603</v>
      </c>
      <c r="V91">
        <v>12</v>
      </c>
      <c r="W91">
        <v>7</v>
      </c>
      <c r="X91">
        <v>2</v>
      </c>
      <c r="Y91">
        <v>8</v>
      </c>
      <c r="Z91">
        <v>17</v>
      </c>
      <c r="AA91">
        <v>9</v>
      </c>
      <c r="AB91" t="str">
        <f t="shared" si="5"/>
        <v>Below average customer</v>
      </c>
    </row>
    <row r="92" spans="1:28" x14ac:dyDescent="0.35">
      <c r="A92">
        <v>9235</v>
      </c>
      <c r="B92">
        <v>1957</v>
      </c>
      <c r="C92" t="s">
        <v>25</v>
      </c>
      <c r="D92" t="s">
        <v>26</v>
      </c>
      <c r="E92" t="s">
        <v>27</v>
      </c>
      <c r="G92" t="str">
        <f t="shared" si="3"/>
        <v>Low</v>
      </c>
      <c r="H92">
        <v>1</v>
      </c>
      <c r="I92">
        <v>1</v>
      </c>
      <c r="J92">
        <v>2</v>
      </c>
      <c r="K92" s="1">
        <v>41786</v>
      </c>
      <c r="L92">
        <v>45</v>
      </c>
      <c r="M92" t="str">
        <f t="shared" si="4"/>
        <v>Active</v>
      </c>
      <c r="N92">
        <v>0</v>
      </c>
      <c r="O92">
        <v>7</v>
      </c>
      <c r="P92">
        <v>0</v>
      </c>
      <c r="Q92">
        <v>8</v>
      </c>
      <c r="R92">
        <v>2</v>
      </c>
      <c r="S92">
        <v>0</v>
      </c>
      <c r="T92">
        <v>1</v>
      </c>
      <c r="U92">
        <v>18</v>
      </c>
      <c r="V92">
        <v>1</v>
      </c>
      <c r="W92">
        <v>1</v>
      </c>
      <c r="X92">
        <v>0</v>
      </c>
      <c r="Y92">
        <v>2</v>
      </c>
      <c r="Z92">
        <v>3</v>
      </c>
      <c r="AA92">
        <v>7</v>
      </c>
      <c r="AB92" t="str">
        <f t="shared" si="5"/>
        <v>Below average customer</v>
      </c>
    </row>
    <row r="93" spans="1:28" x14ac:dyDescent="0.35">
      <c r="A93">
        <v>5798</v>
      </c>
      <c r="B93">
        <v>1973</v>
      </c>
      <c r="C93" t="s">
        <v>31</v>
      </c>
      <c r="D93" t="s">
        <v>34</v>
      </c>
      <c r="E93" t="s">
        <v>29</v>
      </c>
      <c r="G93" t="str">
        <f t="shared" si="3"/>
        <v>Low</v>
      </c>
      <c r="H93">
        <v>0</v>
      </c>
      <c r="I93">
        <v>0</v>
      </c>
      <c r="J93">
        <v>0</v>
      </c>
      <c r="K93" s="1">
        <v>41601</v>
      </c>
      <c r="L93">
        <v>87</v>
      </c>
      <c r="M93" t="str">
        <f t="shared" si="4"/>
        <v>Inactive</v>
      </c>
      <c r="N93">
        <v>0</v>
      </c>
      <c r="O93">
        <v>445</v>
      </c>
      <c r="P93">
        <v>37</v>
      </c>
      <c r="Q93">
        <v>359</v>
      </c>
      <c r="R93">
        <v>98</v>
      </c>
      <c r="S93">
        <v>28</v>
      </c>
      <c r="T93">
        <v>18</v>
      </c>
      <c r="U93">
        <v>985</v>
      </c>
      <c r="V93">
        <v>1</v>
      </c>
      <c r="W93">
        <v>2</v>
      </c>
      <c r="X93">
        <v>4</v>
      </c>
      <c r="Y93">
        <v>8</v>
      </c>
      <c r="Z93">
        <v>14</v>
      </c>
      <c r="AA93">
        <v>1</v>
      </c>
      <c r="AB93" t="str">
        <f t="shared" si="5"/>
        <v>Below average customer</v>
      </c>
    </row>
    <row r="94" spans="1:28" x14ac:dyDescent="0.35">
      <c r="A94">
        <v>11178</v>
      </c>
      <c r="B94">
        <v>1972</v>
      </c>
      <c r="C94" t="s">
        <v>28</v>
      </c>
      <c r="D94" t="s">
        <v>34</v>
      </c>
      <c r="E94" t="s">
        <v>27</v>
      </c>
      <c r="F94">
        <v>42394</v>
      </c>
      <c r="G94" t="str">
        <f t="shared" si="3"/>
        <v>Mid-low</v>
      </c>
      <c r="H94">
        <v>1</v>
      </c>
      <c r="I94">
        <v>0</v>
      </c>
      <c r="J94">
        <v>1</v>
      </c>
      <c r="K94" s="1">
        <v>41721</v>
      </c>
      <c r="L94">
        <v>69</v>
      </c>
      <c r="M94" t="str">
        <f t="shared" si="4"/>
        <v>Inactive</v>
      </c>
      <c r="N94">
        <v>0</v>
      </c>
      <c r="O94">
        <v>15</v>
      </c>
      <c r="P94">
        <v>2</v>
      </c>
      <c r="Q94">
        <v>10</v>
      </c>
      <c r="R94">
        <v>0</v>
      </c>
      <c r="S94">
        <v>1</v>
      </c>
      <c r="T94">
        <v>4</v>
      </c>
      <c r="U94">
        <v>32</v>
      </c>
      <c r="V94">
        <v>1</v>
      </c>
      <c r="W94">
        <v>1</v>
      </c>
      <c r="X94">
        <v>0</v>
      </c>
      <c r="Y94">
        <v>3</v>
      </c>
      <c r="Z94">
        <v>4</v>
      </c>
      <c r="AA94">
        <v>7</v>
      </c>
      <c r="AB94" t="str">
        <f t="shared" si="5"/>
        <v>Below average customer</v>
      </c>
    </row>
    <row r="95" spans="1:28" x14ac:dyDescent="0.35">
      <c r="A95">
        <v>2230</v>
      </c>
      <c r="B95">
        <v>1970</v>
      </c>
      <c r="C95" t="s">
        <v>28</v>
      </c>
      <c r="D95" t="s">
        <v>32</v>
      </c>
      <c r="E95" t="s">
        <v>33</v>
      </c>
      <c r="F95">
        <v>23626</v>
      </c>
      <c r="G95" t="str">
        <f t="shared" si="3"/>
        <v>Low</v>
      </c>
      <c r="H95">
        <v>1</v>
      </c>
      <c r="I95">
        <v>0</v>
      </c>
      <c r="J95">
        <v>1</v>
      </c>
      <c r="K95" s="1">
        <v>41783</v>
      </c>
      <c r="L95">
        <v>84</v>
      </c>
      <c r="M95" t="str">
        <f t="shared" si="4"/>
        <v>Inactive</v>
      </c>
      <c r="N95">
        <v>0</v>
      </c>
      <c r="O95">
        <v>27</v>
      </c>
      <c r="P95">
        <v>2</v>
      </c>
      <c r="Q95">
        <v>14</v>
      </c>
      <c r="R95">
        <v>0</v>
      </c>
      <c r="S95">
        <v>0</v>
      </c>
      <c r="T95">
        <v>0</v>
      </c>
      <c r="U95">
        <v>43</v>
      </c>
      <c r="V95">
        <v>3</v>
      </c>
      <c r="W95">
        <v>3</v>
      </c>
      <c r="X95">
        <v>1</v>
      </c>
      <c r="Y95">
        <v>3</v>
      </c>
      <c r="Z95">
        <v>7</v>
      </c>
      <c r="AA95">
        <v>5</v>
      </c>
      <c r="AB95" t="str">
        <f t="shared" si="5"/>
        <v>Below average customer</v>
      </c>
    </row>
    <row r="96" spans="1:28" x14ac:dyDescent="0.35">
      <c r="A96">
        <v>7516</v>
      </c>
      <c r="B96">
        <v>1983</v>
      </c>
      <c r="C96" t="s">
        <v>30</v>
      </c>
      <c r="D96" t="s">
        <v>26</v>
      </c>
      <c r="E96" t="s">
        <v>33</v>
      </c>
      <c r="F96">
        <v>30096</v>
      </c>
      <c r="G96" t="str">
        <f t="shared" si="3"/>
        <v>Low</v>
      </c>
      <c r="H96">
        <v>1</v>
      </c>
      <c r="I96">
        <v>0</v>
      </c>
      <c r="J96">
        <v>1</v>
      </c>
      <c r="K96" s="1">
        <v>41781</v>
      </c>
      <c r="L96">
        <v>30</v>
      </c>
      <c r="M96" t="str">
        <f t="shared" si="4"/>
        <v>Active</v>
      </c>
      <c r="N96">
        <v>0</v>
      </c>
      <c r="O96">
        <v>5</v>
      </c>
      <c r="P96">
        <v>3</v>
      </c>
      <c r="Q96">
        <v>11</v>
      </c>
      <c r="R96">
        <v>12</v>
      </c>
      <c r="S96">
        <v>5</v>
      </c>
      <c r="T96">
        <v>9</v>
      </c>
      <c r="U96">
        <v>45</v>
      </c>
      <c r="V96">
        <v>1</v>
      </c>
      <c r="W96">
        <v>2</v>
      </c>
      <c r="X96">
        <v>0</v>
      </c>
      <c r="Y96">
        <v>3</v>
      </c>
      <c r="Z96">
        <v>5</v>
      </c>
      <c r="AA96">
        <v>6</v>
      </c>
      <c r="AB96" t="str">
        <f t="shared" si="5"/>
        <v>Below average customer</v>
      </c>
    </row>
    <row r="97" spans="1:28" x14ac:dyDescent="0.35">
      <c r="A97">
        <v>7247</v>
      </c>
      <c r="B97">
        <v>1960</v>
      </c>
      <c r="C97" t="s">
        <v>25</v>
      </c>
      <c r="D97" t="s">
        <v>26</v>
      </c>
      <c r="E97" t="s">
        <v>38</v>
      </c>
      <c r="F97">
        <v>47916</v>
      </c>
      <c r="G97" t="str">
        <f t="shared" si="3"/>
        <v>Mid-low</v>
      </c>
      <c r="H97">
        <v>0</v>
      </c>
      <c r="I97">
        <v>1</v>
      </c>
      <c r="J97">
        <v>1</v>
      </c>
      <c r="K97" s="1">
        <v>41235</v>
      </c>
      <c r="L97">
        <v>72</v>
      </c>
      <c r="M97" t="str">
        <f t="shared" si="4"/>
        <v>Inactive</v>
      </c>
      <c r="N97">
        <v>0</v>
      </c>
      <c r="O97">
        <v>505</v>
      </c>
      <c r="P97">
        <v>0</v>
      </c>
      <c r="Q97">
        <v>26</v>
      </c>
      <c r="R97">
        <v>0</v>
      </c>
      <c r="S97">
        <v>0</v>
      </c>
      <c r="T97">
        <v>75</v>
      </c>
      <c r="U97">
        <v>606</v>
      </c>
      <c r="V97">
        <v>5</v>
      </c>
      <c r="W97">
        <v>7</v>
      </c>
      <c r="X97">
        <v>4</v>
      </c>
      <c r="Y97">
        <v>6</v>
      </c>
      <c r="Z97">
        <v>17</v>
      </c>
      <c r="AA97">
        <v>6</v>
      </c>
      <c r="AB97" t="str">
        <f t="shared" si="5"/>
        <v>Below average customer</v>
      </c>
    </row>
    <row r="98" spans="1:28" x14ac:dyDescent="0.35">
      <c r="A98">
        <v>11100</v>
      </c>
      <c r="B98">
        <v>1972</v>
      </c>
      <c r="C98" t="s">
        <v>28</v>
      </c>
      <c r="D98" t="s">
        <v>26</v>
      </c>
      <c r="E98" t="s">
        <v>35</v>
      </c>
      <c r="F98">
        <v>51813</v>
      </c>
      <c r="G98" t="str">
        <f t="shared" si="3"/>
        <v>Mid-high</v>
      </c>
      <c r="H98">
        <v>1</v>
      </c>
      <c r="I98">
        <v>1</v>
      </c>
      <c r="J98">
        <v>2</v>
      </c>
      <c r="K98" s="1">
        <v>41375</v>
      </c>
      <c r="L98">
        <v>37</v>
      </c>
      <c r="M98" t="str">
        <f t="shared" si="4"/>
        <v>Active</v>
      </c>
      <c r="N98">
        <v>0</v>
      </c>
      <c r="O98">
        <v>51</v>
      </c>
      <c r="P98">
        <v>2</v>
      </c>
      <c r="Q98">
        <v>7</v>
      </c>
      <c r="R98">
        <v>0</v>
      </c>
      <c r="S98">
        <v>1</v>
      </c>
      <c r="T98">
        <v>2</v>
      </c>
      <c r="U98">
        <v>63</v>
      </c>
      <c r="V98">
        <v>2</v>
      </c>
      <c r="W98">
        <v>2</v>
      </c>
      <c r="X98">
        <v>0</v>
      </c>
      <c r="Y98">
        <v>3</v>
      </c>
      <c r="Z98">
        <v>5</v>
      </c>
      <c r="AA98">
        <v>7</v>
      </c>
      <c r="AB98" t="str">
        <f t="shared" si="5"/>
        <v>Below average customer</v>
      </c>
    </row>
    <row r="99" spans="1:28" x14ac:dyDescent="0.35">
      <c r="A99">
        <v>4646</v>
      </c>
      <c r="B99">
        <v>1951</v>
      </c>
      <c r="C99" t="s">
        <v>36</v>
      </c>
      <c r="D99" t="s">
        <v>34</v>
      </c>
      <c r="E99" t="s">
        <v>33</v>
      </c>
      <c r="F99">
        <v>78497</v>
      </c>
      <c r="G99" t="str">
        <f t="shared" si="3"/>
        <v>High</v>
      </c>
      <c r="H99">
        <v>0</v>
      </c>
      <c r="I99">
        <v>0</v>
      </c>
      <c r="J99">
        <v>0</v>
      </c>
      <c r="K99" s="1">
        <v>41609</v>
      </c>
      <c r="L99">
        <v>44</v>
      </c>
      <c r="M99" t="str">
        <f t="shared" si="4"/>
        <v>Active</v>
      </c>
      <c r="N99">
        <v>0</v>
      </c>
      <c r="O99">
        <v>207</v>
      </c>
      <c r="P99">
        <v>26</v>
      </c>
      <c r="Q99">
        <v>447</v>
      </c>
      <c r="R99">
        <v>75</v>
      </c>
      <c r="S99">
        <v>0</v>
      </c>
      <c r="T99">
        <v>223</v>
      </c>
      <c r="U99">
        <v>978</v>
      </c>
      <c r="V99">
        <v>1</v>
      </c>
      <c r="W99">
        <v>5</v>
      </c>
      <c r="X99">
        <v>7</v>
      </c>
      <c r="Y99">
        <v>12</v>
      </c>
      <c r="Z99">
        <v>24</v>
      </c>
      <c r="AA99">
        <v>2</v>
      </c>
      <c r="AB99" t="str">
        <f t="shared" si="5"/>
        <v>Above average customer</v>
      </c>
    </row>
    <row r="100" spans="1:28" x14ac:dyDescent="0.35">
      <c r="A100">
        <v>3037</v>
      </c>
      <c r="B100">
        <v>1983</v>
      </c>
      <c r="C100" t="s">
        <v>30</v>
      </c>
      <c r="D100" t="s">
        <v>32</v>
      </c>
      <c r="E100" t="s">
        <v>33</v>
      </c>
      <c r="F100">
        <v>50150</v>
      </c>
      <c r="G100" t="str">
        <f t="shared" si="3"/>
        <v>Mid-low</v>
      </c>
      <c r="H100">
        <v>0</v>
      </c>
      <c r="I100">
        <v>0</v>
      </c>
      <c r="J100">
        <v>0</v>
      </c>
      <c r="K100" s="1">
        <v>41445</v>
      </c>
      <c r="L100">
        <v>32</v>
      </c>
      <c r="M100" t="str">
        <f t="shared" si="4"/>
        <v>Active</v>
      </c>
      <c r="N100">
        <v>0</v>
      </c>
      <c r="O100">
        <v>135</v>
      </c>
      <c r="P100">
        <v>46</v>
      </c>
      <c r="Q100">
        <v>92</v>
      </c>
      <c r="R100">
        <v>65</v>
      </c>
      <c r="S100">
        <v>61</v>
      </c>
      <c r="T100">
        <v>11</v>
      </c>
      <c r="U100">
        <v>410</v>
      </c>
      <c r="V100">
        <v>2</v>
      </c>
      <c r="W100">
        <v>5</v>
      </c>
      <c r="X100">
        <v>2</v>
      </c>
      <c r="Y100">
        <v>7</v>
      </c>
      <c r="Z100">
        <v>14</v>
      </c>
      <c r="AA100">
        <v>5</v>
      </c>
      <c r="AB100" t="str">
        <f t="shared" si="5"/>
        <v>Below average customer</v>
      </c>
    </row>
    <row r="101" spans="1:28" x14ac:dyDescent="0.35">
      <c r="A101">
        <v>1473</v>
      </c>
      <c r="B101">
        <v>1960</v>
      </c>
      <c r="C101" t="s">
        <v>25</v>
      </c>
      <c r="D101" t="s">
        <v>34</v>
      </c>
      <c r="E101" t="s">
        <v>27</v>
      </c>
      <c r="F101">
        <v>47823</v>
      </c>
      <c r="G101" t="str">
        <f t="shared" si="3"/>
        <v>Mid-low</v>
      </c>
      <c r="H101">
        <v>0</v>
      </c>
      <c r="I101">
        <v>1</v>
      </c>
      <c r="J101">
        <v>1</v>
      </c>
      <c r="K101" s="1">
        <v>41478</v>
      </c>
      <c r="L101">
        <v>0</v>
      </c>
      <c r="M101" t="str">
        <f t="shared" si="4"/>
        <v>Active</v>
      </c>
      <c r="N101">
        <v>0</v>
      </c>
      <c r="O101">
        <v>53</v>
      </c>
      <c r="P101">
        <v>1</v>
      </c>
      <c r="Q101">
        <v>5</v>
      </c>
      <c r="R101">
        <v>2</v>
      </c>
      <c r="S101">
        <v>1</v>
      </c>
      <c r="T101">
        <v>10</v>
      </c>
      <c r="U101">
        <v>72</v>
      </c>
      <c r="V101">
        <v>2</v>
      </c>
      <c r="W101">
        <v>2</v>
      </c>
      <c r="X101">
        <v>0</v>
      </c>
      <c r="Y101">
        <v>3</v>
      </c>
      <c r="Z101">
        <v>5</v>
      </c>
      <c r="AA101">
        <v>8</v>
      </c>
      <c r="AB101" t="str">
        <f t="shared" si="5"/>
        <v>Below average customer</v>
      </c>
    </row>
    <row r="102" spans="1:28" x14ac:dyDescent="0.35">
      <c r="A102">
        <v>1016</v>
      </c>
      <c r="B102">
        <v>1959</v>
      </c>
      <c r="C102" t="s">
        <v>25</v>
      </c>
      <c r="D102" t="s">
        <v>32</v>
      </c>
      <c r="E102" t="s">
        <v>27</v>
      </c>
      <c r="F102">
        <v>34554</v>
      </c>
      <c r="G102" t="str">
        <f t="shared" si="3"/>
        <v>Low</v>
      </c>
      <c r="H102">
        <v>0</v>
      </c>
      <c r="I102">
        <v>1</v>
      </c>
      <c r="J102">
        <v>1</v>
      </c>
      <c r="K102" s="1">
        <v>41728</v>
      </c>
      <c r="L102">
        <v>43</v>
      </c>
      <c r="M102" t="str">
        <f t="shared" si="4"/>
        <v>Active</v>
      </c>
      <c r="N102">
        <v>0</v>
      </c>
      <c r="O102">
        <v>41</v>
      </c>
      <c r="P102">
        <v>1</v>
      </c>
      <c r="Q102">
        <v>6</v>
      </c>
      <c r="R102">
        <v>2</v>
      </c>
      <c r="S102">
        <v>0</v>
      </c>
      <c r="T102">
        <v>5</v>
      </c>
      <c r="U102">
        <v>55</v>
      </c>
      <c r="V102">
        <v>2</v>
      </c>
      <c r="W102">
        <v>2</v>
      </c>
      <c r="X102">
        <v>0</v>
      </c>
      <c r="Y102">
        <v>3</v>
      </c>
      <c r="Z102">
        <v>5</v>
      </c>
      <c r="AA102">
        <v>6</v>
      </c>
      <c r="AB102" t="str">
        <f t="shared" si="5"/>
        <v>Below average customer</v>
      </c>
    </row>
    <row r="103" spans="1:28" x14ac:dyDescent="0.35">
      <c r="A103">
        <v>4518</v>
      </c>
      <c r="B103">
        <v>1979</v>
      </c>
      <c r="C103" t="s">
        <v>31</v>
      </c>
      <c r="D103" t="s">
        <v>26</v>
      </c>
      <c r="E103" t="s">
        <v>29</v>
      </c>
      <c r="F103">
        <v>85693</v>
      </c>
      <c r="G103" t="str">
        <f t="shared" si="3"/>
        <v>High</v>
      </c>
      <c r="H103">
        <v>0</v>
      </c>
      <c r="I103">
        <v>1</v>
      </c>
      <c r="J103">
        <v>1</v>
      </c>
      <c r="K103" s="1">
        <v>41384</v>
      </c>
      <c r="L103">
        <v>59</v>
      </c>
      <c r="M103" t="str">
        <f t="shared" si="4"/>
        <v>Inactive</v>
      </c>
      <c r="N103">
        <v>0</v>
      </c>
      <c r="O103">
        <v>386</v>
      </c>
      <c r="P103">
        <v>172</v>
      </c>
      <c r="Q103">
        <v>183</v>
      </c>
      <c r="R103">
        <v>185</v>
      </c>
      <c r="S103">
        <v>132</v>
      </c>
      <c r="T103">
        <v>111</v>
      </c>
      <c r="U103">
        <v>1169</v>
      </c>
      <c r="V103">
        <v>2</v>
      </c>
      <c r="W103">
        <v>9</v>
      </c>
      <c r="X103">
        <v>5</v>
      </c>
      <c r="Y103">
        <v>11</v>
      </c>
      <c r="Z103">
        <v>25</v>
      </c>
      <c r="AA103">
        <v>5</v>
      </c>
      <c r="AB103" t="str">
        <f t="shared" si="5"/>
        <v>Below average customer</v>
      </c>
    </row>
    <row r="104" spans="1:28" x14ac:dyDescent="0.35">
      <c r="A104">
        <v>9370</v>
      </c>
      <c r="B104">
        <v>1945</v>
      </c>
      <c r="C104" t="s">
        <v>36</v>
      </c>
      <c r="D104" t="s">
        <v>32</v>
      </c>
      <c r="E104" t="s">
        <v>33</v>
      </c>
      <c r="F104">
        <v>65846</v>
      </c>
      <c r="G104" t="str">
        <f t="shared" si="3"/>
        <v>Mid-high</v>
      </c>
      <c r="H104">
        <v>0</v>
      </c>
      <c r="I104">
        <v>0</v>
      </c>
      <c r="J104">
        <v>0</v>
      </c>
      <c r="K104" s="1">
        <v>41411</v>
      </c>
      <c r="L104">
        <v>68</v>
      </c>
      <c r="M104" t="str">
        <f t="shared" si="4"/>
        <v>Inactive</v>
      </c>
      <c r="N104">
        <v>0</v>
      </c>
      <c r="O104">
        <v>562</v>
      </c>
      <c r="P104">
        <v>81</v>
      </c>
      <c r="Q104">
        <v>276</v>
      </c>
      <c r="R104">
        <v>80</v>
      </c>
      <c r="S104">
        <v>40</v>
      </c>
      <c r="T104">
        <v>81</v>
      </c>
      <c r="U104">
        <v>1120</v>
      </c>
      <c r="V104">
        <v>1</v>
      </c>
      <c r="W104">
        <v>6</v>
      </c>
      <c r="X104">
        <v>3</v>
      </c>
      <c r="Y104">
        <v>6</v>
      </c>
      <c r="Z104">
        <v>15</v>
      </c>
      <c r="AA104">
        <v>4</v>
      </c>
      <c r="AB104" t="str">
        <f t="shared" si="5"/>
        <v>Below average customer</v>
      </c>
    </row>
    <row r="105" spans="1:28" x14ac:dyDescent="0.35">
      <c r="A105">
        <v>8908</v>
      </c>
      <c r="B105">
        <v>1959</v>
      </c>
      <c r="C105" t="s">
        <v>25</v>
      </c>
      <c r="D105" t="s">
        <v>26</v>
      </c>
      <c r="E105" t="s">
        <v>33</v>
      </c>
      <c r="F105">
        <v>87195</v>
      </c>
      <c r="G105" t="str">
        <f t="shared" si="3"/>
        <v>High</v>
      </c>
      <c r="H105">
        <v>0</v>
      </c>
      <c r="I105">
        <v>0</v>
      </c>
      <c r="J105">
        <v>0</v>
      </c>
      <c r="K105" s="1">
        <v>41767</v>
      </c>
      <c r="L105">
        <v>35</v>
      </c>
      <c r="M105" t="str">
        <f t="shared" si="4"/>
        <v>Active</v>
      </c>
      <c r="N105">
        <v>0</v>
      </c>
      <c r="O105">
        <v>217</v>
      </c>
      <c r="P105">
        <v>76</v>
      </c>
      <c r="Q105">
        <v>690</v>
      </c>
      <c r="R105">
        <v>50</v>
      </c>
      <c r="S105">
        <v>26</v>
      </c>
      <c r="T105">
        <v>38</v>
      </c>
      <c r="U105">
        <v>1097</v>
      </c>
      <c r="V105">
        <v>1</v>
      </c>
      <c r="W105">
        <v>3</v>
      </c>
      <c r="X105">
        <v>11</v>
      </c>
      <c r="Y105">
        <v>5</v>
      </c>
      <c r="Z105">
        <v>19</v>
      </c>
      <c r="AA105">
        <v>1</v>
      </c>
      <c r="AB105" t="str">
        <f t="shared" si="5"/>
        <v>Above average customer</v>
      </c>
    </row>
    <row r="106" spans="1:28" x14ac:dyDescent="0.35">
      <c r="A106">
        <v>8373</v>
      </c>
      <c r="B106">
        <v>1979</v>
      </c>
      <c r="C106" t="s">
        <v>31</v>
      </c>
      <c r="D106" t="s">
        <v>37</v>
      </c>
      <c r="E106" t="s">
        <v>29</v>
      </c>
      <c r="F106">
        <v>24594</v>
      </c>
      <c r="G106" t="str">
        <f t="shared" si="3"/>
        <v>Low</v>
      </c>
      <c r="H106">
        <v>1</v>
      </c>
      <c r="I106">
        <v>0</v>
      </c>
      <c r="J106">
        <v>1</v>
      </c>
      <c r="K106" s="1">
        <v>41618</v>
      </c>
      <c r="L106">
        <v>94</v>
      </c>
      <c r="M106" t="str">
        <f t="shared" si="4"/>
        <v>Inactive</v>
      </c>
      <c r="N106">
        <v>0</v>
      </c>
      <c r="O106">
        <v>1</v>
      </c>
      <c r="P106">
        <v>3</v>
      </c>
      <c r="Q106">
        <v>6</v>
      </c>
      <c r="R106">
        <v>10</v>
      </c>
      <c r="S106">
        <v>0</v>
      </c>
      <c r="T106">
        <v>9</v>
      </c>
      <c r="U106">
        <v>29</v>
      </c>
      <c r="V106">
        <v>1</v>
      </c>
      <c r="W106">
        <v>1</v>
      </c>
      <c r="X106">
        <v>0</v>
      </c>
      <c r="Y106">
        <v>3</v>
      </c>
      <c r="Z106">
        <v>4</v>
      </c>
      <c r="AA106">
        <v>5</v>
      </c>
      <c r="AB106" t="str">
        <f t="shared" si="5"/>
        <v>Below average customer</v>
      </c>
    </row>
    <row r="107" spans="1:28" x14ac:dyDescent="0.35">
      <c r="A107">
        <v>7533</v>
      </c>
      <c r="B107">
        <v>1964</v>
      </c>
      <c r="C107" t="s">
        <v>28</v>
      </c>
      <c r="D107" t="s">
        <v>26</v>
      </c>
      <c r="E107" t="s">
        <v>33</v>
      </c>
      <c r="F107">
        <v>49096</v>
      </c>
      <c r="G107" t="str">
        <f t="shared" si="3"/>
        <v>Mid-low</v>
      </c>
      <c r="H107">
        <v>1</v>
      </c>
      <c r="I107">
        <v>1</v>
      </c>
      <c r="J107">
        <v>2</v>
      </c>
      <c r="K107" s="1">
        <v>41541</v>
      </c>
      <c r="L107">
        <v>15</v>
      </c>
      <c r="M107" t="str">
        <f t="shared" si="4"/>
        <v>Active</v>
      </c>
      <c r="N107">
        <v>0</v>
      </c>
      <c r="O107">
        <v>144</v>
      </c>
      <c r="P107">
        <v>1</v>
      </c>
      <c r="Q107">
        <v>32</v>
      </c>
      <c r="R107">
        <v>2</v>
      </c>
      <c r="S107">
        <v>1</v>
      </c>
      <c r="T107">
        <v>7</v>
      </c>
      <c r="U107">
        <v>187</v>
      </c>
      <c r="V107">
        <v>4</v>
      </c>
      <c r="W107">
        <v>4</v>
      </c>
      <c r="X107">
        <v>1</v>
      </c>
      <c r="Y107">
        <v>4</v>
      </c>
      <c r="Z107">
        <v>9</v>
      </c>
      <c r="AA107">
        <v>7</v>
      </c>
      <c r="AB107" t="str">
        <f t="shared" si="5"/>
        <v>Below average customer</v>
      </c>
    </row>
    <row r="108" spans="1:28" x14ac:dyDescent="0.35">
      <c r="A108">
        <v>2683</v>
      </c>
      <c r="B108">
        <v>1969</v>
      </c>
      <c r="C108" t="s">
        <v>28</v>
      </c>
      <c r="D108" t="s">
        <v>26</v>
      </c>
      <c r="E108" t="s">
        <v>33</v>
      </c>
      <c r="F108">
        <v>52413</v>
      </c>
      <c r="G108" t="str">
        <f t="shared" si="3"/>
        <v>Mid-high</v>
      </c>
      <c r="H108">
        <v>0</v>
      </c>
      <c r="I108">
        <v>2</v>
      </c>
      <c r="J108">
        <v>2</v>
      </c>
      <c r="K108" s="1">
        <v>41307</v>
      </c>
      <c r="L108">
        <v>56</v>
      </c>
      <c r="M108" t="str">
        <f t="shared" si="4"/>
        <v>Inactive</v>
      </c>
      <c r="N108">
        <v>0</v>
      </c>
      <c r="O108">
        <v>295</v>
      </c>
      <c r="P108">
        <v>106</v>
      </c>
      <c r="Q108">
        <v>271</v>
      </c>
      <c r="R108">
        <v>75</v>
      </c>
      <c r="S108">
        <v>98</v>
      </c>
      <c r="T108">
        <v>65</v>
      </c>
      <c r="U108">
        <v>910</v>
      </c>
      <c r="V108">
        <v>4</v>
      </c>
      <c r="W108">
        <v>6</v>
      </c>
      <c r="X108">
        <v>4</v>
      </c>
      <c r="Y108">
        <v>12</v>
      </c>
      <c r="Z108">
        <v>22</v>
      </c>
      <c r="AA108">
        <v>6</v>
      </c>
      <c r="AB108" t="str">
        <f t="shared" si="5"/>
        <v>Below average customer</v>
      </c>
    </row>
    <row r="109" spans="1:28" x14ac:dyDescent="0.35">
      <c r="A109">
        <v>3629</v>
      </c>
      <c r="B109">
        <v>1978</v>
      </c>
      <c r="C109" t="s">
        <v>31</v>
      </c>
      <c r="D109" t="s">
        <v>26</v>
      </c>
      <c r="E109" t="s">
        <v>27</v>
      </c>
      <c r="F109">
        <v>38557</v>
      </c>
      <c r="G109" t="str">
        <f t="shared" si="3"/>
        <v>Mid-low</v>
      </c>
      <c r="H109">
        <v>1</v>
      </c>
      <c r="I109">
        <v>0</v>
      </c>
      <c r="J109">
        <v>1</v>
      </c>
      <c r="K109" s="1">
        <v>41262</v>
      </c>
      <c r="L109">
        <v>17</v>
      </c>
      <c r="M109" t="str">
        <f t="shared" si="4"/>
        <v>Active</v>
      </c>
      <c r="N109">
        <v>0</v>
      </c>
      <c r="O109">
        <v>76</v>
      </c>
      <c r="P109">
        <v>3</v>
      </c>
      <c r="Q109">
        <v>31</v>
      </c>
      <c r="R109">
        <v>4</v>
      </c>
      <c r="S109">
        <v>4</v>
      </c>
      <c r="T109">
        <v>27</v>
      </c>
      <c r="U109">
        <v>145</v>
      </c>
      <c r="V109">
        <v>2</v>
      </c>
      <c r="W109">
        <v>3</v>
      </c>
      <c r="X109">
        <v>1</v>
      </c>
      <c r="Y109">
        <v>3</v>
      </c>
      <c r="Z109">
        <v>7</v>
      </c>
      <c r="AA109">
        <v>7</v>
      </c>
      <c r="AB109" t="str">
        <f t="shared" si="5"/>
        <v>Below average customer</v>
      </c>
    </row>
    <row r="110" spans="1:28" x14ac:dyDescent="0.35">
      <c r="A110">
        <v>10991</v>
      </c>
      <c r="B110">
        <v>1960</v>
      </c>
      <c r="C110" t="s">
        <v>25</v>
      </c>
      <c r="D110" t="s">
        <v>34</v>
      </c>
      <c r="E110" t="s">
        <v>33</v>
      </c>
      <c r="F110">
        <v>89058</v>
      </c>
      <c r="G110" t="str">
        <f t="shared" si="3"/>
        <v>High</v>
      </c>
      <c r="H110">
        <v>0</v>
      </c>
      <c r="I110">
        <v>0</v>
      </c>
      <c r="J110">
        <v>0</v>
      </c>
      <c r="K110" s="1">
        <v>41250</v>
      </c>
      <c r="L110">
        <v>18</v>
      </c>
      <c r="M110" t="str">
        <f t="shared" si="4"/>
        <v>Active</v>
      </c>
      <c r="N110">
        <v>0</v>
      </c>
      <c r="O110">
        <v>454</v>
      </c>
      <c r="P110">
        <v>194</v>
      </c>
      <c r="Q110">
        <v>106</v>
      </c>
      <c r="R110">
        <v>31</v>
      </c>
      <c r="S110">
        <v>22</v>
      </c>
      <c r="T110">
        <v>43</v>
      </c>
      <c r="U110">
        <v>850</v>
      </c>
      <c r="V110">
        <v>1</v>
      </c>
      <c r="W110">
        <v>5</v>
      </c>
      <c r="X110">
        <v>4</v>
      </c>
      <c r="Y110">
        <v>4</v>
      </c>
      <c r="Z110">
        <v>13</v>
      </c>
      <c r="AA110">
        <v>2</v>
      </c>
      <c r="AB110" t="str">
        <f t="shared" si="5"/>
        <v>Above average customer</v>
      </c>
    </row>
    <row r="111" spans="1:28" x14ac:dyDescent="0.35">
      <c r="A111">
        <v>5077</v>
      </c>
      <c r="B111">
        <v>1979</v>
      </c>
      <c r="C111" t="s">
        <v>31</v>
      </c>
      <c r="D111" t="s">
        <v>26</v>
      </c>
      <c r="E111" t="s">
        <v>29</v>
      </c>
      <c r="F111">
        <v>77298</v>
      </c>
      <c r="G111" t="str">
        <f t="shared" si="3"/>
        <v>High</v>
      </c>
      <c r="H111">
        <v>0</v>
      </c>
      <c r="I111">
        <v>1</v>
      </c>
      <c r="J111">
        <v>1</v>
      </c>
      <c r="K111" s="1">
        <v>41580</v>
      </c>
      <c r="L111">
        <v>46</v>
      </c>
      <c r="M111" t="str">
        <f t="shared" si="4"/>
        <v>Active</v>
      </c>
      <c r="N111">
        <v>0</v>
      </c>
      <c r="O111">
        <v>425</v>
      </c>
      <c r="P111">
        <v>115</v>
      </c>
      <c r="Q111">
        <v>292</v>
      </c>
      <c r="R111">
        <v>23</v>
      </c>
      <c r="S111">
        <v>35</v>
      </c>
      <c r="T111">
        <v>79</v>
      </c>
      <c r="U111">
        <v>969</v>
      </c>
      <c r="V111">
        <v>1</v>
      </c>
      <c r="W111">
        <v>6</v>
      </c>
      <c r="X111">
        <v>6</v>
      </c>
      <c r="Y111">
        <v>11</v>
      </c>
      <c r="Z111">
        <v>23</v>
      </c>
      <c r="AA111">
        <v>3</v>
      </c>
      <c r="AB111" t="str">
        <f t="shared" si="5"/>
        <v>Above average customer</v>
      </c>
    </row>
    <row r="112" spans="1:28" x14ac:dyDescent="0.35">
      <c r="A112">
        <v>7431</v>
      </c>
      <c r="B112">
        <v>1991</v>
      </c>
      <c r="C112" t="s">
        <v>30</v>
      </c>
      <c r="D112" t="s">
        <v>32</v>
      </c>
      <c r="E112" t="s">
        <v>27</v>
      </c>
      <c r="F112">
        <v>68126</v>
      </c>
      <c r="G112" t="str">
        <f t="shared" si="3"/>
        <v>Mid-high</v>
      </c>
      <c r="H112">
        <v>0</v>
      </c>
      <c r="I112">
        <v>0</v>
      </c>
      <c r="J112">
        <v>0</v>
      </c>
      <c r="K112" s="1">
        <v>41223</v>
      </c>
      <c r="L112">
        <v>40</v>
      </c>
      <c r="M112" t="str">
        <f t="shared" si="4"/>
        <v>Active</v>
      </c>
      <c r="N112">
        <v>0</v>
      </c>
      <c r="O112">
        <v>1332</v>
      </c>
      <c r="P112">
        <v>17</v>
      </c>
      <c r="Q112">
        <v>311</v>
      </c>
      <c r="R112">
        <v>23</v>
      </c>
      <c r="S112">
        <v>51</v>
      </c>
      <c r="T112">
        <v>86</v>
      </c>
      <c r="U112">
        <v>1820</v>
      </c>
      <c r="V112">
        <v>1</v>
      </c>
      <c r="W112">
        <v>7</v>
      </c>
      <c r="X112">
        <v>4</v>
      </c>
      <c r="Y112">
        <v>5</v>
      </c>
      <c r="Z112">
        <v>16</v>
      </c>
      <c r="AA112">
        <v>9</v>
      </c>
      <c r="AB112" t="str">
        <f t="shared" si="5"/>
        <v>Above average customer</v>
      </c>
    </row>
    <row r="113" spans="1:28" x14ac:dyDescent="0.35">
      <c r="A113">
        <v>3267</v>
      </c>
      <c r="B113">
        <v>1963</v>
      </c>
      <c r="C113" t="s">
        <v>28</v>
      </c>
      <c r="D113" t="s">
        <v>34</v>
      </c>
      <c r="E113" t="s">
        <v>29</v>
      </c>
      <c r="F113">
        <v>57288</v>
      </c>
      <c r="G113" t="str">
        <f t="shared" si="3"/>
        <v>Mid-high</v>
      </c>
      <c r="H113">
        <v>0</v>
      </c>
      <c r="I113">
        <v>1</v>
      </c>
      <c r="J113">
        <v>1</v>
      </c>
      <c r="K113" s="1">
        <v>41815</v>
      </c>
      <c r="L113">
        <v>27</v>
      </c>
      <c r="M113" t="str">
        <f t="shared" si="4"/>
        <v>Active</v>
      </c>
      <c r="N113">
        <v>0</v>
      </c>
      <c r="O113">
        <v>527</v>
      </c>
      <c r="P113">
        <v>0</v>
      </c>
      <c r="Q113">
        <v>21</v>
      </c>
      <c r="R113">
        <v>0</v>
      </c>
      <c r="S113">
        <v>0</v>
      </c>
      <c r="T113">
        <v>60</v>
      </c>
      <c r="U113">
        <v>608</v>
      </c>
      <c r="V113">
        <v>3</v>
      </c>
      <c r="W113">
        <v>8</v>
      </c>
      <c r="X113">
        <v>1</v>
      </c>
      <c r="Y113">
        <v>8</v>
      </c>
      <c r="Z113">
        <v>17</v>
      </c>
      <c r="AA113">
        <v>6</v>
      </c>
      <c r="AB113" t="str">
        <f t="shared" si="5"/>
        <v>Above average customer</v>
      </c>
    </row>
    <row r="114" spans="1:28" x14ac:dyDescent="0.35">
      <c r="A114">
        <v>999</v>
      </c>
      <c r="B114">
        <v>1991</v>
      </c>
      <c r="C114" t="s">
        <v>30</v>
      </c>
      <c r="D114" t="s">
        <v>26</v>
      </c>
      <c r="E114" t="s">
        <v>27</v>
      </c>
      <c r="F114">
        <v>86037</v>
      </c>
      <c r="G114" t="str">
        <f t="shared" si="3"/>
        <v>High</v>
      </c>
      <c r="H114">
        <v>0</v>
      </c>
      <c r="I114">
        <v>0</v>
      </c>
      <c r="J114">
        <v>0</v>
      </c>
      <c r="K114" s="1">
        <v>41276</v>
      </c>
      <c r="L114">
        <v>95</v>
      </c>
      <c r="M114" t="str">
        <f t="shared" si="4"/>
        <v>Inactive</v>
      </c>
      <c r="N114">
        <v>0</v>
      </c>
      <c r="O114">
        <v>490</v>
      </c>
      <c r="P114">
        <v>44</v>
      </c>
      <c r="Q114">
        <v>125</v>
      </c>
      <c r="R114">
        <v>29</v>
      </c>
      <c r="S114">
        <v>20</v>
      </c>
      <c r="T114">
        <v>22</v>
      </c>
      <c r="U114">
        <v>730</v>
      </c>
      <c r="V114">
        <v>1</v>
      </c>
      <c r="W114">
        <v>6</v>
      </c>
      <c r="X114">
        <v>7</v>
      </c>
      <c r="Y114">
        <v>11</v>
      </c>
      <c r="Z114">
        <v>24</v>
      </c>
      <c r="AA114">
        <v>3</v>
      </c>
      <c r="AB114" t="str">
        <f t="shared" si="5"/>
        <v>Below average customer</v>
      </c>
    </row>
    <row r="115" spans="1:28" x14ac:dyDescent="0.35">
      <c r="A115">
        <v>9215</v>
      </c>
      <c r="B115">
        <v>1980</v>
      </c>
      <c r="C115" t="s">
        <v>31</v>
      </c>
      <c r="D115" t="s">
        <v>32</v>
      </c>
      <c r="E115" t="s">
        <v>33</v>
      </c>
      <c r="F115">
        <v>43974</v>
      </c>
      <c r="G115" t="str">
        <f t="shared" si="3"/>
        <v>Mid-low</v>
      </c>
      <c r="H115">
        <v>1</v>
      </c>
      <c r="I115">
        <v>0</v>
      </c>
      <c r="J115">
        <v>1</v>
      </c>
      <c r="K115" s="1">
        <v>41255</v>
      </c>
      <c r="L115">
        <v>19</v>
      </c>
      <c r="M115" t="str">
        <f t="shared" si="4"/>
        <v>Active</v>
      </c>
      <c r="N115">
        <v>0</v>
      </c>
      <c r="O115">
        <v>378</v>
      </c>
      <c r="P115">
        <v>0</v>
      </c>
      <c r="Q115">
        <v>101</v>
      </c>
      <c r="R115">
        <v>0</v>
      </c>
      <c r="S115">
        <v>0</v>
      </c>
      <c r="T115">
        <v>72</v>
      </c>
      <c r="U115">
        <v>551</v>
      </c>
      <c r="V115">
        <v>5</v>
      </c>
      <c r="W115">
        <v>6</v>
      </c>
      <c r="X115">
        <v>4</v>
      </c>
      <c r="Y115">
        <v>6</v>
      </c>
      <c r="Z115">
        <v>16</v>
      </c>
      <c r="AA115">
        <v>7</v>
      </c>
      <c r="AB115" t="str">
        <f t="shared" si="5"/>
        <v>Below average customer</v>
      </c>
    </row>
    <row r="116" spans="1:28" x14ac:dyDescent="0.35">
      <c r="A116">
        <v>2286</v>
      </c>
      <c r="B116">
        <v>1962</v>
      </c>
      <c r="C116" t="s">
        <v>25</v>
      </c>
      <c r="D116" t="s">
        <v>26</v>
      </c>
      <c r="E116" t="s">
        <v>27</v>
      </c>
      <c r="F116">
        <v>50785</v>
      </c>
      <c r="G116" t="str">
        <f t="shared" si="3"/>
        <v>Mid-low</v>
      </c>
      <c r="H116">
        <v>1</v>
      </c>
      <c r="I116">
        <v>1</v>
      </c>
      <c r="J116">
        <v>2</v>
      </c>
      <c r="K116" s="1">
        <v>41527</v>
      </c>
      <c r="L116">
        <v>27</v>
      </c>
      <c r="M116" t="str">
        <f t="shared" si="4"/>
        <v>Active</v>
      </c>
      <c r="N116">
        <v>0</v>
      </c>
      <c r="O116">
        <v>64</v>
      </c>
      <c r="P116">
        <v>1</v>
      </c>
      <c r="Q116">
        <v>21</v>
      </c>
      <c r="R116">
        <v>0</v>
      </c>
      <c r="S116">
        <v>1</v>
      </c>
      <c r="T116">
        <v>27</v>
      </c>
      <c r="U116">
        <v>114</v>
      </c>
      <c r="V116">
        <v>2</v>
      </c>
      <c r="W116">
        <v>2</v>
      </c>
      <c r="X116">
        <v>1</v>
      </c>
      <c r="Y116">
        <v>3</v>
      </c>
      <c r="Z116">
        <v>6</v>
      </c>
      <c r="AA116">
        <v>6</v>
      </c>
      <c r="AB116" t="str">
        <f t="shared" si="5"/>
        <v>Below average customer</v>
      </c>
    </row>
    <row r="117" spans="1:28" x14ac:dyDescent="0.35">
      <c r="A117">
        <v>1592</v>
      </c>
      <c r="B117">
        <v>1970</v>
      </c>
      <c r="C117" t="s">
        <v>28</v>
      </c>
      <c r="D117" t="s">
        <v>26</v>
      </c>
      <c r="E117" t="s">
        <v>33</v>
      </c>
      <c r="F117">
        <v>90765</v>
      </c>
      <c r="G117" t="str">
        <f t="shared" si="3"/>
        <v>High</v>
      </c>
      <c r="H117">
        <v>0</v>
      </c>
      <c r="I117">
        <v>0</v>
      </c>
      <c r="J117">
        <v>0</v>
      </c>
      <c r="K117" s="1">
        <v>41663</v>
      </c>
      <c r="L117">
        <v>25</v>
      </c>
      <c r="M117" t="str">
        <f t="shared" si="4"/>
        <v>Active</v>
      </c>
      <c r="N117">
        <v>0</v>
      </c>
      <c r="O117">
        <v>547</v>
      </c>
      <c r="P117">
        <v>99</v>
      </c>
      <c r="Q117">
        <v>812</v>
      </c>
      <c r="R117">
        <v>151</v>
      </c>
      <c r="S117">
        <v>82</v>
      </c>
      <c r="T117">
        <v>33</v>
      </c>
      <c r="U117">
        <v>1724</v>
      </c>
      <c r="V117">
        <v>0</v>
      </c>
      <c r="W117">
        <v>4</v>
      </c>
      <c r="X117">
        <v>6</v>
      </c>
      <c r="Y117">
        <v>5</v>
      </c>
      <c r="Z117">
        <v>15</v>
      </c>
      <c r="AA117">
        <v>1</v>
      </c>
      <c r="AB117" t="str">
        <f t="shared" si="5"/>
        <v>Above average customer</v>
      </c>
    </row>
    <row r="118" spans="1:28" x14ac:dyDescent="0.35">
      <c r="A118">
        <v>367</v>
      </c>
      <c r="B118">
        <v>1978</v>
      </c>
      <c r="C118" t="s">
        <v>31</v>
      </c>
      <c r="D118" t="s">
        <v>34</v>
      </c>
      <c r="E118" t="s">
        <v>33</v>
      </c>
      <c r="F118">
        <v>36550</v>
      </c>
      <c r="G118" t="str">
        <f t="shared" si="3"/>
        <v>Mid-low</v>
      </c>
      <c r="H118">
        <v>1</v>
      </c>
      <c r="I118">
        <v>0</v>
      </c>
      <c r="J118">
        <v>1</v>
      </c>
      <c r="K118" s="1">
        <v>41324</v>
      </c>
      <c r="L118">
        <v>74</v>
      </c>
      <c r="M118" t="str">
        <f t="shared" si="4"/>
        <v>Inactive</v>
      </c>
      <c r="N118">
        <v>0</v>
      </c>
      <c r="O118">
        <v>47</v>
      </c>
      <c r="P118">
        <v>90</v>
      </c>
      <c r="Q118">
        <v>94</v>
      </c>
      <c r="R118">
        <v>123</v>
      </c>
      <c r="S118">
        <v>103</v>
      </c>
      <c r="T118">
        <v>120</v>
      </c>
      <c r="U118">
        <v>577</v>
      </c>
      <c r="V118">
        <v>5</v>
      </c>
      <c r="W118">
        <v>9</v>
      </c>
      <c r="X118">
        <v>1</v>
      </c>
      <c r="Y118">
        <v>5</v>
      </c>
      <c r="Z118">
        <v>15</v>
      </c>
      <c r="AA118">
        <v>9</v>
      </c>
      <c r="AB118" t="str">
        <f t="shared" si="5"/>
        <v>Below average customer</v>
      </c>
    </row>
    <row r="119" spans="1:28" x14ac:dyDescent="0.35">
      <c r="A119">
        <v>5234</v>
      </c>
      <c r="B119">
        <v>1967</v>
      </c>
      <c r="C119" t="s">
        <v>28</v>
      </c>
      <c r="D119" t="s">
        <v>34</v>
      </c>
      <c r="E119" t="s">
        <v>29</v>
      </c>
      <c r="F119">
        <v>30753</v>
      </c>
      <c r="G119" t="str">
        <f t="shared" si="3"/>
        <v>Low</v>
      </c>
      <c r="H119">
        <v>1</v>
      </c>
      <c r="I119">
        <v>1</v>
      </c>
      <c r="J119">
        <v>2</v>
      </c>
      <c r="K119" s="1">
        <v>41466</v>
      </c>
      <c r="L119">
        <v>85</v>
      </c>
      <c r="M119" t="str">
        <f t="shared" si="4"/>
        <v>Inactive</v>
      </c>
      <c r="N119">
        <v>0</v>
      </c>
      <c r="O119">
        <v>12</v>
      </c>
      <c r="P119">
        <v>5</v>
      </c>
      <c r="Q119">
        <v>25</v>
      </c>
      <c r="R119">
        <v>0</v>
      </c>
      <c r="S119">
        <v>9</v>
      </c>
      <c r="T119">
        <v>30</v>
      </c>
      <c r="U119">
        <v>81</v>
      </c>
      <c r="V119">
        <v>2</v>
      </c>
      <c r="W119">
        <v>1</v>
      </c>
      <c r="X119">
        <v>1</v>
      </c>
      <c r="Y119">
        <v>3</v>
      </c>
      <c r="Z119">
        <v>5</v>
      </c>
      <c r="AA119">
        <v>5</v>
      </c>
      <c r="AB119" t="str">
        <f t="shared" si="5"/>
        <v>Below average customer</v>
      </c>
    </row>
    <row r="120" spans="1:28" x14ac:dyDescent="0.35">
      <c r="A120">
        <v>9862</v>
      </c>
      <c r="B120">
        <v>1969</v>
      </c>
      <c r="C120" t="s">
        <v>28</v>
      </c>
      <c r="D120" t="s">
        <v>26</v>
      </c>
      <c r="E120" t="s">
        <v>29</v>
      </c>
      <c r="F120">
        <v>21918</v>
      </c>
      <c r="G120" t="str">
        <f t="shared" si="3"/>
        <v>Low</v>
      </c>
      <c r="H120">
        <v>1</v>
      </c>
      <c r="I120">
        <v>0</v>
      </c>
      <c r="J120">
        <v>1</v>
      </c>
      <c r="K120" s="1">
        <v>41592</v>
      </c>
      <c r="L120">
        <v>37</v>
      </c>
      <c r="M120" t="str">
        <f t="shared" si="4"/>
        <v>Active</v>
      </c>
      <c r="N120">
        <v>0</v>
      </c>
      <c r="O120">
        <v>1</v>
      </c>
      <c r="P120">
        <v>6</v>
      </c>
      <c r="Q120">
        <v>7</v>
      </c>
      <c r="R120">
        <v>11</v>
      </c>
      <c r="S120">
        <v>5</v>
      </c>
      <c r="T120">
        <v>3</v>
      </c>
      <c r="U120">
        <v>33</v>
      </c>
      <c r="V120">
        <v>2</v>
      </c>
      <c r="W120">
        <v>2</v>
      </c>
      <c r="X120">
        <v>0</v>
      </c>
      <c r="Y120">
        <v>3</v>
      </c>
      <c r="Z120">
        <v>5</v>
      </c>
      <c r="AA120">
        <v>6</v>
      </c>
      <c r="AB120" t="str">
        <f t="shared" si="5"/>
        <v>Below average customer</v>
      </c>
    </row>
    <row r="121" spans="1:28" x14ac:dyDescent="0.35">
      <c r="A121">
        <v>9805</v>
      </c>
      <c r="B121">
        <v>1953</v>
      </c>
      <c r="C121" t="s">
        <v>25</v>
      </c>
      <c r="D121" t="s">
        <v>34</v>
      </c>
      <c r="E121" t="s">
        <v>29</v>
      </c>
      <c r="F121">
        <v>56129</v>
      </c>
      <c r="G121" t="str">
        <f t="shared" si="3"/>
        <v>Mid-high</v>
      </c>
      <c r="H121">
        <v>0</v>
      </c>
      <c r="I121">
        <v>1</v>
      </c>
      <c r="J121">
        <v>1</v>
      </c>
      <c r="K121" s="1">
        <v>41445</v>
      </c>
      <c r="L121">
        <v>65</v>
      </c>
      <c r="M121" t="str">
        <f t="shared" si="4"/>
        <v>Inactive</v>
      </c>
      <c r="N121">
        <v>0</v>
      </c>
      <c r="O121">
        <v>320</v>
      </c>
      <c r="P121">
        <v>48</v>
      </c>
      <c r="Q121">
        <v>133</v>
      </c>
      <c r="R121">
        <v>39</v>
      </c>
      <c r="S121">
        <v>72</v>
      </c>
      <c r="T121">
        <v>48</v>
      </c>
      <c r="U121">
        <v>660</v>
      </c>
      <c r="V121">
        <v>4</v>
      </c>
      <c r="W121">
        <v>6</v>
      </c>
      <c r="X121">
        <v>2</v>
      </c>
      <c r="Y121">
        <v>10</v>
      </c>
      <c r="Z121">
        <v>18</v>
      </c>
      <c r="AA121">
        <v>4</v>
      </c>
      <c r="AB121" t="str">
        <f t="shared" si="5"/>
        <v>Below average customer</v>
      </c>
    </row>
    <row r="122" spans="1:28" x14ac:dyDescent="0.35">
      <c r="A122">
        <v>6205</v>
      </c>
      <c r="B122">
        <v>1967</v>
      </c>
      <c r="C122" t="s">
        <v>28</v>
      </c>
      <c r="D122" t="s">
        <v>34</v>
      </c>
      <c r="E122" t="s">
        <v>27</v>
      </c>
      <c r="F122">
        <v>32557</v>
      </c>
      <c r="G122" t="str">
        <f t="shared" si="3"/>
        <v>Low</v>
      </c>
      <c r="H122">
        <v>1</v>
      </c>
      <c r="I122">
        <v>0</v>
      </c>
      <c r="J122">
        <v>1</v>
      </c>
      <c r="K122" s="1">
        <v>41694</v>
      </c>
      <c r="L122">
        <v>13</v>
      </c>
      <c r="M122" t="str">
        <f t="shared" si="4"/>
        <v>Active</v>
      </c>
      <c r="N122">
        <v>0</v>
      </c>
      <c r="O122">
        <v>34</v>
      </c>
      <c r="P122">
        <v>3</v>
      </c>
      <c r="Q122">
        <v>29</v>
      </c>
      <c r="R122">
        <v>0</v>
      </c>
      <c r="S122">
        <v>4</v>
      </c>
      <c r="T122">
        <v>10</v>
      </c>
      <c r="U122">
        <v>80</v>
      </c>
      <c r="V122">
        <v>3</v>
      </c>
      <c r="W122">
        <v>2</v>
      </c>
      <c r="X122">
        <v>1</v>
      </c>
      <c r="Y122">
        <v>3</v>
      </c>
      <c r="Z122">
        <v>6</v>
      </c>
      <c r="AA122">
        <v>5</v>
      </c>
      <c r="AB122" t="str">
        <f t="shared" si="5"/>
        <v>Below average customer</v>
      </c>
    </row>
    <row r="123" spans="1:28" x14ac:dyDescent="0.35">
      <c r="A123">
        <v>8442</v>
      </c>
      <c r="B123">
        <v>1985</v>
      </c>
      <c r="C123" t="s">
        <v>30</v>
      </c>
      <c r="D123" t="s">
        <v>34</v>
      </c>
      <c r="E123" t="s">
        <v>33</v>
      </c>
      <c r="F123">
        <v>19510</v>
      </c>
      <c r="G123" t="str">
        <f t="shared" si="3"/>
        <v>Low</v>
      </c>
      <c r="H123">
        <v>2</v>
      </c>
      <c r="I123">
        <v>0</v>
      </c>
      <c r="J123">
        <v>2</v>
      </c>
      <c r="K123" s="1">
        <v>41521</v>
      </c>
      <c r="L123">
        <v>63</v>
      </c>
      <c r="M123" t="str">
        <f t="shared" si="4"/>
        <v>Inactive</v>
      </c>
      <c r="N123">
        <v>0</v>
      </c>
      <c r="O123">
        <v>9</v>
      </c>
      <c r="P123">
        <v>0</v>
      </c>
      <c r="Q123">
        <v>7</v>
      </c>
      <c r="R123">
        <v>3</v>
      </c>
      <c r="S123">
        <v>4</v>
      </c>
      <c r="T123">
        <v>7</v>
      </c>
      <c r="U123">
        <v>30</v>
      </c>
      <c r="V123">
        <v>2</v>
      </c>
      <c r="W123">
        <v>1</v>
      </c>
      <c r="X123">
        <v>0</v>
      </c>
      <c r="Y123">
        <v>3</v>
      </c>
      <c r="Z123">
        <v>4</v>
      </c>
      <c r="AA123">
        <v>7</v>
      </c>
      <c r="AB123" t="str">
        <f t="shared" si="5"/>
        <v>Below average customer</v>
      </c>
    </row>
    <row r="124" spans="1:28" x14ac:dyDescent="0.35">
      <c r="A124">
        <v>7386</v>
      </c>
      <c r="B124">
        <v>1976</v>
      </c>
      <c r="C124" t="s">
        <v>31</v>
      </c>
      <c r="D124" t="s">
        <v>26</v>
      </c>
      <c r="E124" t="s">
        <v>35</v>
      </c>
      <c r="F124">
        <v>30992</v>
      </c>
      <c r="G124" t="str">
        <f t="shared" si="3"/>
        <v>Low</v>
      </c>
      <c r="H124">
        <v>1</v>
      </c>
      <c r="I124">
        <v>0</v>
      </c>
      <c r="J124">
        <v>1</v>
      </c>
      <c r="K124" s="1">
        <v>41386</v>
      </c>
      <c r="L124">
        <v>83</v>
      </c>
      <c r="M124" t="str">
        <f t="shared" si="4"/>
        <v>Inactive</v>
      </c>
      <c r="N124">
        <v>0</v>
      </c>
      <c r="O124">
        <v>17</v>
      </c>
      <c r="P124">
        <v>0</v>
      </c>
      <c r="Q124">
        <v>14</v>
      </c>
      <c r="R124">
        <v>7</v>
      </c>
      <c r="S124">
        <v>3</v>
      </c>
      <c r="T124">
        <v>2</v>
      </c>
      <c r="U124">
        <v>43</v>
      </c>
      <c r="V124">
        <v>1</v>
      </c>
      <c r="W124">
        <v>1</v>
      </c>
      <c r="X124">
        <v>0</v>
      </c>
      <c r="Y124">
        <v>3</v>
      </c>
      <c r="Z124">
        <v>4</v>
      </c>
      <c r="AA124">
        <v>7</v>
      </c>
      <c r="AB124" t="str">
        <f t="shared" si="5"/>
        <v>Below average customer</v>
      </c>
    </row>
    <row r="125" spans="1:28" x14ac:dyDescent="0.35">
      <c r="A125">
        <v>7215</v>
      </c>
      <c r="B125">
        <v>1983</v>
      </c>
      <c r="C125" t="s">
        <v>30</v>
      </c>
      <c r="D125" t="s">
        <v>26</v>
      </c>
      <c r="E125" t="s">
        <v>27</v>
      </c>
      <c r="F125">
        <v>101970</v>
      </c>
      <c r="G125" t="str">
        <f t="shared" si="3"/>
        <v>High</v>
      </c>
      <c r="H125">
        <v>0</v>
      </c>
      <c r="I125">
        <v>0</v>
      </c>
      <c r="J125">
        <v>0</v>
      </c>
      <c r="K125" s="1">
        <v>41345</v>
      </c>
      <c r="L125">
        <v>69</v>
      </c>
      <c r="M125" t="str">
        <f t="shared" si="4"/>
        <v>Inactive</v>
      </c>
      <c r="N125">
        <v>0</v>
      </c>
      <c r="O125">
        <v>722</v>
      </c>
      <c r="P125">
        <v>27</v>
      </c>
      <c r="Q125">
        <v>102</v>
      </c>
      <c r="R125">
        <v>44</v>
      </c>
      <c r="S125">
        <v>72</v>
      </c>
      <c r="T125">
        <v>168</v>
      </c>
      <c r="U125">
        <v>1135</v>
      </c>
      <c r="V125">
        <v>0</v>
      </c>
      <c r="W125">
        <v>6</v>
      </c>
      <c r="X125">
        <v>8</v>
      </c>
      <c r="Y125">
        <v>13</v>
      </c>
      <c r="Z125">
        <v>27</v>
      </c>
      <c r="AA125">
        <v>2</v>
      </c>
      <c r="AB125" t="str">
        <f t="shared" si="5"/>
        <v>Below average customer</v>
      </c>
    </row>
    <row r="126" spans="1:28" x14ac:dyDescent="0.35">
      <c r="A126">
        <v>1491</v>
      </c>
      <c r="B126">
        <v>1965</v>
      </c>
      <c r="C126" t="s">
        <v>28</v>
      </c>
      <c r="D126" t="s">
        <v>34</v>
      </c>
      <c r="E126" t="s">
        <v>29</v>
      </c>
      <c r="F126">
        <v>71488</v>
      </c>
      <c r="G126" t="str">
        <f t="shared" si="3"/>
        <v>High</v>
      </c>
      <c r="H126">
        <v>0</v>
      </c>
      <c r="I126">
        <v>0</v>
      </c>
      <c r="J126">
        <v>0</v>
      </c>
      <c r="K126" s="1">
        <v>41323</v>
      </c>
      <c r="L126">
        <v>87</v>
      </c>
      <c r="M126" t="str">
        <f t="shared" si="4"/>
        <v>Inactive</v>
      </c>
      <c r="N126">
        <v>0</v>
      </c>
      <c r="O126">
        <v>162</v>
      </c>
      <c r="P126">
        <v>33</v>
      </c>
      <c r="Q126">
        <v>124</v>
      </c>
      <c r="R126">
        <v>40</v>
      </c>
      <c r="S126">
        <v>28</v>
      </c>
      <c r="T126">
        <v>172</v>
      </c>
      <c r="U126">
        <v>559</v>
      </c>
      <c r="V126">
        <v>2</v>
      </c>
      <c r="W126">
        <v>3</v>
      </c>
      <c r="X126">
        <v>4</v>
      </c>
      <c r="Y126">
        <v>7</v>
      </c>
      <c r="Z126">
        <v>14</v>
      </c>
      <c r="AA126">
        <v>1</v>
      </c>
      <c r="AB126" t="str">
        <f t="shared" si="5"/>
        <v>Below average customer</v>
      </c>
    </row>
    <row r="127" spans="1:28" x14ac:dyDescent="0.35">
      <c r="A127">
        <v>11071</v>
      </c>
      <c r="B127">
        <v>1984</v>
      </c>
      <c r="C127" t="s">
        <v>30</v>
      </c>
      <c r="D127" t="s">
        <v>26</v>
      </c>
      <c r="E127" t="s">
        <v>27</v>
      </c>
      <c r="F127">
        <v>79607</v>
      </c>
      <c r="G127" t="str">
        <f t="shared" si="3"/>
        <v>High</v>
      </c>
      <c r="H127">
        <v>0</v>
      </c>
      <c r="I127">
        <v>0</v>
      </c>
      <c r="J127">
        <v>0</v>
      </c>
      <c r="K127" s="1">
        <v>41385</v>
      </c>
      <c r="L127">
        <v>37</v>
      </c>
      <c r="M127" t="str">
        <f t="shared" si="4"/>
        <v>Active</v>
      </c>
      <c r="N127">
        <v>0</v>
      </c>
      <c r="O127">
        <v>450</v>
      </c>
      <c r="P127">
        <v>133</v>
      </c>
      <c r="Q127">
        <v>951</v>
      </c>
      <c r="R127">
        <v>173</v>
      </c>
      <c r="S127">
        <v>0</v>
      </c>
      <c r="T127">
        <v>216</v>
      </c>
      <c r="U127">
        <v>1923</v>
      </c>
      <c r="V127">
        <v>1</v>
      </c>
      <c r="W127">
        <v>3</v>
      </c>
      <c r="X127">
        <v>6</v>
      </c>
      <c r="Y127">
        <v>6</v>
      </c>
      <c r="Z127">
        <v>15</v>
      </c>
      <c r="AA127">
        <v>1</v>
      </c>
      <c r="AB127" t="str">
        <f t="shared" si="5"/>
        <v>Above average customer</v>
      </c>
    </row>
    <row r="128" spans="1:28" x14ac:dyDescent="0.35">
      <c r="A128">
        <v>3381</v>
      </c>
      <c r="B128">
        <v>1953</v>
      </c>
      <c r="C128" t="s">
        <v>25</v>
      </c>
      <c r="D128" t="s">
        <v>34</v>
      </c>
      <c r="E128" t="s">
        <v>33</v>
      </c>
      <c r="F128">
        <v>54348</v>
      </c>
      <c r="G128" t="str">
        <f t="shared" si="3"/>
        <v>Mid-high</v>
      </c>
      <c r="H128">
        <v>1</v>
      </c>
      <c r="I128">
        <v>1</v>
      </c>
      <c r="J128">
        <v>2</v>
      </c>
      <c r="K128" s="1">
        <v>41798</v>
      </c>
      <c r="L128">
        <v>51</v>
      </c>
      <c r="M128" t="str">
        <f t="shared" si="4"/>
        <v>Inactive</v>
      </c>
      <c r="N128">
        <v>0</v>
      </c>
      <c r="O128">
        <v>70</v>
      </c>
      <c r="P128">
        <v>0</v>
      </c>
      <c r="Q128">
        <v>16</v>
      </c>
      <c r="R128">
        <v>0</v>
      </c>
      <c r="S128">
        <v>0</v>
      </c>
      <c r="T128">
        <v>4</v>
      </c>
      <c r="U128">
        <v>90</v>
      </c>
      <c r="V128">
        <v>2</v>
      </c>
      <c r="W128">
        <v>2</v>
      </c>
      <c r="X128">
        <v>0</v>
      </c>
      <c r="Y128">
        <v>4</v>
      </c>
      <c r="Z128">
        <v>6</v>
      </c>
      <c r="AA128">
        <v>6</v>
      </c>
      <c r="AB128" t="str">
        <f t="shared" si="5"/>
        <v>Below average customer</v>
      </c>
    </row>
    <row r="129" spans="1:28" x14ac:dyDescent="0.35">
      <c r="A129">
        <v>8268</v>
      </c>
      <c r="B129">
        <v>1961</v>
      </c>
      <c r="C129" t="s">
        <v>25</v>
      </c>
      <c r="D129" t="s">
        <v>32</v>
      </c>
      <c r="E129" t="s">
        <v>33</v>
      </c>
      <c r="G129" t="str">
        <f t="shared" si="3"/>
        <v>Low</v>
      </c>
      <c r="H129">
        <v>0</v>
      </c>
      <c r="I129">
        <v>1</v>
      </c>
      <c r="J129">
        <v>1</v>
      </c>
      <c r="K129" s="1">
        <v>41466</v>
      </c>
      <c r="L129">
        <v>23</v>
      </c>
      <c r="M129" t="str">
        <f t="shared" si="4"/>
        <v>Active</v>
      </c>
      <c r="N129">
        <v>0</v>
      </c>
      <c r="O129">
        <v>352</v>
      </c>
      <c r="P129">
        <v>0</v>
      </c>
      <c r="Q129">
        <v>27</v>
      </c>
      <c r="R129">
        <v>10</v>
      </c>
      <c r="S129">
        <v>0</v>
      </c>
      <c r="T129">
        <v>15</v>
      </c>
      <c r="U129">
        <v>404</v>
      </c>
      <c r="V129">
        <v>3</v>
      </c>
      <c r="W129">
        <v>6</v>
      </c>
      <c r="X129">
        <v>1</v>
      </c>
      <c r="Y129">
        <v>7</v>
      </c>
      <c r="Z129">
        <v>14</v>
      </c>
      <c r="AA129">
        <v>6</v>
      </c>
      <c r="AB129" t="str">
        <f t="shared" si="5"/>
        <v>Below average customer</v>
      </c>
    </row>
    <row r="130" spans="1:28" x14ac:dyDescent="0.35">
      <c r="A130">
        <v>11051</v>
      </c>
      <c r="B130">
        <v>1956</v>
      </c>
      <c r="C130" t="s">
        <v>25</v>
      </c>
      <c r="D130" t="s">
        <v>32</v>
      </c>
      <c r="E130" t="s">
        <v>29</v>
      </c>
      <c r="F130">
        <v>77376</v>
      </c>
      <c r="G130" t="str">
        <f t="shared" ref="G130:G193" si="6">IF(F130&lt;=_xlfn.PERCENTILE.INC($F$2:$F$2056,0.25),"Low",IF(F130&lt;=_xlfn.PERCENTILE.INC($F$2:$F$2056,0.5),"Mid-low",IF(F130&lt;=_xlfn.PERCENTILE.INC($F$2:$F$2056,0.75),"Mid-high","High")))</f>
        <v>High</v>
      </c>
      <c r="H130">
        <v>1</v>
      </c>
      <c r="I130">
        <v>1</v>
      </c>
      <c r="J130">
        <v>2</v>
      </c>
      <c r="K130" s="1">
        <v>41769</v>
      </c>
      <c r="L130">
        <v>72</v>
      </c>
      <c r="M130" t="str">
        <f t="shared" ref="M130:M193" si="7">IF(L130&gt;AVERAGE($L$2:$L$2056),"Inactive","Active")</f>
        <v>Inactive</v>
      </c>
      <c r="N130">
        <v>0</v>
      </c>
      <c r="O130">
        <v>492</v>
      </c>
      <c r="P130">
        <v>19</v>
      </c>
      <c r="Q130">
        <v>110</v>
      </c>
      <c r="R130">
        <v>16</v>
      </c>
      <c r="S130">
        <v>12</v>
      </c>
      <c r="T130">
        <v>12</v>
      </c>
      <c r="U130">
        <v>661</v>
      </c>
      <c r="V130">
        <v>4</v>
      </c>
      <c r="W130">
        <v>6</v>
      </c>
      <c r="X130">
        <v>3</v>
      </c>
      <c r="Y130">
        <v>10</v>
      </c>
      <c r="Z130">
        <v>19</v>
      </c>
      <c r="AA130">
        <v>4</v>
      </c>
      <c r="AB130" t="str">
        <f t="shared" ref="AB130:AB193" si="8">IF(AND(Z130&gt;AVERAGE($Z$2:$Z$2056),U130&gt;AVERAGE($U$2:$U$2056),N130=0,L130&lt;AVERAGE($L$2:$L$2056),F130&gt;AVERAGE($F$2:$F$2240)),"Above average customer","Below average customer")</f>
        <v>Below average customer</v>
      </c>
    </row>
    <row r="131" spans="1:28" x14ac:dyDescent="0.35">
      <c r="A131">
        <v>8026</v>
      </c>
      <c r="B131">
        <v>1952</v>
      </c>
      <c r="C131" t="s">
        <v>36</v>
      </c>
      <c r="D131" t="s">
        <v>26</v>
      </c>
      <c r="E131" t="s">
        <v>33</v>
      </c>
      <c r="F131">
        <v>62998</v>
      </c>
      <c r="G131" t="str">
        <f t="shared" si="6"/>
        <v>Mid-high</v>
      </c>
      <c r="H131">
        <v>0</v>
      </c>
      <c r="I131">
        <v>1</v>
      </c>
      <c r="J131">
        <v>1</v>
      </c>
      <c r="K131" s="1">
        <v>41547</v>
      </c>
      <c r="L131">
        <v>10</v>
      </c>
      <c r="M131" t="str">
        <f t="shared" si="7"/>
        <v>Active</v>
      </c>
      <c r="N131">
        <v>0</v>
      </c>
      <c r="O131">
        <v>120</v>
      </c>
      <c r="P131">
        <v>58</v>
      </c>
      <c r="Q131">
        <v>73</v>
      </c>
      <c r="R131">
        <v>65</v>
      </c>
      <c r="S131">
        <v>89</v>
      </c>
      <c r="T131">
        <v>58</v>
      </c>
      <c r="U131">
        <v>463</v>
      </c>
      <c r="V131">
        <v>5</v>
      </c>
      <c r="W131">
        <v>5</v>
      </c>
      <c r="X131">
        <v>4</v>
      </c>
      <c r="Y131">
        <v>5</v>
      </c>
      <c r="Z131">
        <v>14</v>
      </c>
      <c r="AA131">
        <v>5</v>
      </c>
      <c r="AB131" t="str">
        <f t="shared" si="8"/>
        <v>Below average customer</v>
      </c>
    </row>
    <row r="132" spans="1:28" x14ac:dyDescent="0.35">
      <c r="A132">
        <v>433</v>
      </c>
      <c r="B132">
        <v>1958</v>
      </c>
      <c r="C132" t="s">
        <v>25</v>
      </c>
      <c r="D132" t="s">
        <v>34</v>
      </c>
      <c r="E132" t="s">
        <v>27</v>
      </c>
      <c r="F132">
        <v>61331</v>
      </c>
      <c r="G132" t="str">
        <f t="shared" si="6"/>
        <v>Mid-high</v>
      </c>
      <c r="H132">
        <v>1</v>
      </c>
      <c r="I132">
        <v>1</v>
      </c>
      <c r="J132">
        <v>2</v>
      </c>
      <c r="K132" s="1">
        <v>41343</v>
      </c>
      <c r="L132">
        <v>42</v>
      </c>
      <c r="M132" t="str">
        <f t="shared" si="7"/>
        <v>Active</v>
      </c>
      <c r="N132">
        <v>0</v>
      </c>
      <c r="O132">
        <v>534</v>
      </c>
      <c r="P132">
        <v>5</v>
      </c>
      <c r="Q132">
        <v>47</v>
      </c>
      <c r="R132">
        <v>0</v>
      </c>
      <c r="S132">
        <v>5</v>
      </c>
      <c r="T132">
        <v>41</v>
      </c>
      <c r="U132">
        <v>632</v>
      </c>
      <c r="V132">
        <v>5</v>
      </c>
      <c r="W132">
        <v>11</v>
      </c>
      <c r="X132">
        <v>1</v>
      </c>
      <c r="Y132">
        <v>6</v>
      </c>
      <c r="Z132">
        <v>18</v>
      </c>
      <c r="AA132">
        <v>8</v>
      </c>
      <c r="AB132" t="str">
        <f t="shared" si="8"/>
        <v>Above average customer</v>
      </c>
    </row>
    <row r="133" spans="1:28" x14ac:dyDescent="0.35">
      <c r="A133">
        <v>9597</v>
      </c>
      <c r="B133">
        <v>1969</v>
      </c>
      <c r="C133" t="s">
        <v>28</v>
      </c>
      <c r="D133" t="s">
        <v>26</v>
      </c>
      <c r="E133" t="s">
        <v>33</v>
      </c>
      <c r="F133">
        <v>73448</v>
      </c>
      <c r="G133" t="str">
        <f t="shared" si="6"/>
        <v>High</v>
      </c>
      <c r="H133">
        <v>0</v>
      </c>
      <c r="I133">
        <v>0</v>
      </c>
      <c r="J133">
        <v>0</v>
      </c>
      <c r="K133" s="1">
        <v>41680</v>
      </c>
      <c r="L133">
        <v>10</v>
      </c>
      <c r="M133" t="str">
        <f t="shared" si="7"/>
        <v>Active</v>
      </c>
      <c r="N133">
        <v>0</v>
      </c>
      <c r="O133">
        <v>236</v>
      </c>
      <c r="P133">
        <v>106</v>
      </c>
      <c r="Q133">
        <v>189</v>
      </c>
      <c r="R133">
        <v>23</v>
      </c>
      <c r="S133">
        <v>41</v>
      </c>
      <c r="T133">
        <v>130</v>
      </c>
      <c r="U133">
        <v>725</v>
      </c>
      <c r="V133">
        <v>1</v>
      </c>
      <c r="W133">
        <v>7</v>
      </c>
      <c r="X133">
        <v>2</v>
      </c>
      <c r="Y133">
        <v>9</v>
      </c>
      <c r="Z133">
        <v>18</v>
      </c>
      <c r="AA133">
        <v>4</v>
      </c>
      <c r="AB133" t="str">
        <f t="shared" si="8"/>
        <v>Above average customer</v>
      </c>
    </row>
    <row r="134" spans="1:28" x14ac:dyDescent="0.35">
      <c r="A134">
        <v>1295</v>
      </c>
      <c r="B134">
        <v>1963</v>
      </c>
      <c r="C134" t="s">
        <v>28</v>
      </c>
      <c r="D134" t="s">
        <v>26</v>
      </c>
      <c r="E134" t="s">
        <v>33</v>
      </c>
      <c r="G134" t="str">
        <f t="shared" si="6"/>
        <v>Low</v>
      </c>
      <c r="H134">
        <v>0</v>
      </c>
      <c r="I134">
        <v>1</v>
      </c>
      <c r="J134">
        <v>1</v>
      </c>
      <c r="K134" s="1">
        <v>41497</v>
      </c>
      <c r="L134">
        <v>96</v>
      </c>
      <c r="M134" t="str">
        <f t="shared" si="7"/>
        <v>Inactive</v>
      </c>
      <c r="N134">
        <v>0</v>
      </c>
      <c r="O134">
        <v>231</v>
      </c>
      <c r="P134">
        <v>65</v>
      </c>
      <c r="Q134">
        <v>196</v>
      </c>
      <c r="R134">
        <v>38</v>
      </c>
      <c r="S134">
        <v>71</v>
      </c>
      <c r="T134">
        <v>124</v>
      </c>
      <c r="U134">
        <v>725</v>
      </c>
      <c r="V134">
        <v>1</v>
      </c>
      <c r="W134">
        <v>6</v>
      </c>
      <c r="X134">
        <v>5</v>
      </c>
      <c r="Y134">
        <v>7</v>
      </c>
      <c r="Z134">
        <v>18</v>
      </c>
      <c r="AA134">
        <v>4</v>
      </c>
      <c r="AB134" t="str">
        <f t="shared" si="8"/>
        <v>Below average customer</v>
      </c>
    </row>
    <row r="135" spans="1:28" x14ac:dyDescent="0.35">
      <c r="A135">
        <v>5290</v>
      </c>
      <c r="B135">
        <v>1964</v>
      </c>
      <c r="C135" t="s">
        <v>28</v>
      </c>
      <c r="D135" t="s">
        <v>32</v>
      </c>
      <c r="E135" t="s">
        <v>33</v>
      </c>
      <c r="F135">
        <v>41551</v>
      </c>
      <c r="G135" t="str">
        <f t="shared" si="6"/>
        <v>Mid-low</v>
      </c>
      <c r="H135">
        <v>1</v>
      </c>
      <c r="I135">
        <v>1</v>
      </c>
      <c r="J135">
        <v>2</v>
      </c>
      <c r="K135" s="1">
        <v>41500</v>
      </c>
      <c r="L135">
        <v>51</v>
      </c>
      <c r="M135" t="str">
        <f t="shared" si="7"/>
        <v>Inactive</v>
      </c>
      <c r="N135">
        <v>0</v>
      </c>
      <c r="O135">
        <v>220</v>
      </c>
      <c r="P135">
        <v>0</v>
      </c>
      <c r="Q135">
        <v>33</v>
      </c>
      <c r="R135">
        <v>3</v>
      </c>
      <c r="S135">
        <v>0</v>
      </c>
      <c r="T135">
        <v>23</v>
      </c>
      <c r="U135">
        <v>279</v>
      </c>
      <c r="V135">
        <v>5</v>
      </c>
      <c r="W135">
        <v>5</v>
      </c>
      <c r="X135">
        <v>1</v>
      </c>
      <c r="Y135">
        <v>5</v>
      </c>
      <c r="Z135">
        <v>11</v>
      </c>
      <c r="AA135">
        <v>8</v>
      </c>
      <c r="AB135" t="str">
        <f t="shared" si="8"/>
        <v>Below average customer</v>
      </c>
    </row>
    <row r="136" spans="1:28" x14ac:dyDescent="0.35">
      <c r="A136">
        <v>1685</v>
      </c>
      <c r="B136">
        <v>1967</v>
      </c>
      <c r="C136" t="s">
        <v>28</v>
      </c>
      <c r="D136" t="s">
        <v>32</v>
      </c>
      <c r="E136" t="s">
        <v>29</v>
      </c>
      <c r="F136">
        <v>62981</v>
      </c>
      <c r="G136" t="str">
        <f t="shared" si="6"/>
        <v>Mid-high</v>
      </c>
      <c r="H136">
        <v>0</v>
      </c>
      <c r="I136">
        <v>0</v>
      </c>
      <c r="J136">
        <v>0</v>
      </c>
      <c r="K136" s="1">
        <v>41350</v>
      </c>
      <c r="L136">
        <v>21</v>
      </c>
      <c r="M136" t="str">
        <f t="shared" si="7"/>
        <v>Active</v>
      </c>
      <c r="N136">
        <v>0</v>
      </c>
      <c r="O136">
        <v>796</v>
      </c>
      <c r="P136">
        <v>14</v>
      </c>
      <c r="Q136">
        <v>590</v>
      </c>
      <c r="R136">
        <v>38</v>
      </c>
      <c r="S136">
        <v>44</v>
      </c>
      <c r="T136">
        <v>0</v>
      </c>
      <c r="U136">
        <v>1482</v>
      </c>
      <c r="V136">
        <v>1</v>
      </c>
      <c r="W136">
        <v>4</v>
      </c>
      <c r="X136">
        <v>5</v>
      </c>
      <c r="Y136">
        <v>13</v>
      </c>
      <c r="Z136">
        <v>22</v>
      </c>
      <c r="AA136">
        <v>3</v>
      </c>
      <c r="AB136" t="str">
        <f t="shared" si="8"/>
        <v>Above average customer</v>
      </c>
    </row>
    <row r="137" spans="1:28" x14ac:dyDescent="0.35">
      <c r="A137">
        <v>5342</v>
      </c>
      <c r="B137">
        <v>1976</v>
      </c>
      <c r="C137" t="s">
        <v>31</v>
      </c>
      <c r="D137" t="s">
        <v>37</v>
      </c>
      <c r="E137" t="s">
        <v>35</v>
      </c>
      <c r="F137">
        <v>9548</v>
      </c>
      <c r="G137" t="str">
        <f t="shared" si="6"/>
        <v>Low</v>
      </c>
      <c r="H137">
        <v>1</v>
      </c>
      <c r="I137">
        <v>0</v>
      </c>
      <c r="J137">
        <v>1</v>
      </c>
      <c r="K137" s="1">
        <v>41129</v>
      </c>
      <c r="L137">
        <v>31</v>
      </c>
      <c r="M137" t="str">
        <f t="shared" si="7"/>
        <v>Active</v>
      </c>
      <c r="N137">
        <v>0</v>
      </c>
      <c r="O137">
        <v>0</v>
      </c>
      <c r="P137">
        <v>1</v>
      </c>
      <c r="Q137">
        <v>3</v>
      </c>
      <c r="R137">
        <v>10</v>
      </c>
      <c r="S137">
        <v>6</v>
      </c>
      <c r="T137">
        <v>9</v>
      </c>
      <c r="U137">
        <v>29</v>
      </c>
      <c r="V137">
        <v>2</v>
      </c>
      <c r="W137">
        <v>1</v>
      </c>
      <c r="X137">
        <v>0</v>
      </c>
      <c r="Y137">
        <v>3</v>
      </c>
      <c r="Z137">
        <v>4</v>
      </c>
      <c r="AA137">
        <v>8</v>
      </c>
      <c r="AB137" t="str">
        <f t="shared" si="8"/>
        <v>Below average customer</v>
      </c>
    </row>
    <row r="138" spans="1:28" x14ac:dyDescent="0.35">
      <c r="A138">
        <v>9579</v>
      </c>
      <c r="B138">
        <v>1959</v>
      </c>
      <c r="C138" t="s">
        <v>25</v>
      </c>
      <c r="D138" t="s">
        <v>32</v>
      </c>
      <c r="E138" t="s">
        <v>33</v>
      </c>
      <c r="F138">
        <v>33762</v>
      </c>
      <c r="G138" t="str">
        <f t="shared" si="6"/>
        <v>Low</v>
      </c>
      <c r="H138">
        <v>2</v>
      </c>
      <c r="I138">
        <v>1</v>
      </c>
      <c r="J138">
        <v>3</v>
      </c>
      <c r="K138" s="1">
        <v>41462</v>
      </c>
      <c r="L138">
        <v>61</v>
      </c>
      <c r="M138" t="str">
        <f t="shared" si="7"/>
        <v>Inactive</v>
      </c>
      <c r="N138">
        <v>0</v>
      </c>
      <c r="O138">
        <v>53</v>
      </c>
      <c r="P138">
        <v>1</v>
      </c>
      <c r="Q138">
        <v>34</v>
      </c>
      <c r="R138">
        <v>2</v>
      </c>
      <c r="S138">
        <v>0</v>
      </c>
      <c r="T138">
        <v>16</v>
      </c>
      <c r="U138">
        <v>106</v>
      </c>
      <c r="V138">
        <v>3</v>
      </c>
      <c r="W138">
        <v>2</v>
      </c>
      <c r="X138">
        <v>2</v>
      </c>
      <c r="Y138">
        <v>2</v>
      </c>
      <c r="Z138">
        <v>6</v>
      </c>
      <c r="AA138">
        <v>8</v>
      </c>
      <c r="AB138" t="str">
        <f t="shared" si="8"/>
        <v>Below average customer</v>
      </c>
    </row>
    <row r="139" spans="1:28" x14ac:dyDescent="0.35">
      <c r="A139">
        <v>7660</v>
      </c>
      <c r="B139">
        <v>1973</v>
      </c>
      <c r="C139" t="s">
        <v>31</v>
      </c>
      <c r="D139" t="s">
        <v>32</v>
      </c>
      <c r="E139" t="s">
        <v>27</v>
      </c>
      <c r="F139">
        <v>35860</v>
      </c>
      <c r="G139" t="str">
        <f t="shared" si="6"/>
        <v>Mid-low</v>
      </c>
      <c r="H139">
        <v>1</v>
      </c>
      <c r="I139">
        <v>1</v>
      </c>
      <c r="J139">
        <v>2</v>
      </c>
      <c r="K139" s="1">
        <v>41778</v>
      </c>
      <c r="L139">
        <v>37</v>
      </c>
      <c r="M139" t="str">
        <f t="shared" si="7"/>
        <v>Active</v>
      </c>
      <c r="N139">
        <v>0</v>
      </c>
      <c r="O139">
        <v>15</v>
      </c>
      <c r="P139">
        <v>0</v>
      </c>
      <c r="Q139">
        <v>8</v>
      </c>
      <c r="R139">
        <v>4</v>
      </c>
      <c r="S139">
        <v>2</v>
      </c>
      <c r="T139">
        <v>20</v>
      </c>
      <c r="U139">
        <v>49</v>
      </c>
      <c r="V139">
        <v>2</v>
      </c>
      <c r="W139">
        <v>1</v>
      </c>
      <c r="X139">
        <v>1</v>
      </c>
      <c r="Y139">
        <v>2</v>
      </c>
      <c r="Z139">
        <v>4</v>
      </c>
      <c r="AA139">
        <v>5</v>
      </c>
      <c r="AB139" t="str">
        <f t="shared" si="8"/>
        <v>Below average customer</v>
      </c>
    </row>
    <row r="140" spans="1:28" x14ac:dyDescent="0.35">
      <c r="A140">
        <v>1461</v>
      </c>
      <c r="B140">
        <v>1965</v>
      </c>
      <c r="C140" t="s">
        <v>28</v>
      </c>
      <c r="D140" t="s">
        <v>32</v>
      </c>
      <c r="E140" t="s">
        <v>35</v>
      </c>
      <c r="F140">
        <v>36921</v>
      </c>
      <c r="G140" t="str">
        <f t="shared" si="6"/>
        <v>Mid-low</v>
      </c>
      <c r="H140">
        <v>1</v>
      </c>
      <c r="I140">
        <v>1</v>
      </c>
      <c r="J140">
        <v>2</v>
      </c>
      <c r="K140" s="1">
        <v>41483</v>
      </c>
      <c r="L140">
        <v>74</v>
      </c>
      <c r="M140" t="str">
        <f t="shared" si="7"/>
        <v>Inactive</v>
      </c>
      <c r="N140">
        <v>0</v>
      </c>
      <c r="O140">
        <v>17</v>
      </c>
      <c r="P140">
        <v>1</v>
      </c>
      <c r="Q140">
        <v>12</v>
      </c>
      <c r="R140">
        <v>3</v>
      </c>
      <c r="S140">
        <v>1</v>
      </c>
      <c r="T140">
        <v>4</v>
      </c>
      <c r="U140">
        <v>38</v>
      </c>
      <c r="V140">
        <v>2</v>
      </c>
      <c r="W140">
        <v>2</v>
      </c>
      <c r="X140">
        <v>0</v>
      </c>
      <c r="Y140">
        <v>3</v>
      </c>
      <c r="Z140">
        <v>5</v>
      </c>
      <c r="AA140">
        <v>7</v>
      </c>
      <c r="AB140" t="str">
        <f t="shared" si="8"/>
        <v>Below average customer</v>
      </c>
    </row>
    <row r="141" spans="1:28" x14ac:dyDescent="0.35">
      <c r="A141">
        <v>821</v>
      </c>
      <c r="B141">
        <v>1992</v>
      </c>
      <c r="C141" t="s">
        <v>30</v>
      </c>
      <c r="D141" t="s">
        <v>34</v>
      </c>
      <c r="E141" t="s">
        <v>27</v>
      </c>
      <c r="F141">
        <v>92859</v>
      </c>
      <c r="G141" t="str">
        <f t="shared" si="6"/>
        <v>High</v>
      </c>
      <c r="H141">
        <v>0</v>
      </c>
      <c r="I141">
        <v>0</v>
      </c>
      <c r="J141">
        <v>0</v>
      </c>
      <c r="K141" s="1">
        <v>41201</v>
      </c>
      <c r="L141">
        <v>46</v>
      </c>
      <c r="M141" t="str">
        <f t="shared" si="7"/>
        <v>Active</v>
      </c>
      <c r="N141">
        <v>0</v>
      </c>
      <c r="O141">
        <v>962</v>
      </c>
      <c r="P141">
        <v>61</v>
      </c>
      <c r="Q141">
        <v>921</v>
      </c>
      <c r="R141">
        <v>52</v>
      </c>
      <c r="S141">
        <v>61</v>
      </c>
      <c r="T141">
        <v>20</v>
      </c>
      <c r="U141">
        <v>2077</v>
      </c>
      <c r="V141">
        <v>1</v>
      </c>
      <c r="W141">
        <v>5</v>
      </c>
      <c r="X141">
        <v>4</v>
      </c>
      <c r="Y141">
        <v>12</v>
      </c>
      <c r="Z141">
        <v>21</v>
      </c>
      <c r="AA141">
        <v>2</v>
      </c>
      <c r="AB141" t="str">
        <f t="shared" si="8"/>
        <v>Above average customer</v>
      </c>
    </row>
    <row r="142" spans="1:28" x14ac:dyDescent="0.35">
      <c r="A142">
        <v>11084</v>
      </c>
      <c r="B142">
        <v>1976</v>
      </c>
      <c r="C142" t="s">
        <v>31</v>
      </c>
      <c r="D142" t="s">
        <v>34</v>
      </c>
      <c r="E142" t="s">
        <v>29</v>
      </c>
      <c r="F142">
        <v>65104</v>
      </c>
      <c r="G142" t="str">
        <f t="shared" si="6"/>
        <v>Mid-high</v>
      </c>
      <c r="H142">
        <v>0</v>
      </c>
      <c r="I142">
        <v>1</v>
      </c>
      <c r="J142">
        <v>1</v>
      </c>
      <c r="K142" s="1">
        <v>41592</v>
      </c>
      <c r="L142">
        <v>4</v>
      </c>
      <c r="M142" t="str">
        <f t="shared" si="7"/>
        <v>Active</v>
      </c>
      <c r="N142">
        <v>0</v>
      </c>
      <c r="O142">
        <v>738</v>
      </c>
      <c r="P142">
        <v>0</v>
      </c>
      <c r="Q142">
        <v>232</v>
      </c>
      <c r="R142">
        <v>13</v>
      </c>
      <c r="S142">
        <v>20</v>
      </c>
      <c r="T142">
        <v>50</v>
      </c>
      <c r="U142">
        <v>1053</v>
      </c>
      <c r="V142">
        <v>2</v>
      </c>
      <c r="W142">
        <v>3</v>
      </c>
      <c r="X142">
        <v>5</v>
      </c>
      <c r="Y142">
        <v>7</v>
      </c>
      <c r="Z142">
        <v>15</v>
      </c>
      <c r="AA142">
        <v>7</v>
      </c>
      <c r="AB142" t="str">
        <f t="shared" si="8"/>
        <v>Above average customer</v>
      </c>
    </row>
    <row r="143" spans="1:28" x14ac:dyDescent="0.35">
      <c r="A143">
        <v>8690</v>
      </c>
      <c r="B143">
        <v>1962</v>
      </c>
      <c r="C143" t="s">
        <v>25</v>
      </c>
      <c r="D143" t="s">
        <v>26</v>
      </c>
      <c r="E143" t="s">
        <v>33</v>
      </c>
      <c r="F143">
        <v>86111</v>
      </c>
      <c r="G143" t="str">
        <f t="shared" si="6"/>
        <v>High</v>
      </c>
      <c r="H143">
        <v>0</v>
      </c>
      <c r="I143">
        <v>0</v>
      </c>
      <c r="J143">
        <v>0</v>
      </c>
      <c r="K143" s="1">
        <v>41383</v>
      </c>
      <c r="L143">
        <v>73</v>
      </c>
      <c r="M143" t="str">
        <f t="shared" si="7"/>
        <v>Inactive</v>
      </c>
      <c r="N143">
        <v>0</v>
      </c>
      <c r="O143">
        <v>399</v>
      </c>
      <c r="P143">
        <v>28</v>
      </c>
      <c r="Q143">
        <v>756</v>
      </c>
      <c r="R143">
        <v>36</v>
      </c>
      <c r="S143">
        <v>40</v>
      </c>
      <c r="T143">
        <v>126</v>
      </c>
      <c r="U143">
        <v>1385</v>
      </c>
      <c r="V143">
        <v>1</v>
      </c>
      <c r="W143">
        <v>5</v>
      </c>
      <c r="X143">
        <v>7</v>
      </c>
      <c r="Y143">
        <v>10</v>
      </c>
      <c r="Z143">
        <v>22</v>
      </c>
      <c r="AA143">
        <v>2</v>
      </c>
      <c r="AB143" t="str">
        <f t="shared" si="8"/>
        <v>Below average customer</v>
      </c>
    </row>
    <row r="144" spans="1:28" x14ac:dyDescent="0.35">
      <c r="A144">
        <v>2937</v>
      </c>
      <c r="B144">
        <v>1974</v>
      </c>
      <c r="C144" t="s">
        <v>31</v>
      </c>
      <c r="D144" t="s">
        <v>32</v>
      </c>
      <c r="E144" t="s">
        <v>27</v>
      </c>
      <c r="F144">
        <v>68352</v>
      </c>
      <c r="G144" t="str">
        <f t="shared" si="6"/>
        <v>Mid-high</v>
      </c>
      <c r="H144">
        <v>0</v>
      </c>
      <c r="I144">
        <v>1</v>
      </c>
      <c r="J144">
        <v>1</v>
      </c>
      <c r="K144" s="1">
        <v>41514</v>
      </c>
      <c r="L144">
        <v>47</v>
      </c>
      <c r="M144" t="str">
        <f t="shared" si="7"/>
        <v>Active</v>
      </c>
      <c r="N144">
        <v>0</v>
      </c>
      <c r="O144">
        <v>614</v>
      </c>
      <c r="P144">
        <v>16</v>
      </c>
      <c r="Q144">
        <v>132</v>
      </c>
      <c r="R144">
        <v>43</v>
      </c>
      <c r="S144">
        <v>33</v>
      </c>
      <c r="T144">
        <v>33</v>
      </c>
      <c r="U144">
        <v>871</v>
      </c>
      <c r="V144">
        <v>3</v>
      </c>
      <c r="W144">
        <v>8</v>
      </c>
      <c r="X144">
        <v>5</v>
      </c>
      <c r="Y144">
        <v>9</v>
      </c>
      <c r="Z144">
        <v>22</v>
      </c>
      <c r="AA144">
        <v>6</v>
      </c>
      <c r="AB144" t="str">
        <f t="shared" si="8"/>
        <v>Above average customer</v>
      </c>
    </row>
    <row r="145" spans="1:28" x14ac:dyDescent="0.35">
      <c r="A145">
        <v>9701</v>
      </c>
      <c r="B145">
        <v>1988</v>
      </c>
      <c r="C145" t="s">
        <v>30</v>
      </c>
      <c r="D145" t="s">
        <v>26</v>
      </c>
      <c r="E145" t="s">
        <v>29</v>
      </c>
      <c r="F145">
        <v>41883</v>
      </c>
      <c r="G145" t="str">
        <f t="shared" si="6"/>
        <v>Mid-low</v>
      </c>
      <c r="H145">
        <v>1</v>
      </c>
      <c r="I145">
        <v>0</v>
      </c>
      <c r="J145">
        <v>1</v>
      </c>
      <c r="K145" s="1">
        <v>41352</v>
      </c>
      <c r="L145">
        <v>13</v>
      </c>
      <c r="M145" t="str">
        <f t="shared" si="7"/>
        <v>Active</v>
      </c>
      <c r="N145">
        <v>0</v>
      </c>
      <c r="O145">
        <v>32</v>
      </c>
      <c r="P145">
        <v>34</v>
      </c>
      <c r="Q145">
        <v>41</v>
      </c>
      <c r="R145">
        <v>73</v>
      </c>
      <c r="S145">
        <v>16</v>
      </c>
      <c r="T145">
        <v>116</v>
      </c>
      <c r="U145">
        <v>312</v>
      </c>
      <c r="V145">
        <v>3</v>
      </c>
      <c r="W145">
        <v>4</v>
      </c>
      <c r="X145">
        <v>2</v>
      </c>
      <c r="Y145">
        <v>3</v>
      </c>
      <c r="Z145">
        <v>9</v>
      </c>
      <c r="AA145">
        <v>7</v>
      </c>
      <c r="AB145" t="str">
        <f t="shared" si="8"/>
        <v>Below average customer</v>
      </c>
    </row>
    <row r="146" spans="1:28" x14ac:dyDescent="0.35">
      <c r="A146">
        <v>9949</v>
      </c>
      <c r="B146">
        <v>1976</v>
      </c>
      <c r="C146" t="s">
        <v>31</v>
      </c>
      <c r="D146" t="s">
        <v>26</v>
      </c>
      <c r="E146" t="s">
        <v>33</v>
      </c>
      <c r="F146">
        <v>59809</v>
      </c>
      <c r="G146" t="str">
        <f t="shared" si="6"/>
        <v>Mid-high</v>
      </c>
      <c r="H146">
        <v>0</v>
      </c>
      <c r="I146">
        <v>2</v>
      </c>
      <c r="J146">
        <v>2</v>
      </c>
      <c r="K146" s="1">
        <v>41200</v>
      </c>
      <c r="L146">
        <v>36</v>
      </c>
      <c r="M146" t="str">
        <f t="shared" si="7"/>
        <v>Active</v>
      </c>
      <c r="N146">
        <v>0</v>
      </c>
      <c r="O146">
        <v>598</v>
      </c>
      <c r="P146">
        <v>16</v>
      </c>
      <c r="Q146">
        <v>141</v>
      </c>
      <c r="R146">
        <v>32</v>
      </c>
      <c r="S146">
        <v>41</v>
      </c>
      <c r="T146">
        <v>49</v>
      </c>
      <c r="U146">
        <v>877</v>
      </c>
      <c r="V146">
        <v>3</v>
      </c>
      <c r="W146">
        <v>3</v>
      </c>
      <c r="X146">
        <v>3</v>
      </c>
      <c r="Y146">
        <v>6</v>
      </c>
      <c r="Z146">
        <v>12</v>
      </c>
      <c r="AA146">
        <v>8</v>
      </c>
      <c r="AB146" t="str">
        <f t="shared" si="8"/>
        <v>Below average customer</v>
      </c>
    </row>
    <row r="147" spans="1:28" x14ac:dyDescent="0.35">
      <c r="A147">
        <v>10837</v>
      </c>
      <c r="B147">
        <v>1975</v>
      </c>
      <c r="C147" t="s">
        <v>31</v>
      </c>
      <c r="D147" t="s">
        <v>26</v>
      </c>
      <c r="E147" t="s">
        <v>33</v>
      </c>
      <c r="F147">
        <v>23957</v>
      </c>
      <c r="G147" t="str">
        <f t="shared" si="6"/>
        <v>Low</v>
      </c>
      <c r="H147">
        <v>1</v>
      </c>
      <c r="I147">
        <v>0</v>
      </c>
      <c r="J147">
        <v>1</v>
      </c>
      <c r="K147" s="1">
        <v>41210</v>
      </c>
      <c r="L147">
        <v>47</v>
      </c>
      <c r="M147" t="str">
        <f t="shared" si="7"/>
        <v>Active</v>
      </c>
      <c r="N147">
        <v>0</v>
      </c>
      <c r="O147">
        <v>2</v>
      </c>
      <c r="P147">
        <v>1</v>
      </c>
      <c r="Q147">
        <v>18</v>
      </c>
      <c r="R147">
        <v>20</v>
      </c>
      <c r="S147">
        <v>11</v>
      </c>
      <c r="T147">
        <v>16</v>
      </c>
      <c r="U147">
        <v>68</v>
      </c>
      <c r="V147">
        <v>1</v>
      </c>
      <c r="W147">
        <v>2</v>
      </c>
      <c r="X147">
        <v>0</v>
      </c>
      <c r="Y147">
        <v>3</v>
      </c>
      <c r="Z147">
        <v>5</v>
      </c>
      <c r="AA147">
        <v>6</v>
      </c>
      <c r="AB147" t="str">
        <f t="shared" si="8"/>
        <v>Below average customer</v>
      </c>
    </row>
    <row r="148" spans="1:28" x14ac:dyDescent="0.35">
      <c r="A148">
        <v>3120</v>
      </c>
      <c r="B148">
        <v>1981</v>
      </c>
      <c r="C148" t="s">
        <v>31</v>
      </c>
      <c r="D148" t="s">
        <v>26</v>
      </c>
      <c r="E148" t="s">
        <v>29</v>
      </c>
      <c r="F148">
        <v>38547</v>
      </c>
      <c r="G148" t="str">
        <f t="shared" si="6"/>
        <v>Mid-low</v>
      </c>
      <c r="H148">
        <v>1</v>
      </c>
      <c r="I148">
        <v>0</v>
      </c>
      <c r="J148">
        <v>1</v>
      </c>
      <c r="K148" s="1">
        <v>41514</v>
      </c>
      <c r="L148">
        <v>49</v>
      </c>
      <c r="M148" t="str">
        <f t="shared" si="7"/>
        <v>Inactive</v>
      </c>
      <c r="N148">
        <v>1</v>
      </c>
      <c r="O148">
        <v>6</v>
      </c>
      <c r="P148">
        <v>1</v>
      </c>
      <c r="Q148">
        <v>10</v>
      </c>
      <c r="R148">
        <v>0</v>
      </c>
      <c r="S148">
        <v>1</v>
      </c>
      <c r="T148">
        <v>4</v>
      </c>
      <c r="U148">
        <v>22</v>
      </c>
      <c r="V148">
        <v>1</v>
      </c>
      <c r="W148">
        <v>1</v>
      </c>
      <c r="X148">
        <v>0</v>
      </c>
      <c r="Y148">
        <v>2</v>
      </c>
      <c r="Z148">
        <v>3</v>
      </c>
      <c r="AA148">
        <v>8</v>
      </c>
      <c r="AB148" t="str">
        <f t="shared" si="8"/>
        <v>Below average customer</v>
      </c>
    </row>
    <row r="149" spans="1:28" x14ac:dyDescent="0.35">
      <c r="A149">
        <v>5885</v>
      </c>
      <c r="B149">
        <v>1973</v>
      </c>
      <c r="C149" t="s">
        <v>31</v>
      </c>
      <c r="D149" t="s">
        <v>34</v>
      </c>
      <c r="E149" t="s">
        <v>33</v>
      </c>
      <c r="F149">
        <v>35688</v>
      </c>
      <c r="G149" t="str">
        <f t="shared" si="6"/>
        <v>Mid-low</v>
      </c>
      <c r="H149">
        <v>2</v>
      </c>
      <c r="I149">
        <v>1</v>
      </c>
      <c r="J149">
        <v>3</v>
      </c>
      <c r="K149" s="1">
        <v>41143</v>
      </c>
      <c r="L149">
        <v>94</v>
      </c>
      <c r="M149" t="str">
        <f t="shared" si="7"/>
        <v>Inactive</v>
      </c>
      <c r="N149">
        <v>0</v>
      </c>
      <c r="O149">
        <v>73</v>
      </c>
      <c r="P149">
        <v>3</v>
      </c>
      <c r="Q149">
        <v>90</v>
      </c>
      <c r="R149">
        <v>12</v>
      </c>
      <c r="S149">
        <v>1</v>
      </c>
      <c r="T149">
        <v>32</v>
      </c>
      <c r="U149">
        <v>211</v>
      </c>
      <c r="V149">
        <v>7</v>
      </c>
      <c r="W149">
        <v>4</v>
      </c>
      <c r="X149">
        <v>1</v>
      </c>
      <c r="Y149">
        <v>4</v>
      </c>
      <c r="Z149">
        <v>9</v>
      </c>
      <c r="AA149">
        <v>8</v>
      </c>
      <c r="AB149" t="str">
        <f t="shared" si="8"/>
        <v>Below average customer</v>
      </c>
    </row>
    <row r="150" spans="1:28" x14ac:dyDescent="0.35">
      <c r="A150">
        <v>4050</v>
      </c>
      <c r="B150">
        <v>1966</v>
      </c>
      <c r="C150" t="s">
        <v>28</v>
      </c>
      <c r="D150" t="s">
        <v>34</v>
      </c>
      <c r="E150" t="s">
        <v>33</v>
      </c>
      <c r="F150">
        <v>49605</v>
      </c>
      <c r="G150" t="str">
        <f t="shared" si="6"/>
        <v>Mid-low</v>
      </c>
      <c r="H150">
        <v>0</v>
      </c>
      <c r="I150">
        <v>0</v>
      </c>
      <c r="J150">
        <v>0</v>
      </c>
      <c r="K150" s="1">
        <v>41811</v>
      </c>
      <c r="L150">
        <v>65</v>
      </c>
      <c r="M150" t="str">
        <f t="shared" si="7"/>
        <v>Inactive</v>
      </c>
      <c r="N150">
        <v>0</v>
      </c>
      <c r="O150">
        <v>42</v>
      </c>
      <c r="P150">
        <v>16</v>
      </c>
      <c r="Q150">
        <v>29</v>
      </c>
      <c r="R150">
        <v>12</v>
      </c>
      <c r="S150">
        <v>20</v>
      </c>
      <c r="T150">
        <v>8</v>
      </c>
      <c r="U150">
        <v>127</v>
      </c>
      <c r="V150">
        <v>1</v>
      </c>
      <c r="W150">
        <v>2</v>
      </c>
      <c r="X150">
        <v>1</v>
      </c>
      <c r="Y150">
        <v>4</v>
      </c>
      <c r="Z150">
        <v>7</v>
      </c>
      <c r="AA150">
        <v>3</v>
      </c>
      <c r="AB150" t="str">
        <f t="shared" si="8"/>
        <v>Below average customer</v>
      </c>
    </row>
    <row r="151" spans="1:28" x14ac:dyDescent="0.35">
      <c r="A151">
        <v>3830</v>
      </c>
      <c r="B151">
        <v>1953</v>
      </c>
      <c r="C151" t="s">
        <v>25</v>
      </c>
      <c r="D151" t="s">
        <v>34</v>
      </c>
      <c r="E151" t="s">
        <v>33</v>
      </c>
      <c r="F151">
        <v>59354</v>
      </c>
      <c r="G151" t="str">
        <f t="shared" si="6"/>
        <v>Mid-high</v>
      </c>
      <c r="H151">
        <v>0</v>
      </c>
      <c r="I151">
        <v>2</v>
      </c>
      <c r="J151">
        <v>2</v>
      </c>
      <c r="K151" s="1">
        <v>41753</v>
      </c>
      <c r="L151">
        <v>59</v>
      </c>
      <c r="M151" t="str">
        <f t="shared" si="7"/>
        <v>Inactive</v>
      </c>
      <c r="N151">
        <v>0</v>
      </c>
      <c r="O151">
        <v>295</v>
      </c>
      <c r="P151">
        <v>21</v>
      </c>
      <c r="Q151">
        <v>78</v>
      </c>
      <c r="R151">
        <v>39</v>
      </c>
      <c r="S151">
        <v>13</v>
      </c>
      <c r="T151">
        <v>13</v>
      </c>
      <c r="U151">
        <v>459</v>
      </c>
      <c r="V151">
        <v>1</v>
      </c>
      <c r="W151">
        <v>4</v>
      </c>
      <c r="X151">
        <v>4</v>
      </c>
      <c r="Y151">
        <v>7</v>
      </c>
      <c r="Z151">
        <v>15</v>
      </c>
      <c r="AA151">
        <v>3</v>
      </c>
      <c r="AB151" t="str">
        <f t="shared" si="8"/>
        <v>Below average customer</v>
      </c>
    </row>
    <row r="152" spans="1:28" x14ac:dyDescent="0.35">
      <c r="A152">
        <v>7987</v>
      </c>
      <c r="B152">
        <v>1969</v>
      </c>
      <c r="C152" t="s">
        <v>28</v>
      </c>
      <c r="D152" t="s">
        <v>26</v>
      </c>
      <c r="E152" t="s">
        <v>33</v>
      </c>
      <c r="F152">
        <v>65747</v>
      </c>
      <c r="G152" t="str">
        <f t="shared" si="6"/>
        <v>Mid-high</v>
      </c>
      <c r="H152">
        <v>0</v>
      </c>
      <c r="I152">
        <v>1</v>
      </c>
      <c r="J152">
        <v>1</v>
      </c>
      <c r="K152" s="1">
        <v>41705</v>
      </c>
      <c r="L152">
        <v>96</v>
      </c>
      <c r="M152" t="str">
        <f t="shared" si="7"/>
        <v>Inactive</v>
      </c>
      <c r="N152">
        <v>0</v>
      </c>
      <c r="O152">
        <v>346</v>
      </c>
      <c r="P152">
        <v>17</v>
      </c>
      <c r="Q152">
        <v>48</v>
      </c>
      <c r="R152">
        <v>23</v>
      </c>
      <c r="S152">
        <v>13</v>
      </c>
      <c r="T152">
        <v>13</v>
      </c>
      <c r="U152">
        <v>460</v>
      </c>
      <c r="V152">
        <v>4</v>
      </c>
      <c r="W152">
        <v>8</v>
      </c>
      <c r="X152">
        <v>1</v>
      </c>
      <c r="Y152">
        <v>6</v>
      </c>
      <c r="Z152">
        <v>15</v>
      </c>
      <c r="AA152">
        <v>6</v>
      </c>
      <c r="AB152" t="str">
        <f t="shared" si="8"/>
        <v>Below average customer</v>
      </c>
    </row>
    <row r="153" spans="1:28" x14ac:dyDescent="0.35">
      <c r="A153">
        <v>7798</v>
      </c>
      <c r="B153">
        <v>1972</v>
      </c>
      <c r="C153" t="s">
        <v>28</v>
      </c>
      <c r="D153" t="s">
        <v>34</v>
      </c>
      <c r="E153" t="s">
        <v>29</v>
      </c>
      <c r="F153">
        <v>46344</v>
      </c>
      <c r="G153" t="str">
        <f t="shared" si="6"/>
        <v>Mid-low</v>
      </c>
      <c r="H153">
        <v>0</v>
      </c>
      <c r="I153">
        <v>1</v>
      </c>
      <c r="J153">
        <v>1</v>
      </c>
      <c r="K153" s="1">
        <v>41257</v>
      </c>
      <c r="L153">
        <v>28</v>
      </c>
      <c r="M153" t="str">
        <f t="shared" si="7"/>
        <v>Active</v>
      </c>
      <c r="N153">
        <v>0</v>
      </c>
      <c r="O153">
        <v>233</v>
      </c>
      <c r="P153">
        <v>20</v>
      </c>
      <c r="Q153">
        <v>57</v>
      </c>
      <c r="R153">
        <v>8</v>
      </c>
      <c r="S153">
        <v>20</v>
      </c>
      <c r="T153">
        <v>91</v>
      </c>
      <c r="U153">
        <v>429</v>
      </c>
      <c r="V153">
        <v>4</v>
      </c>
      <c r="W153">
        <v>7</v>
      </c>
      <c r="X153">
        <v>1</v>
      </c>
      <c r="Y153">
        <v>5</v>
      </c>
      <c r="Z153">
        <v>13</v>
      </c>
      <c r="AA153">
        <v>7</v>
      </c>
      <c r="AB153" t="str">
        <f t="shared" si="8"/>
        <v>Below average customer</v>
      </c>
    </row>
    <row r="154" spans="1:28" x14ac:dyDescent="0.35">
      <c r="A154">
        <v>92</v>
      </c>
      <c r="B154">
        <v>1988</v>
      </c>
      <c r="C154" t="s">
        <v>30</v>
      </c>
      <c r="D154" t="s">
        <v>26</v>
      </c>
      <c r="E154" t="s">
        <v>27</v>
      </c>
      <c r="F154">
        <v>34176</v>
      </c>
      <c r="G154" t="str">
        <f t="shared" si="6"/>
        <v>Low</v>
      </c>
      <c r="H154">
        <v>1</v>
      </c>
      <c r="I154">
        <v>0</v>
      </c>
      <c r="J154">
        <v>1</v>
      </c>
      <c r="K154" s="1">
        <v>41771</v>
      </c>
      <c r="L154">
        <v>12</v>
      </c>
      <c r="M154" t="str">
        <f t="shared" si="7"/>
        <v>Active</v>
      </c>
      <c r="N154">
        <v>0</v>
      </c>
      <c r="O154">
        <v>5</v>
      </c>
      <c r="P154">
        <v>7</v>
      </c>
      <c r="Q154">
        <v>24</v>
      </c>
      <c r="R154">
        <v>19</v>
      </c>
      <c r="S154">
        <v>14</v>
      </c>
      <c r="T154">
        <v>20</v>
      </c>
      <c r="U154">
        <v>89</v>
      </c>
      <c r="V154">
        <v>4</v>
      </c>
      <c r="W154">
        <v>3</v>
      </c>
      <c r="X154">
        <v>0</v>
      </c>
      <c r="Y154">
        <v>4</v>
      </c>
      <c r="Z154">
        <v>7</v>
      </c>
      <c r="AA154">
        <v>6</v>
      </c>
      <c r="AB154" t="str">
        <f t="shared" si="8"/>
        <v>Below average customer</v>
      </c>
    </row>
    <row r="155" spans="1:28" x14ac:dyDescent="0.35">
      <c r="A155">
        <v>7055</v>
      </c>
      <c r="B155">
        <v>1952</v>
      </c>
      <c r="C155" t="s">
        <v>36</v>
      </c>
      <c r="D155" t="s">
        <v>32</v>
      </c>
      <c r="E155" t="s">
        <v>29</v>
      </c>
      <c r="F155">
        <v>61010</v>
      </c>
      <c r="G155" t="str">
        <f t="shared" si="6"/>
        <v>Mid-high</v>
      </c>
      <c r="H155">
        <v>0</v>
      </c>
      <c r="I155">
        <v>1</v>
      </c>
      <c r="J155">
        <v>1</v>
      </c>
      <c r="K155" s="1">
        <v>41191</v>
      </c>
      <c r="L155">
        <v>57</v>
      </c>
      <c r="M155" t="str">
        <f t="shared" si="7"/>
        <v>Inactive</v>
      </c>
      <c r="N155">
        <v>0</v>
      </c>
      <c r="O155">
        <v>888</v>
      </c>
      <c r="P155">
        <v>0</v>
      </c>
      <c r="Q155">
        <v>57</v>
      </c>
      <c r="R155">
        <v>0</v>
      </c>
      <c r="S155">
        <v>0</v>
      </c>
      <c r="T155">
        <v>76</v>
      </c>
      <c r="U155">
        <v>1021</v>
      </c>
      <c r="V155">
        <v>2</v>
      </c>
      <c r="W155">
        <v>8</v>
      </c>
      <c r="X155">
        <v>5</v>
      </c>
      <c r="Y155">
        <v>11</v>
      </c>
      <c r="Z155">
        <v>24</v>
      </c>
      <c r="AA155">
        <v>5</v>
      </c>
      <c r="AB155" t="str">
        <f t="shared" si="8"/>
        <v>Below average customer</v>
      </c>
    </row>
    <row r="156" spans="1:28" x14ac:dyDescent="0.35">
      <c r="A156">
        <v>10240</v>
      </c>
      <c r="B156">
        <v>1949</v>
      </c>
      <c r="C156" t="s">
        <v>36</v>
      </c>
      <c r="D156" t="s">
        <v>26</v>
      </c>
      <c r="E156" t="s">
        <v>29</v>
      </c>
      <c r="F156">
        <v>69372</v>
      </c>
      <c r="G156" t="str">
        <f t="shared" si="6"/>
        <v>High</v>
      </c>
      <c r="H156">
        <v>0</v>
      </c>
      <c r="I156">
        <v>0</v>
      </c>
      <c r="J156">
        <v>0</v>
      </c>
      <c r="K156" s="1">
        <v>41324</v>
      </c>
      <c r="L156">
        <v>10</v>
      </c>
      <c r="M156" t="str">
        <f t="shared" si="7"/>
        <v>Active</v>
      </c>
      <c r="N156">
        <v>0</v>
      </c>
      <c r="O156">
        <v>997</v>
      </c>
      <c r="P156">
        <v>26</v>
      </c>
      <c r="Q156">
        <v>269</v>
      </c>
      <c r="R156">
        <v>34</v>
      </c>
      <c r="S156">
        <v>13</v>
      </c>
      <c r="T156">
        <v>42</v>
      </c>
      <c r="U156">
        <v>1381</v>
      </c>
      <c r="V156">
        <v>1</v>
      </c>
      <c r="W156">
        <v>10</v>
      </c>
      <c r="X156">
        <v>4</v>
      </c>
      <c r="Y156">
        <v>6</v>
      </c>
      <c r="Z156">
        <v>20</v>
      </c>
      <c r="AA156">
        <v>4</v>
      </c>
      <c r="AB156" t="str">
        <f t="shared" si="8"/>
        <v>Above average customer</v>
      </c>
    </row>
    <row r="157" spans="1:28" x14ac:dyDescent="0.35">
      <c r="A157">
        <v>3025</v>
      </c>
      <c r="B157">
        <v>1958</v>
      </c>
      <c r="C157" t="s">
        <v>25</v>
      </c>
      <c r="D157" t="s">
        <v>26</v>
      </c>
      <c r="E157" t="s">
        <v>27</v>
      </c>
      <c r="F157">
        <v>49967</v>
      </c>
      <c r="G157" t="str">
        <f t="shared" si="6"/>
        <v>Mid-low</v>
      </c>
      <c r="H157">
        <v>0</v>
      </c>
      <c r="I157">
        <v>1</v>
      </c>
      <c r="J157">
        <v>1</v>
      </c>
      <c r="K157" s="1">
        <v>41463</v>
      </c>
      <c r="L157">
        <v>4</v>
      </c>
      <c r="M157" t="str">
        <f t="shared" si="7"/>
        <v>Active</v>
      </c>
      <c r="N157">
        <v>0</v>
      </c>
      <c r="O157">
        <v>212</v>
      </c>
      <c r="P157">
        <v>6</v>
      </c>
      <c r="Q157">
        <v>69</v>
      </c>
      <c r="R157">
        <v>4</v>
      </c>
      <c r="S157">
        <v>12</v>
      </c>
      <c r="T157">
        <v>3</v>
      </c>
      <c r="U157">
        <v>306</v>
      </c>
      <c r="V157">
        <v>3</v>
      </c>
      <c r="W157">
        <v>6</v>
      </c>
      <c r="X157">
        <v>1</v>
      </c>
      <c r="Y157">
        <v>5</v>
      </c>
      <c r="Z157">
        <v>12</v>
      </c>
      <c r="AA157">
        <v>7</v>
      </c>
      <c r="AB157" t="str">
        <f t="shared" si="8"/>
        <v>Below average customer</v>
      </c>
    </row>
    <row r="158" spans="1:28" x14ac:dyDescent="0.35">
      <c r="A158">
        <v>9283</v>
      </c>
      <c r="B158">
        <v>1978</v>
      </c>
      <c r="C158" t="s">
        <v>31</v>
      </c>
      <c r="D158" t="s">
        <v>26</v>
      </c>
      <c r="E158" t="s">
        <v>27</v>
      </c>
      <c r="F158">
        <v>60199</v>
      </c>
      <c r="G158" t="str">
        <f t="shared" si="6"/>
        <v>Mid-high</v>
      </c>
      <c r="H158">
        <v>1</v>
      </c>
      <c r="I158">
        <v>2</v>
      </c>
      <c r="J158">
        <v>3</v>
      </c>
      <c r="K158" s="1">
        <v>41529</v>
      </c>
      <c r="L158">
        <v>49</v>
      </c>
      <c r="M158" t="str">
        <f t="shared" si="7"/>
        <v>Inactive</v>
      </c>
      <c r="N158">
        <v>0</v>
      </c>
      <c r="O158">
        <v>8</v>
      </c>
      <c r="P158">
        <v>1</v>
      </c>
      <c r="Q158">
        <v>7</v>
      </c>
      <c r="R158">
        <v>2</v>
      </c>
      <c r="S158">
        <v>0</v>
      </c>
      <c r="T158">
        <v>0</v>
      </c>
      <c r="U158">
        <v>18</v>
      </c>
      <c r="V158">
        <v>1</v>
      </c>
      <c r="W158">
        <v>0</v>
      </c>
      <c r="X158">
        <v>0</v>
      </c>
      <c r="Y158">
        <v>3</v>
      </c>
      <c r="Z158">
        <v>3</v>
      </c>
      <c r="AA158">
        <v>4</v>
      </c>
      <c r="AB158" t="str">
        <f t="shared" si="8"/>
        <v>Below average customer</v>
      </c>
    </row>
    <row r="159" spans="1:28" x14ac:dyDescent="0.35">
      <c r="A159">
        <v>9970</v>
      </c>
      <c r="B159">
        <v>1977</v>
      </c>
      <c r="C159" t="s">
        <v>31</v>
      </c>
      <c r="D159" t="s">
        <v>26</v>
      </c>
      <c r="E159" t="s">
        <v>29</v>
      </c>
      <c r="F159">
        <v>55375</v>
      </c>
      <c r="G159" t="str">
        <f t="shared" si="6"/>
        <v>Mid-high</v>
      </c>
      <c r="H159">
        <v>0</v>
      </c>
      <c r="I159">
        <v>1</v>
      </c>
      <c r="J159">
        <v>1</v>
      </c>
      <c r="K159" s="1">
        <v>41564</v>
      </c>
      <c r="L159">
        <v>3</v>
      </c>
      <c r="M159" t="str">
        <f t="shared" si="7"/>
        <v>Active</v>
      </c>
      <c r="N159">
        <v>0</v>
      </c>
      <c r="O159">
        <v>42</v>
      </c>
      <c r="P159">
        <v>11</v>
      </c>
      <c r="Q159">
        <v>57</v>
      </c>
      <c r="R159">
        <v>10</v>
      </c>
      <c r="S159">
        <v>28</v>
      </c>
      <c r="T159">
        <v>14</v>
      </c>
      <c r="U159">
        <v>162</v>
      </c>
      <c r="V159">
        <v>1</v>
      </c>
      <c r="W159">
        <v>1</v>
      </c>
      <c r="X159">
        <v>1</v>
      </c>
      <c r="Y159">
        <v>6</v>
      </c>
      <c r="Z159">
        <v>8</v>
      </c>
      <c r="AA159">
        <v>2</v>
      </c>
      <c r="AB159" t="str">
        <f t="shared" si="8"/>
        <v>Below average customer</v>
      </c>
    </row>
    <row r="160" spans="1:28" x14ac:dyDescent="0.35">
      <c r="A160">
        <v>2730</v>
      </c>
      <c r="B160">
        <v>1955</v>
      </c>
      <c r="C160" t="s">
        <v>25</v>
      </c>
      <c r="D160" t="s">
        <v>26</v>
      </c>
      <c r="E160" t="s">
        <v>27</v>
      </c>
      <c r="F160">
        <v>80317</v>
      </c>
      <c r="G160" t="str">
        <f t="shared" si="6"/>
        <v>High</v>
      </c>
      <c r="H160">
        <v>0</v>
      </c>
      <c r="I160">
        <v>0</v>
      </c>
      <c r="J160">
        <v>0</v>
      </c>
      <c r="K160" s="1">
        <v>41506</v>
      </c>
      <c r="L160">
        <v>64</v>
      </c>
      <c r="M160" t="str">
        <f t="shared" si="7"/>
        <v>Inactive</v>
      </c>
      <c r="N160">
        <v>0</v>
      </c>
      <c r="O160">
        <v>536</v>
      </c>
      <c r="P160">
        <v>11</v>
      </c>
      <c r="Q160">
        <v>387</v>
      </c>
      <c r="R160">
        <v>149</v>
      </c>
      <c r="S160">
        <v>91</v>
      </c>
      <c r="T160">
        <v>57</v>
      </c>
      <c r="U160">
        <v>1231</v>
      </c>
      <c r="V160">
        <v>1</v>
      </c>
      <c r="W160">
        <v>3</v>
      </c>
      <c r="X160">
        <v>4</v>
      </c>
      <c r="Y160">
        <v>10</v>
      </c>
      <c r="Z160">
        <v>17</v>
      </c>
      <c r="AA160">
        <v>1</v>
      </c>
      <c r="AB160" t="str">
        <f t="shared" si="8"/>
        <v>Below average customer</v>
      </c>
    </row>
    <row r="161" spans="1:28" x14ac:dyDescent="0.35">
      <c r="A161">
        <v>2795</v>
      </c>
      <c r="B161">
        <v>1958</v>
      </c>
      <c r="C161" t="s">
        <v>25</v>
      </c>
      <c r="D161" t="s">
        <v>34</v>
      </c>
      <c r="E161" t="s">
        <v>27</v>
      </c>
      <c r="F161">
        <v>30523</v>
      </c>
      <c r="G161" t="str">
        <f t="shared" si="6"/>
        <v>Low</v>
      </c>
      <c r="H161">
        <v>2</v>
      </c>
      <c r="I161">
        <v>1</v>
      </c>
      <c r="J161">
        <v>3</v>
      </c>
      <c r="K161" s="1">
        <v>41456</v>
      </c>
      <c r="L161">
        <v>0</v>
      </c>
      <c r="M161" t="str">
        <f t="shared" si="7"/>
        <v>Active</v>
      </c>
      <c r="N161">
        <v>0</v>
      </c>
      <c r="O161">
        <v>5</v>
      </c>
      <c r="P161">
        <v>0</v>
      </c>
      <c r="Q161">
        <v>3</v>
      </c>
      <c r="R161">
        <v>0</v>
      </c>
      <c r="S161">
        <v>0</v>
      </c>
      <c r="T161">
        <v>5</v>
      </c>
      <c r="U161">
        <v>13</v>
      </c>
      <c r="V161">
        <v>1</v>
      </c>
      <c r="W161">
        <v>1</v>
      </c>
      <c r="X161">
        <v>0</v>
      </c>
      <c r="Y161">
        <v>2</v>
      </c>
      <c r="Z161">
        <v>3</v>
      </c>
      <c r="AA161">
        <v>7</v>
      </c>
      <c r="AB161" t="str">
        <f t="shared" si="8"/>
        <v>Below average customer</v>
      </c>
    </row>
    <row r="162" spans="1:28" x14ac:dyDescent="0.35">
      <c r="A162">
        <v>9260</v>
      </c>
      <c r="B162">
        <v>1945</v>
      </c>
      <c r="C162" t="s">
        <v>36</v>
      </c>
      <c r="D162" t="s">
        <v>32</v>
      </c>
      <c r="E162" t="s">
        <v>33</v>
      </c>
      <c r="F162">
        <v>70356</v>
      </c>
      <c r="G162" t="str">
        <f t="shared" si="6"/>
        <v>High</v>
      </c>
      <c r="H162">
        <v>0</v>
      </c>
      <c r="I162">
        <v>0</v>
      </c>
      <c r="J162">
        <v>0</v>
      </c>
      <c r="K162" s="1">
        <v>41218</v>
      </c>
      <c r="L162">
        <v>20</v>
      </c>
      <c r="M162" t="str">
        <f t="shared" si="7"/>
        <v>Active</v>
      </c>
      <c r="N162">
        <v>0</v>
      </c>
      <c r="O162">
        <v>1349</v>
      </c>
      <c r="P162">
        <v>16</v>
      </c>
      <c r="Q162">
        <v>249</v>
      </c>
      <c r="R162">
        <v>43</v>
      </c>
      <c r="S162">
        <v>16</v>
      </c>
      <c r="T162">
        <v>33</v>
      </c>
      <c r="U162">
        <v>1706</v>
      </c>
      <c r="V162">
        <v>2</v>
      </c>
      <c r="W162">
        <v>10</v>
      </c>
      <c r="X162">
        <v>6</v>
      </c>
      <c r="Y162">
        <v>9</v>
      </c>
      <c r="Z162">
        <v>25</v>
      </c>
      <c r="AA162">
        <v>6</v>
      </c>
      <c r="AB162" t="str">
        <f t="shared" si="8"/>
        <v>Above average customer</v>
      </c>
    </row>
    <row r="163" spans="1:28" x14ac:dyDescent="0.35">
      <c r="A163">
        <v>8182</v>
      </c>
      <c r="B163">
        <v>1984</v>
      </c>
      <c r="C163" t="s">
        <v>30</v>
      </c>
      <c r="D163" t="s">
        <v>26</v>
      </c>
      <c r="E163" t="s">
        <v>33</v>
      </c>
      <c r="F163">
        <v>23228</v>
      </c>
      <c r="G163" t="str">
        <f t="shared" si="6"/>
        <v>Low</v>
      </c>
      <c r="H163">
        <v>1</v>
      </c>
      <c r="I163">
        <v>0</v>
      </c>
      <c r="J163">
        <v>1</v>
      </c>
      <c r="K163" s="1">
        <v>41644</v>
      </c>
      <c r="L163">
        <v>91</v>
      </c>
      <c r="M163" t="str">
        <f t="shared" si="7"/>
        <v>Inactive</v>
      </c>
      <c r="N163">
        <v>0</v>
      </c>
      <c r="O163">
        <v>53</v>
      </c>
      <c r="P163">
        <v>3</v>
      </c>
      <c r="Q163">
        <v>49</v>
      </c>
      <c r="R163">
        <v>7</v>
      </c>
      <c r="S163">
        <v>4</v>
      </c>
      <c r="T163">
        <v>5</v>
      </c>
      <c r="U163">
        <v>121</v>
      </c>
      <c r="V163">
        <v>4</v>
      </c>
      <c r="W163">
        <v>3</v>
      </c>
      <c r="X163">
        <v>0</v>
      </c>
      <c r="Y163">
        <v>4</v>
      </c>
      <c r="Z163">
        <v>7</v>
      </c>
      <c r="AA163">
        <v>8</v>
      </c>
      <c r="AB163" t="str">
        <f t="shared" si="8"/>
        <v>Below average customer</v>
      </c>
    </row>
    <row r="164" spans="1:28" x14ac:dyDescent="0.35">
      <c r="A164">
        <v>10095</v>
      </c>
      <c r="B164">
        <v>1975</v>
      </c>
      <c r="C164" t="s">
        <v>31</v>
      </c>
      <c r="D164" t="s">
        <v>32</v>
      </c>
      <c r="E164" t="s">
        <v>35</v>
      </c>
      <c r="F164">
        <v>74165</v>
      </c>
      <c r="G164" t="str">
        <f t="shared" si="6"/>
        <v>High</v>
      </c>
      <c r="H164">
        <v>0</v>
      </c>
      <c r="I164">
        <v>0</v>
      </c>
      <c r="J164">
        <v>0</v>
      </c>
      <c r="K164" s="1">
        <v>41395</v>
      </c>
      <c r="L164">
        <v>9</v>
      </c>
      <c r="M164" t="str">
        <f t="shared" si="7"/>
        <v>Active</v>
      </c>
      <c r="N164">
        <v>0</v>
      </c>
      <c r="O164">
        <v>1001</v>
      </c>
      <c r="P164">
        <v>12</v>
      </c>
      <c r="Q164">
        <v>240</v>
      </c>
      <c r="R164">
        <v>16</v>
      </c>
      <c r="S164">
        <v>12</v>
      </c>
      <c r="T164">
        <v>12</v>
      </c>
      <c r="U164">
        <v>1293</v>
      </c>
      <c r="V164">
        <v>1</v>
      </c>
      <c r="W164">
        <v>5</v>
      </c>
      <c r="X164">
        <v>4</v>
      </c>
      <c r="Y164">
        <v>10</v>
      </c>
      <c r="Z164">
        <v>19</v>
      </c>
      <c r="AA164">
        <v>2</v>
      </c>
      <c r="AB164" t="str">
        <f t="shared" si="8"/>
        <v>Above average customer</v>
      </c>
    </row>
    <row r="165" spans="1:28" x14ac:dyDescent="0.35">
      <c r="A165">
        <v>8475</v>
      </c>
      <c r="B165">
        <v>1973</v>
      </c>
      <c r="C165" t="s">
        <v>31</v>
      </c>
      <c r="D165" t="s">
        <v>32</v>
      </c>
      <c r="E165" t="s">
        <v>33</v>
      </c>
      <c r="F165">
        <v>157243</v>
      </c>
      <c r="G165" t="str">
        <f t="shared" si="6"/>
        <v>High</v>
      </c>
      <c r="H165">
        <v>0</v>
      </c>
      <c r="I165">
        <v>1</v>
      </c>
      <c r="J165">
        <v>1</v>
      </c>
      <c r="K165" s="1">
        <v>41699</v>
      </c>
      <c r="L165">
        <v>98</v>
      </c>
      <c r="M165" t="str">
        <f t="shared" si="7"/>
        <v>Inactive</v>
      </c>
      <c r="N165">
        <v>0</v>
      </c>
      <c r="O165">
        <v>20</v>
      </c>
      <c r="P165">
        <v>2</v>
      </c>
      <c r="Q165">
        <v>1582</v>
      </c>
      <c r="R165">
        <v>1</v>
      </c>
      <c r="S165">
        <v>2</v>
      </c>
      <c r="T165">
        <v>1</v>
      </c>
      <c r="U165">
        <v>1608</v>
      </c>
      <c r="V165">
        <v>15</v>
      </c>
      <c r="W165">
        <v>0</v>
      </c>
      <c r="X165">
        <v>22</v>
      </c>
      <c r="Y165">
        <v>0</v>
      </c>
      <c r="Z165">
        <v>22</v>
      </c>
      <c r="AA165">
        <v>0</v>
      </c>
      <c r="AB165" t="str">
        <f t="shared" si="8"/>
        <v>Below average customer</v>
      </c>
    </row>
    <row r="166" spans="1:28" x14ac:dyDescent="0.35">
      <c r="A166">
        <v>4370</v>
      </c>
      <c r="B166">
        <v>1966</v>
      </c>
      <c r="C166" t="s">
        <v>28</v>
      </c>
      <c r="D166" t="s">
        <v>26</v>
      </c>
      <c r="E166" t="s">
        <v>29</v>
      </c>
      <c r="F166">
        <v>43482</v>
      </c>
      <c r="G166" t="str">
        <f t="shared" si="6"/>
        <v>Mid-low</v>
      </c>
      <c r="H166">
        <v>2</v>
      </c>
      <c r="I166">
        <v>1</v>
      </c>
      <c r="J166">
        <v>3</v>
      </c>
      <c r="K166" s="1">
        <v>41591</v>
      </c>
      <c r="L166">
        <v>83</v>
      </c>
      <c r="M166" t="str">
        <f t="shared" si="7"/>
        <v>Inactive</v>
      </c>
      <c r="N166">
        <v>0</v>
      </c>
      <c r="O166">
        <v>18</v>
      </c>
      <c r="P166">
        <v>1</v>
      </c>
      <c r="Q166">
        <v>32</v>
      </c>
      <c r="R166">
        <v>6</v>
      </c>
      <c r="S166">
        <v>3</v>
      </c>
      <c r="T166">
        <v>28</v>
      </c>
      <c r="U166">
        <v>88</v>
      </c>
      <c r="V166">
        <v>3</v>
      </c>
      <c r="W166">
        <v>2</v>
      </c>
      <c r="X166">
        <v>0</v>
      </c>
      <c r="Y166">
        <v>4</v>
      </c>
      <c r="Z166">
        <v>6</v>
      </c>
      <c r="AA166">
        <v>6</v>
      </c>
      <c r="AB166" t="str">
        <f t="shared" si="8"/>
        <v>Below average customer</v>
      </c>
    </row>
    <row r="167" spans="1:28" x14ac:dyDescent="0.35">
      <c r="A167">
        <v>10573</v>
      </c>
      <c r="B167">
        <v>1953</v>
      </c>
      <c r="C167" t="s">
        <v>25</v>
      </c>
      <c r="D167" t="s">
        <v>26</v>
      </c>
      <c r="E167" t="s">
        <v>35</v>
      </c>
      <c r="F167">
        <v>62551</v>
      </c>
      <c r="G167" t="str">
        <f t="shared" si="6"/>
        <v>Mid-high</v>
      </c>
      <c r="H167">
        <v>0</v>
      </c>
      <c r="I167">
        <v>0</v>
      </c>
      <c r="J167">
        <v>0</v>
      </c>
      <c r="K167" s="1">
        <v>41596</v>
      </c>
      <c r="L167">
        <v>27</v>
      </c>
      <c r="M167" t="str">
        <f t="shared" si="7"/>
        <v>Active</v>
      </c>
      <c r="N167">
        <v>0</v>
      </c>
      <c r="O167">
        <v>125</v>
      </c>
      <c r="P167">
        <v>16</v>
      </c>
      <c r="Q167">
        <v>98</v>
      </c>
      <c r="R167">
        <v>134</v>
      </c>
      <c r="S167">
        <v>21</v>
      </c>
      <c r="T167">
        <v>27</v>
      </c>
      <c r="U167">
        <v>421</v>
      </c>
      <c r="V167">
        <v>1</v>
      </c>
      <c r="W167">
        <v>6</v>
      </c>
      <c r="X167">
        <v>7</v>
      </c>
      <c r="Y167">
        <v>4</v>
      </c>
      <c r="Z167">
        <v>17</v>
      </c>
      <c r="AA167">
        <v>3</v>
      </c>
      <c r="AB167" t="str">
        <f t="shared" si="8"/>
        <v>Below average customer</v>
      </c>
    </row>
    <row r="168" spans="1:28" x14ac:dyDescent="0.35">
      <c r="A168">
        <v>3712</v>
      </c>
      <c r="B168">
        <v>1959</v>
      </c>
      <c r="C168" t="s">
        <v>25</v>
      </c>
      <c r="D168" t="s">
        <v>26</v>
      </c>
      <c r="E168" t="s">
        <v>35</v>
      </c>
      <c r="F168">
        <v>52332</v>
      </c>
      <c r="G168" t="str">
        <f t="shared" si="6"/>
        <v>Mid-high</v>
      </c>
      <c r="H168">
        <v>0</v>
      </c>
      <c r="I168">
        <v>0</v>
      </c>
      <c r="J168">
        <v>0</v>
      </c>
      <c r="K168" s="1">
        <v>41514</v>
      </c>
      <c r="L168">
        <v>63</v>
      </c>
      <c r="M168" t="str">
        <f t="shared" si="7"/>
        <v>Inactive</v>
      </c>
      <c r="N168">
        <v>0</v>
      </c>
      <c r="O168">
        <v>212</v>
      </c>
      <c r="P168">
        <v>5</v>
      </c>
      <c r="Q168">
        <v>33</v>
      </c>
      <c r="R168">
        <v>7</v>
      </c>
      <c r="S168">
        <v>0</v>
      </c>
      <c r="T168">
        <v>2</v>
      </c>
      <c r="U168">
        <v>259</v>
      </c>
      <c r="V168">
        <v>1</v>
      </c>
      <c r="W168">
        <v>3</v>
      </c>
      <c r="X168">
        <v>2</v>
      </c>
      <c r="Y168">
        <v>6</v>
      </c>
      <c r="Z168">
        <v>11</v>
      </c>
      <c r="AA168">
        <v>4</v>
      </c>
      <c r="AB168" t="str">
        <f t="shared" si="8"/>
        <v>Below average customer</v>
      </c>
    </row>
    <row r="169" spans="1:28" x14ac:dyDescent="0.35">
      <c r="A169">
        <v>6637</v>
      </c>
      <c r="B169">
        <v>1988</v>
      </c>
      <c r="C169" t="s">
        <v>30</v>
      </c>
      <c r="D169" t="s">
        <v>26</v>
      </c>
      <c r="E169" t="s">
        <v>27</v>
      </c>
      <c r="F169">
        <v>66951</v>
      </c>
      <c r="G169" t="str">
        <f t="shared" si="6"/>
        <v>Mid-high</v>
      </c>
      <c r="H169">
        <v>0</v>
      </c>
      <c r="I169">
        <v>0</v>
      </c>
      <c r="J169">
        <v>0</v>
      </c>
      <c r="K169" s="1">
        <v>41580</v>
      </c>
      <c r="L169">
        <v>46</v>
      </c>
      <c r="M169" t="str">
        <f t="shared" si="7"/>
        <v>Active</v>
      </c>
      <c r="N169">
        <v>0</v>
      </c>
      <c r="O169">
        <v>277</v>
      </c>
      <c r="P169">
        <v>162</v>
      </c>
      <c r="Q169">
        <v>305</v>
      </c>
      <c r="R169">
        <v>173</v>
      </c>
      <c r="S169">
        <v>76</v>
      </c>
      <c r="T169">
        <v>124</v>
      </c>
      <c r="U169">
        <v>1117</v>
      </c>
      <c r="V169">
        <v>1</v>
      </c>
      <c r="W169">
        <v>3</v>
      </c>
      <c r="X169">
        <v>4</v>
      </c>
      <c r="Y169">
        <v>7</v>
      </c>
      <c r="Z169">
        <v>14</v>
      </c>
      <c r="AA169">
        <v>1</v>
      </c>
      <c r="AB169" t="str">
        <f t="shared" si="8"/>
        <v>Above average customer</v>
      </c>
    </row>
    <row r="170" spans="1:28" x14ac:dyDescent="0.35">
      <c r="A170">
        <v>3152</v>
      </c>
      <c r="B170">
        <v>1957</v>
      </c>
      <c r="C170" t="s">
        <v>25</v>
      </c>
      <c r="D170" t="s">
        <v>26</v>
      </c>
      <c r="E170" t="s">
        <v>29</v>
      </c>
      <c r="F170">
        <v>26091</v>
      </c>
      <c r="G170" t="str">
        <f t="shared" si="6"/>
        <v>Low</v>
      </c>
      <c r="H170">
        <v>1</v>
      </c>
      <c r="I170">
        <v>1</v>
      </c>
      <c r="J170">
        <v>2</v>
      </c>
      <c r="K170" s="1">
        <v>41695</v>
      </c>
      <c r="L170">
        <v>84</v>
      </c>
      <c r="M170" t="str">
        <f t="shared" si="7"/>
        <v>Inactive</v>
      </c>
      <c r="N170">
        <v>0</v>
      </c>
      <c r="O170">
        <v>15</v>
      </c>
      <c r="P170">
        <v>10</v>
      </c>
      <c r="Q170">
        <v>19</v>
      </c>
      <c r="R170">
        <v>8</v>
      </c>
      <c r="S170">
        <v>17</v>
      </c>
      <c r="T170">
        <v>20</v>
      </c>
      <c r="U170">
        <v>89</v>
      </c>
      <c r="V170">
        <v>3</v>
      </c>
      <c r="W170">
        <v>2</v>
      </c>
      <c r="X170">
        <v>1</v>
      </c>
      <c r="Y170">
        <v>3</v>
      </c>
      <c r="Z170">
        <v>6</v>
      </c>
      <c r="AA170">
        <v>5</v>
      </c>
      <c r="AB170" t="str">
        <f t="shared" si="8"/>
        <v>Below average customer</v>
      </c>
    </row>
    <row r="171" spans="1:28" x14ac:dyDescent="0.35">
      <c r="A171">
        <v>5610</v>
      </c>
      <c r="B171">
        <v>1965</v>
      </c>
      <c r="C171" t="s">
        <v>28</v>
      </c>
      <c r="D171" t="s">
        <v>26</v>
      </c>
      <c r="E171" t="s">
        <v>29</v>
      </c>
      <c r="F171">
        <v>33456</v>
      </c>
      <c r="G171" t="str">
        <f t="shared" si="6"/>
        <v>Low</v>
      </c>
      <c r="H171">
        <v>1</v>
      </c>
      <c r="I171">
        <v>1</v>
      </c>
      <c r="J171">
        <v>2</v>
      </c>
      <c r="K171" s="1">
        <v>41750</v>
      </c>
      <c r="L171">
        <v>58</v>
      </c>
      <c r="M171" t="str">
        <f t="shared" si="7"/>
        <v>Inactive</v>
      </c>
      <c r="N171">
        <v>0</v>
      </c>
      <c r="O171">
        <v>7</v>
      </c>
      <c r="P171">
        <v>3</v>
      </c>
      <c r="Q171">
        <v>10</v>
      </c>
      <c r="R171">
        <v>8</v>
      </c>
      <c r="S171">
        <v>1</v>
      </c>
      <c r="T171">
        <v>7</v>
      </c>
      <c r="U171">
        <v>36</v>
      </c>
      <c r="V171">
        <v>2</v>
      </c>
      <c r="W171">
        <v>1</v>
      </c>
      <c r="X171">
        <v>0</v>
      </c>
      <c r="Y171">
        <v>3</v>
      </c>
      <c r="Z171">
        <v>4</v>
      </c>
      <c r="AA171">
        <v>7</v>
      </c>
      <c r="AB171" t="str">
        <f t="shared" si="8"/>
        <v>Below average customer</v>
      </c>
    </row>
    <row r="172" spans="1:28" x14ac:dyDescent="0.35">
      <c r="A172">
        <v>6460</v>
      </c>
      <c r="B172">
        <v>1982</v>
      </c>
      <c r="C172" t="s">
        <v>31</v>
      </c>
      <c r="D172" t="s">
        <v>26</v>
      </c>
      <c r="E172" t="s">
        <v>33</v>
      </c>
      <c r="F172">
        <v>28718</v>
      </c>
      <c r="G172" t="str">
        <f t="shared" si="6"/>
        <v>Low</v>
      </c>
      <c r="H172">
        <v>1</v>
      </c>
      <c r="I172">
        <v>0</v>
      </c>
      <c r="J172">
        <v>1</v>
      </c>
      <c r="K172" s="1">
        <v>41468</v>
      </c>
      <c r="L172">
        <v>78</v>
      </c>
      <c r="M172" t="str">
        <f t="shared" si="7"/>
        <v>Inactive</v>
      </c>
      <c r="N172">
        <v>0</v>
      </c>
      <c r="O172">
        <v>12</v>
      </c>
      <c r="P172">
        <v>4</v>
      </c>
      <c r="Q172">
        <v>6</v>
      </c>
      <c r="R172">
        <v>11</v>
      </c>
      <c r="S172">
        <v>8</v>
      </c>
      <c r="T172">
        <v>16</v>
      </c>
      <c r="U172">
        <v>57</v>
      </c>
      <c r="V172">
        <v>2</v>
      </c>
      <c r="W172">
        <v>2</v>
      </c>
      <c r="X172">
        <v>0</v>
      </c>
      <c r="Y172">
        <v>3</v>
      </c>
      <c r="Z172">
        <v>5</v>
      </c>
      <c r="AA172">
        <v>8</v>
      </c>
      <c r="AB172" t="str">
        <f t="shared" si="8"/>
        <v>Below average customer</v>
      </c>
    </row>
    <row r="173" spans="1:28" x14ac:dyDescent="0.35">
      <c r="A173">
        <v>1349</v>
      </c>
      <c r="B173">
        <v>1970</v>
      </c>
      <c r="C173" t="s">
        <v>28</v>
      </c>
      <c r="D173" t="s">
        <v>26</v>
      </c>
      <c r="E173" t="s">
        <v>33</v>
      </c>
      <c r="F173">
        <v>50447</v>
      </c>
      <c r="G173" t="str">
        <f t="shared" si="6"/>
        <v>Mid-low</v>
      </c>
      <c r="H173">
        <v>2</v>
      </c>
      <c r="I173">
        <v>0</v>
      </c>
      <c r="J173">
        <v>2</v>
      </c>
      <c r="K173" s="1">
        <v>41750</v>
      </c>
      <c r="L173">
        <v>4</v>
      </c>
      <c r="M173" t="str">
        <f t="shared" si="7"/>
        <v>Active</v>
      </c>
      <c r="N173">
        <v>0</v>
      </c>
      <c r="O173">
        <v>85</v>
      </c>
      <c r="P173">
        <v>7</v>
      </c>
      <c r="Q173">
        <v>24</v>
      </c>
      <c r="R173">
        <v>2</v>
      </c>
      <c r="S173">
        <v>3</v>
      </c>
      <c r="T173">
        <v>27</v>
      </c>
      <c r="U173">
        <v>148</v>
      </c>
      <c r="V173">
        <v>1</v>
      </c>
      <c r="W173">
        <v>3</v>
      </c>
      <c r="X173">
        <v>1</v>
      </c>
      <c r="Y173">
        <v>3</v>
      </c>
      <c r="Z173">
        <v>7</v>
      </c>
      <c r="AA173">
        <v>6</v>
      </c>
      <c r="AB173" t="str">
        <f t="shared" si="8"/>
        <v>Below average customer</v>
      </c>
    </row>
    <row r="174" spans="1:28" x14ac:dyDescent="0.35">
      <c r="A174">
        <v>1880</v>
      </c>
      <c r="B174">
        <v>1959</v>
      </c>
      <c r="C174" t="s">
        <v>25</v>
      </c>
      <c r="D174" t="s">
        <v>32</v>
      </c>
      <c r="E174" t="s">
        <v>29</v>
      </c>
      <c r="F174">
        <v>53537</v>
      </c>
      <c r="G174" t="str">
        <f t="shared" si="6"/>
        <v>Mid-high</v>
      </c>
      <c r="H174">
        <v>1</v>
      </c>
      <c r="I174">
        <v>1</v>
      </c>
      <c r="J174">
        <v>2</v>
      </c>
      <c r="K174" s="1">
        <v>41669</v>
      </c>
      <c r="L174">
        <v>17</v>
      </c>
      <c r="M174" t="str">
        <f t="shared" si="7"/>
        <v>Active</v>
      </c>
      <c r="N174">
        <v>0</v>
      </c>
      <c r="O174">
        <v>81</v>
      </c>
      <c r="P174">
        <v>0</v>
      </c>
      <c r="Q174">
        <v>6</v>
      </c>
      <c r="R174">
        <v>0</v>
      </c>
      <c r="S174">
        <v>0</v>
      </c>
      <c r="T174">
        <v>6</v>
      </c>
      <c r="U174">
        <v>93</v>
      </c>
      <c r="V174">
        <v>2</v>
      </c>
      <c r="W174">
        <v>2</v>
      </c>
      <c r="X174">
        <v>1</v>
      </c>
      <c r="Y174">
        <v>3</v>
      </c>
      <c r="Z174">
        <v>6</v>
      </c>
      <c r="AA174">
        <v>5</v>
      </c>
      <c r="AB174" t="str">
        <f t="shared" si="8"/>
        <v>Below average customer</v>
      </c>
    </row>
    <row r="175" spans="1:28" x14ac:dyDescent="0.35">
      <c r="A175">
        <v>641</v>
      </c>
      <c r="B175">
        <v>1967</v>
      </c>
      <c r="C175" t="s">
        <v>28</v>
      </c>
      <c r="D175" t="s">
        <v>26</v>
      </c>
      <c r="E175" t="s">
        <v>27</v>
      </c>
      <c r="F175">
        <v>52074</v>
      </c>
      <c r="G175" t="str">
        <f t="shared" si="6"/>
        <v>Mid-high</v>
      </c>
      <c r="H175">
        <v>0</v>
      </c>
      <c r="I175">
        <v>1</v>
      </c>
      <c r="J175">
        <v>1</v>
      </c>
      <c r="K175" s="1">
        <v>41733</v>
      </c>
      <c r="L175">
        <v>77</v>
      </c>
      <c r="M175" t="str">
        <f t="shared" si="7"/>
        <v>Inactive</v>
      </c>
      <c r="N175">
        <v>0</v>
      </c>
      <c r="O175">
        <v>59</v>
      </c>
      <c r="P175">
        <v>0</v>
      </c>
      <c r="Q175">
        <v>12</v>
      </c>
      <c r="R175">
        <v>0</v>
      </c>
      <c r="S175">
        <v>0</v>
      </c>
      <c r="T175">
        <v>48</v>
      </c>
      <c r="U175">
        <v>119</v>
      </c>
      <c r="V175">
        <v>1</v>
      </c>
      <c r="W175">
        <v>2</v>
      </c>
      <c r="X175">
        <v>2</v>
      </c>
      <c r="Y175">
        <v>2</v>
      </c>
      <c r="Z175">
        <v>6</v>
      </c>
      <c r="AA175">
        <v>4</v>
      </c>
      <c r="AB175" t="str">
        <f t="shared" si="8"/>
        <v>Below average customer</v>
      </c>
    </row>
    <row r="176" spans="1:28" x14ac:dyDescent="0.35">
      <c r="A176">
        <v>8717</v>
      </c>
      <c r="B176">
        <v>1975</v>
      </c>
      <c r="C176" t="s">
        <v>31</v>
      </c>
      <c r="D176" t="s">
        <v>32</v>
      </c>
      <c r="E176" t="s">
        <v>33</v>
      </c>
      <c r="F176">
        <v>80427</v>
      </c>
      <c r="G176" t="str">
        <f t="shared" si="6"/>
        <v>High</v>
      </c>
      <c r="H176">
        <v>0</v>
      </c>
      <c r="I176">
        <v>1</v>
      </c>
      <c r="J176">
        <v>1</v>
      </c>
      <c r="K176" s="1">
        <v>41164</v>
      </c>
      <c r="L176">
        <v>56</v>
      </c>
      <c r="M176" t="str">
        <f t="shared" si="7"/>
        <v>Inactive</v>
      </c>
      <c r="N176">
        <v>0</v>
      </c>
      <c r="O176">
        <v>1149</v>
      </c>
      <c r="P176">
        <v>71</v>
      </c>
      <c r="Q176">
        <v>449</v>
      </c>
      <c r="R176">
        <v>69</v>
      </c>
      <c r="S176">
        <v>71</v>
      </c>
      <c r="T176">
        <v>26</v>
      </c>
      <c r="U176">
        <v>1835</v>
      </c>
      <c r="V176">
        <v>1</v>
      </c>
      <c r="W176">
        <v>11</v>
      </c>
      <c r="X176">
        <v>8</v>
      </c>
      <c r="Y176">
        <v>8</v>
      </c>
      <c r="Z176">
        <v>27</v>
      </c>
      <c r="AA176">
        <v>5</v>
      </c>
      <c r="AB176" t="str">
        <f t="shared" si="8"/>
        <v>Below average customer</v>
      </c>
    </row>
    <row r="177" spans="1:28" x14ac:dyDescent="0.35">
      <c r="A177">
        <v>10314</v>
      </c>
      <c r="B177">
        <v>1948</v>
      </c>
      <c r="C177" t="s">
        <v>36</v>
      </c>
      <c r="D177" t="s">
        <v>32</v>
      </c>
      <c r="E177" t="s">
        <v>33</v>
      </c>
      <c r="F177">
        <v>83837</v>
      </c>
      <c r="G177" t="str">
        <f t="shared" si="6"/>
        <v>High</v>
      </c>
      <c r="H177">
        <v>0</v>
      </c>
      <c r="I177">
        <v>0</v>
      </c>
      <c r="J177">
        <v>0</v>
      </c>
      <c r="K177" s="1">
        <v>41259</v>
      </c>
      <c r="L177">
        <v>79</v>
      </c>
      <c r="M177" t="str">
        <f t="shared" si="7"/>
        <v>Inactive</v>
      </c>
      <c r="N177">
        <v>0</v>
      </c>
      <c r="O177">
        <v>847</v>
      </c>
      <c r="P177">
        <v>66</v>
      </c>
      <c r="Q177">
        <v>119</v>
      </c>
      <c r="R177">
        <v>86</v>
      </c>
      <c r="S177">
        <v>89</v>
      </c>
      <c r="T177">
        <v>111</v>
      </c>
      <c r="U177">
        <v>1318</v>
      </c>
      <c r="V177">
        <v>1</v>
      </c>
      <c r="W177">
        <v>9</v>
      </c>
      <c r="X177">
        <v>10</v>
      </c>
      <c r="Y177">
        <v>5</v>
      </c>
      <c r="Z177">
        <v>24</v>
      </c>
      <c r="AA177">
        <v>4</v>
      </c>
      <c r="AB177" t="str">
        <f t="shared" si="8"/>
        <v>Below average customer</v>
      </c>
    </row>
    <row r="178" spans="1:28" x14ac:dyDescent="0.35">
      <c r="A178">
        <v>10854</v>
      </c>
      <c r="B178">
        <v>1970</v>
      </c>
      <c r="C178" t="s">
        <v>28</v>
      </c>
      <c r="D178" t="s">
        <v>32</v>
      </c>
      <c r="E178" t="s">
        <v>33</v>
      </c>
      <c r="F178">
        <v>38853</v>
      </c>
      <c r="G178" t="str">
        <f t="shared" si="6"/>
        <v>Mid-low</v>
      </c>
      <c r="H178">
        <v>1</v>
      </c>
      <c r="I178">
        <v>1</v>
      </c>
      <c r="J178">
        <v>2</v>
      </c>
      <c r="K178" s="1">
        <v>41782</v>
      </c>
      <c r="L178">
        <v>90</v>
      </c>
      <c r="M178" t="str">
        <f t="shared" si="7"/>
        <v>Inactive</v>
      </c>
      <c r="N178">
        <v>0</v>
      </c>
      <c r="O178">
        <v>29</v>
      </c>
      <c r="P178">
        <v>0</v>
      </c>
      <c r="Q178">
        <v>14</v>
      </c>
      <c r="R178">
        <v>0</v>
      </c>
      <c r="S178">
        <v>0</v>
      </c>
      <c r="T178">
        <v>2</v>
      </c>
      <c r="U178">
        <v>45</v>
      </c>
      <c r="V178">
        <v>2</v>
      </c>
      <c r="W178">
        <v>2</v>
      </c>
      <c r="X178">
        <v>0</v>
      </c>
      <c r="Y178">
        <v>3</v>
      </c>
      <c r="Z178">
        <v>5</v>
      </c>
      <c r="AA178">
        <v>7</v>
      </c>
      <c r="AB178" t="str">
        <f t="shared" si="8"/>
        <v>Below average customer</v>
      </c>
    </row>
    <row r="179" spans="1:28" x14ac:dyDescent="0.35">
      <c r="A179">
        <v>10492</v>
      </c>
      <c r="B179">
        <v>1959</v>
      </c>
      <c r="C179" t="s">
        <v>25</v>
      </c>
      <c r="D179" t="s">
        <v>26</v>
      </c>
      <c r="E179" t="s">
        <v>29</v>
      </c>
      <c r="F179">
        <v>38285</v>
      </c>
      <c r="G179" t="str">
        <f t="shared" si="6"/>
        <v>Mid-low</v>
      </c>
      <c r="H179">
        <v>2</v>
      </c>
      <c r="I179">
        <v>1</v>
      </c>
      <c r="J179">
        <v>3</v>
      </c>
      <c r="K179" s="1">
        <v>41814</v>
      </c>
      <c r="L179">
        <v>96</v>
      </c>
      <c r="M179" t="str">
        <f t="shared" si="7"/>
        <v>Inactive</v>
      </c>
      <c r="N179">
        <v>0</v>
      </c>
      <c r="O179">
        <v>2</v>
      </c>
      <c r="P179">
        <v>0</v>
      </c>
      <c r="Q179">
        <v>5</v>
      </c>
      <c r="R179">
        <v>2</v>
      </c>
      <c r="S179">
        <v>0</v>
      </c>
      <c r="T179">
        <v>1</v>
      </c>
      <c r="U179">
        <v>10</v>
      </c>
      <c r="V179">
        <v>1</v>
      </c>
      <c r="W179">
        <v>0</v>
      </c>
      <c r="X179">
        <v>0</v>
      </c>
      <c r="Y179">
        <v>3</v>
      </c>
      <c r="Z179">
        <v>3</v>
      </c>
      <c r="AA179">
        <v>2</v>
      </c>
      <c r="AB179" t="str">
        <f t="shared" si="8"/>
        <v>Below average customer</v>
      </c>
    </row>
    <row r="180" spans="1:28" x14ac:dyDescent="0.35">
      <c r="A180">
        <v>7698</v>
      </c>
      <c r="B180">
        <v>1976</v>
      </c>
      <c r="C180" t="s">
        <v>31</v>
      </c>
      <c r="D180" t="s">
        <v>32</v>
      </c>
      <c r="E180" t="s">
        <v>33</v>
      </c>
      <c r="F180">
        <v>51650</v>
      </c>
      <c r="G180" t="str">
        <f t="shared" si="6"/>
        <v>Mid-high</v>
      </c>
      <c r="H180">
        <v>0</v>
      </c>
      <c r="I180">
        <v>1</v>
      </c>
      <c r="J180">
        <v>1</v>
      </c>
      <c r="K180" s="1">
        <v>41770</v>
      </c>
      <c r="L180">
        <v>81</v>
      </c>
      <c r="M180" t="str">
        <f t="shared" si="7"/>
        <v>Inactive</v>
      </c>
      <c r="N180">
        <v>0</v>
      </c>
      <c r="O180">
        <v>152</v>
      </c>
      <c r="P180">
        <v>3</v>
      </c>
      <c r="Q180">
        <v>22</v>
      </c>
      <c r="R180">
        <v>2</v>
      </c>
      <c r="S180">
        <v>5</v>
      </c>
      <c r="T180">
        <v>7</v>
      </c>
      <c r="U180">
        <v>191</v>
      </c>
      <c r="V180">
        <v>1</v>
      </c>
      <c r="W180">
        <v>4</v>
      </c>
      <c r="X180">
        <v>1</v>
      </c>
      <c r="Y180">
        <v>4</v>
      </c>
      <c r="Z180">
        <v>9</v>
      </c>
      <c r="AA180">
        <v>5</v>
      </c>
      <c r="AB180" t="str">
        <f t="shared" si="8"/>
        <v>Below average customer</v>
      </c>
    </row>
    <row r="181" spans="1:28" x14ac:dyDescent="0.35">
      <c r="A181">
        <v>3559</v>
      </c>
      <c r="B181">
        <v>1988</v>
      </c>
      <c r="C181" t="s">
        <v>30</v>
      </c>
      <c r="D181" t="s">
        <v>34</v>
      </c>
      <c r="E181" t="s">
        <v>33</v>
      </c>
      <c r="F181">
        <v>16248</v>
      </c>
      <c r="G181" t="str">
        <f t="shared" si="6"/>
        <v>Low</v>
      </c>
      <c r="H181">
        <v>1</v>
      </c>
      <c r="I181">
        <v>0</v>
      </c>
      <c r="J181">
        <v>1</v>
      </c>
      <c r="K181" s="1">
        <v>41769</v>
      </c>
      <c r="L181">
        <v>77</v>
      </c>
      <c r="M181" t="str">
        <f t="shared" si="7"/>
        <v>Inactive</v>
      </c>
      <c r="N181">
        <v>0</v>
      </c>
      <c r="O181">
        <v>12</v>
      </c>
      <c r="P181">
        <v>11</v>
      </c>
      <c r="Q181">
        <v>10</v>
      </c>
      <c r="R181">
        <v>3</v>
      </c>
      <c r="S181">
        <v>12</v>
      </c>
      <c r="T181">
        <v>9</v>
      </c>
      <c r="U181">
        <v>57</v>
      </c>
      <c r="V181">
        <v>3</v>
      </c>
      <c r="W181">
        <v>2</v>
      </c>
      <c r="X181">
        <v>1</v>
      </c>
      <c r="Y181">
        <v>3</v>
      </c>
      <c r="Z181">
        <v>6</v>
      </c>
      <c r="AA181">
        <v>6</v>
      </c>
      <c r="AB181" t="str">
        <f t="shared" si="8"/>
        <v>Below average customer</v>
      </c>
    </row>
    <row r="182" spans="1:28" x14ac:dyDescent="0.35">
      <c r="A182">
        <v>10562</v>
      </c>
      <c r="B182">
        <v>1946</v>
      </c>
      <c r="C182" t="s">
        <v>36</v>
      </c>
      <c r="D182" t="s">
        <v>34</v>
      </c>
      <c r="E182" t="s">
        <v>33</v>
      </c>
      <c r="F182">
        <v>66835</v>
      </c>
      <c r="G182" t="str">
        <f t="shared" si="6"/>
        <v>Mid-high</v>
      </c>
      <c r="H182">
        <v>0</v>
      </c>
      <c r="I182">
        <v>0</v>
      </c>
      <c r="J182">
        <v>0</v>
      </c>
      <c r="K182" s="1">
        <v>41545</v>
      </c>
      <c r="L182">
        <v>21</v>
      </c>
      <c r="M182" t="str">
        <f t="shared" si="7"/>
        <v>Active</v>
      </c>
      <c r="N182">
        <v>0</v>
      </c>
      <c r="O182">
        <v>620</v>
      </c>
      <c r="P182">
        <v>26</v>
      </c>
      <c r="Q182">
        <v>195</v>
      </c>
      <c r="R182">
        <v>34</v>
      </c>
      <c r="S182">
        <v>17</v>
      </c>
      <c r="T182">
        <v>141</v>
      </c>
      <c r="U182">
        <v>1033</v>
      </c>
      <c r="V182">
        <v>1</v>
      </c>
      <c r="W182">
        <v>6</v>
      </c>
      <c r="X182">
        <v>4</v>
      </c>
      <c r="Y182">
        <v>13</v>
      </c>
      <c r="Z182">
        <v>23</v>
      </c>
      <c r="AA182">
        <v>2</v>
      </c>
      <c r="AB182" t="str">
        <f t="shared" si="8"/>
        <v>Above average customer</v>
      </c>
    </row>
    <row r="183" spans="1:28" x14ac:dyDescent="0.35">
      <c r="A183">
        <v>10796</v>
      </c>
      <c r="B183">
        <v>1984</v>
      </c>
      <c r="C183" t="s">
        <v>30</v>
      </c>
      <c r="D183" t="s">
        <v>34</v>
      </c>
      <c r="E183" t="s">
        <v>33</v>
      </c>
      <c r="F183">
        <v>30477</v>
      </c>
      <c r="G183" t="str">
        <f t="shared" si="6"/>
        <v>Low</v>
      </c>
      <c r="H183">
        <v>1</v>
      </c>
      <c r="I183">
        <v>0</v>
      </c>
      <c r="J183">
        <v>1</v>
      </c>
      <c r="K183" s="1">
        <v>41661</v>
      </c>
      <c r="L183">
        <v>16</v>
      </c>
      <c r="M183" t="str">
        <f t="shared" si="7"/>
        <v>Active</v>
      </c>
      <c r="N183">
        <v>0</v>
      </c>
      <c r="O183">
        <v>47</v>
      </c>
      <c r="P183">
        <v>1</v>
      </c>
      <c r="Q183">
        <v>6</v>
      </c>
      <c r="R183">
        <v>0</v>
      </c>
      <c r="S183">
        <v>0</v>
      </c>
      <c r="T183">
        <v>12</v>
      </c>
      <c r="U183">
        <v>66</v>
      </c>
      <c r="V183">
        <v>1</v>
      </c>
      <c r="W183">
        <v>1</v>
      </c>
      <c r="X183">
        <v>1</v>
      </c>
      <c r="Y183">
        <v>3</v>
      </c>
      <c r="Z183">
        <v>5</v>
      </c>
      <c r="AA183">
        <v>6</v>
      </c>
      <c r="AB183" t="str">
        <f t="shared" si="8"/>
        <v>Below average customer</v>
      </c>
    </row>
    <row r="184" spans="1:28" x14ac:dyDescent="0.35">
      <c r="A184">
        <v>2563</v>
      </c>
      <c r="B184">
        <v>1961</v>
      </c>
      <c r="C184" t="s">
        <v>25</v>
      </c>
      <c r="D184" t="s">
        <v>37</v>
      </c>
      <c r="E184" t="s">
        <v>33</v>
      </c>
      <c r="F184">
        <v>28249</v>
      </c>
      <c r="G184" t="str">
        <f t="shared" si="6"/>
        <v>Low</v>
      </c>
      <c r="H184">
        <v>0</v>
      </c>
      <c r="I184">
        <v>0</v>
      </c>
      <c r="J184">
        <v>0</v>
      </c>
      <c r="K184" s="1">
        <v>41805</v>
      </c>
      <c r="L184">
        <v>80</v>
      </c>
      <c r="M184" t="str">
        <f t="shared" si="7"/>
        <v>Inactive</v>
      </c>
      <c r="N184">
        <v>0</v>
      </c>
      <c r="O184">
        <v>1</v>
      </c>
      <c r="P184">
        <v>9</v>
      </c>
      <c r="Q184">
        <v>7</v>
      </c>
      <c r="R184">
        <v>2</v>
      </c>
      <c r="S184">
        <v>14</v>
      </c>
      <c r="T184">
        <v>10</v>
      </c>
      <c r="U184">
        <v>43</v>
      </c>
      <c r="V184">
        <v>1</v>
      </c>
      <c r="W184">
        <v>2</v>
      </c>
      <c r="X184">
        <v>0</v>
      </c>
      <c r="Y184">
        <v>3</v>
      </c>
      <c r="Z184">
        <v>5</v>
      </c>
      <c r="AA184">
        <v>6</v>
      </c>
      <c r="AB184" t="str">
        <f t="shared" si="8"/>
        <v>Below average customer</v>
      </c>
    </row>
    <row r="185" spans="1:28" x14ac:dyDescent="0.35">
      <c r="A185">
        <v>3518</v>
      </c>
      <c r="B185">
        <v>1983</v>
      </c>
      <c r="C185" t="s">
        <v>30</v>
      </c>
      <c r="D185" t="s">
        <v>26</v>
      </c>
      <c r="E185" t="s">
        <v>33</v>
      </c>
      <c r="F185">
        <v>25271</v>
      </c>
      <c r="G185" t="str">
        <f t="shared" si="6"/>
        <v>Low</v>
      </c>
      <c r="H185">
        <v>1</v>
      </c>
      <c r="I185">
        <v>0</v>
      </c>
      <c r="J185">
        <v>1</v>
      </c>
      <c r="K185" s="1">
        <v>41248</v>
      </c>
      <c r="L185">
        <v>45</v>
      </c>
      <c r="M185" t="str">
        <f t="shared" si="7"/>
        <v>Active</v>
      </c>
      <c r="N185">
        <v>0</v>
      </c>
      <c r="O185">
        <v>10</v>
      </c>
      <c r="P185">
        <v>1</v>
      </c>
      <c r="Q185">
        <v>18</v>
      </c>
      <c r="R185">
        <v>10</v>
      </c>
      <c r="S185">
        <v>4</v>
      </c>
      <c r="T185">
        <v>7</v>
      </c>
      <c r="U185">
        <v>50</v>
      </c>
      <c r="V185">
        <v>1</v>
      </c>
      <c r="W185">
        <v>1</v>
      </c>
      <c r="X185">
        <v>1</v>
      </c>
      <c r="Y185">
        <v>2</v>
      </c>
      <c r="Z185">
        <v>4</v>
      </c>
      <c r="AA185">
        <v>9</v>
      </c>
      <c r="AB185" t="str">
        <f t="shared" si="8"/>
        <v>Below average customer</v>
      </c>
    </row>
    <row r="186" spans="1:28" x14ac:dyDescent="0.35">
      <c r="A186">
        <v>5823</v>
      </c>
      <c r="B186">
        <v>1970</v>
      </c>
      <c r="C186" t="s">
        <v>28</v>
      </c>
      <c r="D186" t="s">
        <v>32</v>
      </c>
      <c r="E186" t="s">
        <v>27</v>
      </c>
      <c r="F186">
        <v>32303</v>
      </c>
      <c r="G186" t="str">
        <f t="shared" si="6"/>
        <v>Low</v>
      </c>
      <c r="H186">
        <v>0</v>
      </c>
      <c r="I186">
        <v>1</v>
      </c>
      <c r="J186">
        <v>1</v>
      </c>
      <c r="K186" s="1">
        <v>41706</v>
      </c>
      <c r="L186">
        <v>63</v>
      </c>
      <c r="M186" t="str">
        <f t="shared" si="7"/>
        <v>Inactive</v>
      </c>
      <c r="N186">
        <v>0</v>
      </c>
      <c r="O186">
        <v>35</v>
      </c>
      <c r="P186">
        <v>0</v>
      </c>
      <c r="Q186">
        <v>2</v>
      </c>
      <c r="R186">
        <v>0</v>
      </c>
      <c r="S186">
        <v>0</v>
      </c>
      <c r="T186">
        <v>2</v>
      </c>
      <c r="U186">
        <v>39</v>
      </c>
      <c r="V186">
        <v>2</v>
      </c>
      <c r="W186">
        <v>1</v>
      </c>
      <c r="X186">
        <v>0</v>
      </c>
      <c r="Y186">
        <v>4</v>
      </c>
      <c r="Z186">
        <v>5</v>
      </c>
      <c r="AA186">
        <v>5</v>
      </c>
      <c r="AB186" t="str">
        <f t="shared" si="8"/>
        <v>Below average customer</v>
      </c>
    </row>
    <row r="187" spans="1:28" x14ac:dyDescent="0.35">
      <c r="A187">
        <v>3934</v>
      </c>
      <c r="B187">
        <v>1966</v>
      </c>
      <c r="C187" t="s">
        <v>28</v>
      </c>
      <c r="D187" t="s">
        <v>26</v>
      </c>
      <c r="E187" t="s">
        <v>33</v>
      </c>
      <c r="F187">
        <v>61286</v>
      </c>
      <c r="G187" t="str">
        <f t="shared" si="6"/>
        <v>Mid-high</v>
      </c>
      <c r="H187">
        <v>0</v>
      </c>
      <c r="I187">
        <v>1</v>
      </c>
      <c r="J187">
        <v>1</v>
      </c>
      <c r="K187" s="1">
        <v>41488</v>
      </c>
      <c r="L187">
        <v>34</v>
      </c>
      <c r="M187" t="str">
        <f t="shared" si="7"/>
        <v>Active</v>
      </c>
      <c r="N187">
        <v>0</v>
      </c>
      <c r="O187">
        <v>356</v>
      </c>
      <c r="P187">
        <v>0</v>
      </c>
      <c r="Q187">
        <v>107</v>
      </c>
      <c r="R187">
        <v>19</v>
      </c>
      <c r="S187">
        <v>9</v>
      </c>
      <c r="T187">
        <v>117</v>
      </c>
      <c r="U187">
        <v>608</v>
      </c>
      <c r="V187">
        <v>2</v>
      </c>
      <c r="W187">
        <v>7</v>
      </c>
      <c r="X187">
        <v>1</v>
      </c>
      <c r="Y187">
        <v>8</v>
      </c>
      <c r="Z187">
        <v>16</v>
      </c>
      <c r="AA187">
        <v>5</v>
      </c>
      <c r="AB187" t="str">
        <f t="shared" si="8"/>
        <v>Above average customer</v>
      </c>
    </row>
    <row r="188" spans="1:28" x14ac:dyDescent="0.35">
      <c r="A188">
        <v>6982</v>
      </c>
      <c r="B188">
        <v>1976</v>
      </c>
      <c r="C188" t="s">
        <v>31</v>
      </c>
      <c r="D188" t="s">
        <v>26</v>
      </c>
      <c r="E188" t="s">
        <v>33</v>
      </c>
      <c r="F188">
        <v>74068</v>
      </c>
      <c r="G188" t="str">
        <f t="shared" si="6"/>
        <v>High</v>
      </c>
      <c r="H188">
        <v>0</v>
      </c>
      <c r="I188">
        <v>0</v>
      </c>
      <c r="J188">
        <v>0</v>
      </c>
      <c r="K188" s="1">
        <v>41352</v>
      </c>
      <c r="L188">
        <v>14</v>
      </c>
      <c r="M188" t="str">
        <f t="shared" si="7"/>
        <v>Active</v>
      </c>
      <c r="N188">
        <v>0</v>
      </c>
      <c r="O188">
        <v>783</v>
      </c>
      <c r="P188">
        <v>30</v>
      </c>
      <c r="Q188">
        <v>537</v>
      </c>
      <c r="R188">
        <v>140</v>
      </c>
      <c r="S188">
        <v>76</v>
      </c>
      <c r="T188">
        <v>15</v>
      </c>
      <c r="U188">
        <v>1581</v>
      </c>
      <c r="V188">
        <v>1</v>
      </c>
      <c r="W188">
        <v>4</v>
      </c>
      <c r="X188">
        <v>10</v>
      </c>
      <c r="Y188">
        <v>9</v>
      </c>
      <c r="Z188">
        <v>23</v>
      </c>
      <c r="AA188">
        <v>2</v>
      </c>
      <c r="AB188" t="str">
        <f t="shared" si="8"/>
        <v>Above average customer</v>
      </c>
    </row>
    <row r="189" spans="1:28" x14ac:dyDescent="0.35">
      <c r="A189">
        <v>6431</v>
      </c>
      <c r="B189">
        <v>1964</v>
      </c>
      <c r="C189" t="s">
        <v>28</v>
      </c>
      <c r="D189" t="s">
        <v>32</v>
      </c>
      <c r="E189" t="s">
        <v>33</v>
      </c>
      <c r="F189">
        <v>45759</v>
      </c>
      <c r="G189" t="str">
        <f t="shared" si="6"/>
        <v>Mid-low</v>
      </c>
      <c r="H189">
        <v>1</v>
      </c>
      <c r="I189">
        <v>1</v>
      </c>
      <c r="J189">
        <v>2</v>
      </c>
      <c r="K189" s="1">
        <v>41328</v>
      </c>
      <c r="L189">
        <v>13</v>
      </c>
      <c r="M189" t="str">
        <f t="shared" si="7"/>
        <v>Active</v>
      </c>
      <c r="N189">
        <v>0</v>
      </c>
      <c r="O189">
        <v>42</v>
      </c>
      <c r="P189">
        <v>1</v>
      </c>
      <c r="Q189">
        <v>18</v>
      </c>
      <c r="R189">
        <v>3</v>
      </c>
      <c r="S189">
        <v>0</v>
      </c>
      <c r="T189">
        <v>4</v>
      </c>
      <c r="U189">
        <v>68</v>
      </c>
      <c r="V189">
        <v>2</v>
      </c>
      <c r="W189">
        <v>2</v>
      </c>
      <c r="X189">
        <v>0</v>
      </c>
      <c r="Y189">
        <v>3</v>
      </c>
      <c r="Z189">
        <v>5</v>
      </c>
      <c r="AA189">
        <v>7</v>
      </c>
      <c r="AB189" t="str">
        <f t="shared" si="8"/>
        <v>Below average customer</v>
      </c>
    </row>
    <row r="190" spans="1:28" x14ac:dyDescent="0.35">
      <c r="A190">
        <v>9733</v>
      </c>
      <c r="B190">
        <v>1978</v>
      </c>
      <c r="C190" t="s">
        <v>31</v>
      </c>
      <c r="D190" t="s">
        <v>37</v>
      </c>
      <c r="E190" t="s">
        <v>29</v>
      </c>
      <c r="F190">
        <v>24882</v>
      </c>
      <c r="G190" t="str">
        <f t="shared" si="6"/>
        <v>Low</v>
      </c>
      <c r="H190">
        <v>1</v>
      </c>
      <c r="I190">
        <v>0</v>
      </c>
      <c r="J190">
        <v>1</v>
      </c>
      <c r="K190" s="1">
        <v>41161</v>
      </c>
      <c r="L190">
        <v>52</v>
      </c>
      <c r="M190" t="str">
        <f t="shared" si="7"/>
        <v>Inactive</v>
      </c>
      <c r="N190">
        <v>0</v>
      </c>
      <c r="O190">
        <v>1</v>
      </c>
      <c r="P190">
        <v>4</v>
      </c>
      <c r="Q190">
        <v>10</v>
      </c>
      <c r="R190">
        <v>29</v>
      </c>
      <c r="S190">
        <v>0</v>
      </c>
      <c r="T190">
        <v>36</v>
      </c>
      <c r="U190">
        <v>80</v>
      </c>
      <c r="V190">
        <v>1</v>
      </c>
      <c r="W190">
        <v>1</v>
      </c>
      <c r="X190">
        <v>1</v>
      </c>
      <c r="Y190">
        <v>2</v>
      </c>
      <c r="Z190">
        <v>4</v>
      </c>
      <c r="AA190">
        <v>6</v>
      </c>
      <c r="AB190" t="str">
        <f t="shared" si="8"/>
        <v>Below average customer</v>
      </c>
    </row>
    <row r="191" spans="1:28" x14ac:dyDescent="0.35">
      <c r="A191">
        <v>5602</v>
      </c>
      <c r="B191">
        <v>1989</v>
      </c>
      <c r="C191" t="s">
        <v>30</v>
      </c>
      <c r="D191" t="s">
        <v>32</v>
      </c>
      <c r="E191" t="s">
        <v>29</v>
      </c>
      <c r="F191">
        <v>66973</v>
      </c>
      <c r="G191" t="str">
        <f t="shared" si="6"/>
        <v>Mid-high</v>
      </c>
      <c r="H191">
        <v>0</v>
      </c>
      <c r="I191">
        <v>0</v>
      </c>
      <c r="J191">
        <v>0</v>
      </c>
      <c r="K191" s="1">
        <v>41411</v>
      </c>
      <c r="L191">
        <v>98</v>
      </c>
      <c r="M191" t="str">
        <f t="shared" si="7"/>
        <v>Inactive</v>
      </c>
      <c r="N191">
        <v>0</v>
      </c>
      <c r="O191">
        <v>466</v>
      </c>
      <c r="P191">
        <v>22</v>
      </c>
      <c r="Q191">
        <v>432</v>
      </c>
      <c r="R191">
        <v>147</v>
      </c>
      <c r="S191">
        <v>113</v>
      </c>
      <c r="T191">
        <v>102</v>
      </c>
      <c r="U191">
        <v>1282</v>
      </c>
      <c r="V191">
        <v>1</v>
      </c>
      <c r="W191">
        <v>8</v>
      </c>
      <c r="X191">
        <v>7</v>
      </c>
      <c r="Y191">
        <v>12</v>
      </c>
      <c r="Z191">
        <v>27</v>
      </c>
      <c r="AA191">
        <v>3</v>
      </c>
      <c r="AB191" t="str">
        <f t="shared" si="8"/>
        <v>Below average customer</v>
      </c>
    </row>
    <row r="192" spans="1:28" x14ac:dyDescent="0.35">
      <c r="A192">
        <v>7829</v>
      </c>
      <c r="B192">
        <v>1900</v>
      </c>
      <c r="C192" t="s">
        <v>25</v>
      </c>
      <c r="D192" t="s">
        <v>34</v>
      </c>
      <c r="E192" t="s">
        <v>35</v>
      </c>
      <c r="F192">
        <v>36640</v>
      </c>
      <c r="G192" t="str">
        <f t="shared" si="6"/>
        <v>Mid-low</v>
      </c>
      <c r="H192">
        <v>1</v>
      </c>
      <c r="I192">
        <v>0</v>
      </c>
      <c r="J192">
        <v>1</v>
      </c>
      <c r="K192" s="1">
        <v>41543</v>
      </c>
      <c r="L192">
        <v>99</v>
      </c>
      <c r="M192" t="str">
        <f t="shared" si="7"/>
        <v>Inactive</v>
      </c>
      <c r="N192">
        <v>1</v>
      </c>
      <c r="O192">
        <v>15</v>
      </c>
      <c r="P192">
        <v>6</v>
      </c>
      <c r="Q192">
        <v>8</v>
      </c>
      <c r="R192">
        <v>7</v>
      </c>
      <c r="S192">
        <v>4</v>
      </c>
      <c r="T192">
        <v>25</v>
      </c>
      <c r="U192">
        <v>65</v>
      </c>
      <c r="V192">
        <v>1</v>
      </c>
      <c r="W192">
        <v>2</v>
      </c>
      <c r="X192">
        <v>1</v>
      </c>
      <c r="Y192">
        <v>2</v>
      </c>
      <c r="Z192">
        <v>5</v>
      </c>
      <c r="AA192">
        <v>5</v>
      </c>
      <c r="AB192" t="str">
        <f t="shared" si="8"/>
        <v>Below average customer</v>
      </c>
    </row>
    <row r="193" spans="1:28" x14ac:dyDescent="0.35">
      <c r="A193">
        <v>1324</v>
      </c>
      <c r="B193">
        <v>1988</v>
      </c>
      <c r="C193" t="s">
        <v>30</v>
      </c>
      <c r="D193" t="s">
        <v>26</v>
      </c>
      <c r="E193" t="s">
        <v>33</v>
      </c>
      <c r="F193">
        <v>38872</v>
      </c>
      <c r="G193" t="str">
        <f t="shared" si="6"/>
        <v>Mid-low</v>
      </c>
      <c r="H193">
        <v>1</v>
      </c>
      <c r="I193">
        <v>0</v>
      </c>
      <c r="J193">
        <v>1</v>
      </c>
      <c r="K193" s="1">
        <v>41424</v>
      </c>
      <c r="L193">
        <v>93</v>
      </c>
      <c r="M193" t="str">
        <f t="shared" si="7"/>
        <v>Inactive</v>
      </c>
      <c r="N193">
        <v>0</v>
      </c>
      <c r="O193">
        <v>23</v>
      </c>
      <c r="P193">
        <v>3</v>
      </c>
      <c r="Q193">
        <v>21</v>
      </c>
      <c r="R193">
        <v>3</v>
      </c>
      <c r="S193">
        <v>19</v>
      </c>
      <c r="T193">
        <v>22</v>
      </c>
      <c r="U193">
        <v>91</v>
      </c>
      <c r="V193">
        <v>2</v>
      </c>
      <c r="W193">
        <v>3</v>
      </c>
      <c r="X193">
        <v>0</v>
      </c>
      <c r="Y193">
        <v>3</v>
      </c>
      <c r="Z193">
        <v>6</v>
      </c>
      <c r="AA193">
        <v>8</v>
      </c>
      <c r="AB193" t="str">
        <f t="shared" si="8"/>
        <v>Below average customer</v>
      </c>
    </row>
    <row r="194" spans="1:28" x14ac:dyDescent="0.35">
      <c r="A194">
        <v>326</v>
      </c>
      <c r="B194">
        <v>1973</v>
      </c>
      <c r="C194" t="s">
        <v>31</v>
      </c>
      <c r="D194" t="s">
        <v>26</v>
      </c>
      <c r="E194" t="s">
        <v>33</v>
      </c>
      <c r="F194">
        <v>51148</v>
      </c>
      <c r="G194" t="str">
        <f t="shared" ref="G194:G257" si="9">IF(F194&lt;=_xlfn.PERCENTILE.INC($F$2:$F$2056,0.25),"Low",IF(F194&lt;=_xlfn.PERCENTILE.INC($F$2:$F$2056,0.5),"Mid-low",IF(F194&lt;=_xlfn.PERCENTILE.INC($F$2:$F$2056,0.75),"Mid-high","High")))</f>
        <v>Mid-low</v>
      </c>
      <c r="H194">
        <v>1</v>
      </c>
      <c r="I194">
        <v>1</v>
      </c>
      <c r="J194">
        <v>2</v>
      </c>
      <c r="K194" s="1">
        <v>41323</v>
      </c>
      <c r="L194">
        <v>38</v>
      </c>
      <c r="M194" t="str">
        <f t="shared" ref="M194:M257" si="10">IF(L194&gt;AVERAGE($L$2:$L$2056),"Inactive","Active")</f>
        <v>Active</v>
      </c>
      <c r="N194">
        <v>0</v>
      </c>
      <c r="O194">
        <v>235</v>
      </c>
      <c r="P194">
        <v>6</v>
      </c>
      <c r="Q194">
        <v>45</v>
      </c>
      <c r="R194">
        <v>8</v>
      </c>
      <c r="S194">
        <v>9</v>
      </c>
      <c r="T194">
        <v>12</v>
      </c>
      <c r="U194">
        <v>315</v>
      </c>
      <c r="V194">
        <v>4</v>
      </c>
      <c r="W194">
        <v>5</v>
      </c>
      <c r="X194">
        <v>1</v>
      </c>
      <c r="Y194">
        <v>6</v>
      </c>
      <c r="Z194">
        <v>12</v>
      </c>
      <c r="AA194">
        <v>6</v>
      </c>
      <c r="AB194" t="str">
        <f t="shared" ref="AB194:AB257" si="11">IF(AND(Z194&gt;AVERAGE($Z$2:$Z$2056),U194&gt;AVERAGE($U$2:$U$2056),N194=0,L194&lt;AVERAGE($L$2:$L$2056),F194&gt;AVERAGE($F$2:$F$2240)),"Above average customer","Below average customer")</f>
        <v>Below average customer</v>
      </c>
    </row>
    <row r="195" spans="1:28" x14ac:dyDescent="0.35">
      <c r="A195">
        <v>7224</v>
      </c>
      <c r="B195">
        <v>1977</v>
      </c>
      <c r="C195" t="s">
        <v>31</v>
      </c>
      <c r="D195" t="s">
        <v>26</v>
      </c>
      <c r="E195" t="s">
        <v>33</v>
      </c>
      <c r="F195">
        <v>31353</v>
      </c>
      <c r="G195" t="str">
        <f t="shared" si="9"/>
        <v>Low</v>
      </c>
      <c r="H195">
        <v>1</v>
      </c>
      <c r="I195">
        <v>1</v>
      </c>
      <c r="J195">
        <v>2</v>
      </c>
      <c r="K195" s="1">
        <v>41637</v>
      </c>
      <c r="L195">
        <v>24</v>
      </c>
      <c r="M195" t="str">
        <f t="shared" si="10"/>
        <v>Active</v>
      </c>
      <c r="N195">
        <v>0</v>
      </c>
      <c r="O195">
        <v>10</v>
      </c>
      <c r="P195">
        <v>0</v>
      </c>
      <c r="Q195">
        <v>10</v>
      </c>
      <c r="R195">
        <v>3</v>
      </c>
      <c r="S195">
        <v>1</v>
      </c>
      <c r="T195">
        <v>7</v>
      </c>
      <c r="U195">
        <v>31</v>
      </c>
      <c r="V195">
        <v>2</v>
      </c>
      <c r="W195">
        <v>1</v>
      </c>
      <c r="X195">
        <v>1</v>
      </c>
      <c r="Y195">
        <v>2</v>
      </c>
      <c r="Z195">
        <v>4</v>
      </c>
      <c r="AA195">
        <v>8</v>
      </c>
      <c r="AB195" t="str">
        <f t="shared" si="11"/>
        <v>Below average customer</v>
      </c>
    </row>
    <row r="196" spans="1:28" x14ac:dyDescent="0.35">
      <c r="A196">
        <v>6999</v>
      </c>
      <c r="B196">
        <v>1980</v>
      </c>
      <c r="C196" t="s">
        <v>31</v>
      </c>
      <c r="D196" t="s">
        <v>34</v>
      </c>
      <c r="E196" t="s">
        <v>33</v>
      </c>
      <c r="F196">
        <v>69661</v>
      </c>
      <c r="G196" t="str">
        <f t="shared" si="9"/>
        <v>High</v>
      </c>
      <c r="H196">
        <v>0</v>
      </c>
      <c r="I196">
        <v>0</v>
      </c>
      <c r="J196">
        <v>0</v>
      </c>
      <c r="K196" s="1">
        <v>41772</v>
      </c>
      <c r="L196">
        <v>80</v>
      </c>
      <c r="M196" t="str">
        <f t="shared" si="10"/>
        <v>Inactive</v>
      </c>
      <c r="N196">
        <v>0</v>
      </c>
      <c r="O196">
        <v>656</v>
      </c>
      <c r="P196">
        <v>16</v>
      </c>
      <c r="Q196">
        <v>106</v>
      </c>
      <c r="R196">
        <v>32</v>
      </c>
      <c r="S196">
        <v>16</v>
      </c>
      <c r="T196">
        <v>8</v>
      </c>
      <c r="U196">
        <v>834</v>
      </c>
      <c r="V196">
        <v>1</v>
      </c>
      <c r="W196">
        <v>7</v>
      </c>
      <c r="X196">
        <v>3</v>
      </c>
      <c r="Y196">
        <v>12</v>
      </c>
      <c r="Z196">
        <v>22</v>
      </c>
      <c r="AA196">
        <v>3</v>
      </c>
      <c r="AB196" t="str">
        <f t="shared" si="11"/>
        <v>Below average customer</v>
      </c>
    </row>
    <row r="197" spans="1:28" x14ac:dyDescent="0.35">
      <c r="A197">
        <v>9938</v>
      </c>
      <c r="B197">
        <v>1954</v>
      </c>
      <c r="C197" t="s">
        <v>25</v>
      </c>
      <c r="D197" t="s">
        <v>26</v>
      </c>
      <c r="E197" t="s">
        <v>33</v>
      </c>
      <c r="F197">
        <v>80067</v>
      </c>
      <c r="G197" t="str">
        <f t="shared" si="9"/>
        <v>High</v>
      </c>
      <c r="H197">
        <v>0</v>
      </c>
      <c r="I197">
        <v>0</v>
      </c>
      <c r="J197">
        <v>0</v>
      </c>
      <c r="K197" s="1">
        <v>41536</v>
      </c>
      <c r="L197">
        <v>82</v>
      </c>
      <c r="M197" t="str">
        <f t="shared" si="10"/>
        <v>Inactive</v>
      </c>
      <c r="N197">
        <v>0</v>
      </c>
      <c r="O197">
        <v>519</v>
      </c>
      <c r="P197">
        <v>17</v>
      </c>
      <c r="Q197">
        <v>813</v>
      </c>
      <c r="R197">
        <v>27</v>
      </c>
      <c r="S197">
        <v>173</v>
      </c>
      <c r="T197">
        <v>51</v>
      </c>
      <c r="U197">
        <v>1600</v>
      </c>
      <c r="V197">
        <v>1</v>
      </c>
      <c r="W197">
        <v>4</v>
      </c>
      <c r="X197">
        <v>6</v>
      </c>
      <c r="Y197">
        <v>6</v>
      </c>
      <c r="Z197">
        <v>16</v>
      </c>
      <c r="AA197">
        <v>2</v>
      </c>
      <c r="AB197" t="str">
        <f t="shared" si="11"/>
        <v>Below average customer</v>
      </c>
    </row>
    <row r="198" spans="1:28" x14ac:dyDescent="0.35">
      <c r="A198">
        <v>6422</v>
      </c>
      <c r="B198">
        <v>1954</v>
      </c>
      <c r="C198" t="s">
        <v>25</v>
      </c>
      <c r="D198" t="s">
        <v>26</v>
      </c>
      <c r="E198" t="s">
        <v>33</v>
      </c>
      <c r="F198">
        <v>86718</v>
      </c>
      <c r="G198" t="str">
        <f t="shared" si="9"/>
        <v>High</v>
      </c>
      <c r="H198">
        <v>0</v>
      </c>
      <c r="I198">
        <v>0</v>
      </c>
      <c r="J198">
        <v>0</v>
      </c>
      <c r="K198" s="1">
        <v>41291</v>
      </c>
      <c r="L198">
        <v>20</v>
      </c>
      <c r="M198" t="str">
        <f t="shared" si="10"/>
        <v>Active</v>
      </c>
      <c r="N198">
        <v>0</v>
      </c>
      <c r="O198">
        <v>344</v>
      </c>
      <c r="P198">
        <v>189</v>
      </c>
      <c r="Q198">
        <v>482</v>
      </c>
      <c r="R198">
        <v>50</v>
      </c>
      <c r="S198">
        <v>33</v>
      </c>
      <c r="T198">
        <v>172</v>
      </c>
      <c r="U198">
        <v>1270</v>
      </c>
      <c r="V198">
        <v>1</v>
      </c>
      <c r="W198">
        <v>5</v>
      </c>
      <c r="X198">
        <v>6</v>
      </c>
      <c r="Y198">
        <v>5</v>
      </c>
      <c r="Z198">
        <v>16</v>
      </c>
      <c r="AA198">
        <v>2</v>
      </c>
      <c r="AB198" t="str">
        <f t="shared" si="11"/>
        <v>Above average customer</v>
      </c>
    </row>
    <row r="199" spans="1:28" x14ac:dyDescent="0.35">
      <c r="A199">
        <v>3182</v>
      </c>
      <c r="B199">
        <v>1973</v>
      </c>
      <c r="C199" t="s">
        <v>31</v>
      </c>
      <c r="D199" t="s">
        <v>32</v>
      </c>
      <c r="E199" t="s">
        <v>27</v>
      </c>
      <c r="F199">
        <v>46854</v>
      </c>
      <c r="G199" t="str">
        <f t="shared" si="9"/>
        <v>Mid-low</v>
      </c>
      <c r="H199">
        <v>1</v>
      </c>
      <c r="I199">
        <v>1</v>
      </c>
      <c r="J199">
        <v>2</v>
      </c>
      <c r="K199" s="1">
        <v>41729</v>
      </c>
      <c r="L199">
        <v>81</v>
      </c>
      <c r="M199" t="str">
        <f t="shared" si="10"/>
        <v>Inactive</v>
      </c>
      <c r="N199">
        <v>0</v>
      </c>
      <c r="O199">
        <v>96</v>
      </c>
      <c r="P199">
        <v>1</v>
      </c>
      <c r="Q199">
        <v>79</v>
      </c>
      <c r="R199">
        <v>7</v>
      </c>
      <c r="S199">
        <v>1</v>
      </c>
      <c r="T199">
        <v>79</v>
      </c>
      <c r="U199">
        <v>263</v>
      </c>
      <c r="V199">
        <v>6</v>
      </c>
      <c r="W199">
        <v>5</v>
      </c>
      <c r="X199">
        <v>1</v>
      </c>
      <c r="Y199">
        <v>3</v>
      </c>
      <c r="Z199">
        <v>9</v>
      </c>
      <c r="AA199">
        <v>8</v>
      </c>
      <c r="AB199" t="str">
        <f t="shared" si="11"/>
        <v>Below average customer</v>
      </c>
    </row>
    <row r="200" spans="1:28" x14ac:dyDescent="0.35">
      <c r="A200">
        <v>7300</v>
      </c>
      <c r="B200">
        <v>1952</v>
      </c>
      <c r="C200" t="s">
        <v>36</v>
      </c>
      <c r="D200" t="s">
        <v>26</v>
      </c>
      <c r="E200" t="s">
        <v>35</v>
      </c>
      <c r="F200">
        <v>69142</v>
      </c>
      <c r="G200" t="str">
        <f t="shared" si="9"/>
        <v>High</v>
      </c>
      <c r="H200">
        <v>0</v>
      </c>
      <c r="I200">
        <v>1</v>
      </c>
      <c r="J200">
        <v>1</v>
      </c>
      <c r="K200" s="1">
        <v>41819</v>
      </c>
      <c r="L200">
        <v>50</v>
      </c>
      <c r="M200" t="str">
        <f t="shared" si="10"/>
        <v>Inactive</v>
      </c>
      <c r="N200">
        <v>0</v>
      </c>
      <c r="O200">
        <v>448</v>
      </c>
      <c r="P200">
        <v>4</v>
      </c>
      <c r="Q200">
        <v>34</v>
      </c>
      <c r="R200">
        <v>6</v>
      </c>
      <c r="S200">
        <v>4</v>
      </c>
      <c r="T200">
        <v>39</v>
      </c>
      <c r="U200">
        <v>535</v>
      </c>
      <c r="V200">
        <v>3</v>
      </c>
      <c r="W200">
        <v>8</v>
      </c>
      <c r="X200">
        <v>1</v>
      </c>
      <c r="Y200">
        <v>7</v>
      </c>
      <c r="Z200">
        <v>16</v>
      </c>
      <c r="AA200">
        <v>5</v>
      </c>
      <c r="AB200" t="str">
        <f t="shared" si="11"/>
        <v>Below average customer</v>
      </c>
    </row>
    <row r="201" spans="1:28" x14ac:dyDescent="0.35">
      <c r="A201">
        <v>10424</v>
      </c>
      <c r="B201">
        <v>1968</v>
      </c>
      <c r="C201" t="s">
        <v>28</v>
      </c>
      <c r="D201" t="s">
        <v>26</v>
      </c>
      <c r="E201" t="s">
        <v>27</v>
      </c>
      <c r="F201">
        <v>75922</v>
      </c>
      <c r="G201" t="str">
        <f t="shared" si="9"/>
        <v>High</v>
      </c>
      <c r="H201">
        <v>0</v>
      </c>
      <c r="I201">
        <v>0</v>
      </c>
      <c r="J201">
        <v>0</v>
      </c>
      <c r="K201" s="1">
        <v>41617</v>
      </c>
      <c r="L201">
        <v>60</v>
      </c>
      <c r="M201" t="str">
        <f t="shared" si="10"/>
        <v>Inactive</v>
      </c>
      <c r="N201">
        <v>0</v>
      </c>
      <c r="O201">
        <v>265</v>
      </c>
      <c r="P201">
        <v>138</v>
      </c>
      <c r="Q201">
        <v>553</v>
      </c>
      <c r="R201">
        <v>224</v>
      </c>
      <c r="S201">
        <v>23</v>
      </c>
      <c r="T201">
        <v>92</v>
      </c>
      <c r="U201">
        <v>1295</v>
      </c>
      <c r="V201">
        <v>1</v>
      </c>
      <c r="W201">
        <v>4</v>
      </c>
      <c r="X201">
        <v>4</v>
      </c>
      <c r="Y201">
        <v>9</v>
      </c>
      <c r="Z201">
        <v>17</v>
      </c>
      <c r="AA201">
        <v>1</v>
      </c>
      <c r="AB201" t="str">
        <f t="shared" si="11"/>
        <v>Below average customer</v>
      </c>
    </row>
    <row r="202" spans="1:28" x14ac:dyDescent="0.35">
      <c r="A202">
        <v>8727</v>
      </c>
      <c r="B202">
        <v>1978</v>
      </c>
      <c r="C202" t="s">
        <v>31</v>
      </c>
      <c r="D202" t="s">
        <v>26</v>
      </c>
      <c r="E202" t="s">
        <v>35</v>
      </c>
      <c r="F202">
        <v>63693</v>
      </c>
      <c r="G202" t="str">
        <f t="shared" si="9"/>
        <v>Mid-high</v>
      </c>
      <c r="H202">
        <v>0</v>
      </c>
      <c r="I202">
        <v>1</v>
      </c>
      <c r="J202">
        <v>1</v>
      </c>
      <c r="K202" s="1">
        <v>41561</v>
      </c>
      <c r="L202">
        <v>63</v>
      </c>
      <c r="M202" t="str">
        <f t="shared" si="10"/>
        <v>Inactive</v>
      </c>
      <c r="N202">
        <v>0</v>
      </c>
      <c r="O202">
        <v>587</v>
      </c>
      <c r="P202">
        <v>43</v>
      </c>
      <c r="Q202">
        <v>337</v>
      </c>
      <c r="R202">
        <v>42</v>
      </c>
      <c r="S202">
        <v>87</v>
      </c>
      <c r="T202">
        <v>54</v>
      </c>
      <c r="U202">
        <v>1150</v>
      </c>
      <c r="V202">
        <v>3</v>
      </c>
      <c r="W202">
        <v>11</v>
      </c>
      <c r="X202">
        <v>6</v>
      </c>
      <c r="Y202">
        <v>9</v>
      </c>
      <c r="Z202">
        <v>26</v>
      </c>
      <c r="AA202">
        <v>6</v>
      </c>
      <c r="AB202" t="str">
        <f t="shared" si="11"/>
        <v>Below average customer</v>
      </c>
    </row>
    <row r="203" spans="1:28" x14ac:dyDescent="0.35">
      <c r="A203">
        <v>2798</v>
      </c>
      <c r="B203">
        <v>1977</v>
      </c>
      <c r="C203" t="s">
        <v>31</v>
      </c>
      <c r="D203" t="s">
        <v>32</v>
      </c>
      <c r="E203" t="s">
        <v>29</v>
      </c>
      <c r="F203">
        <v>102160</v>
      </c>
      <c r="G203" t="str">
        <f t="shared" si="9"/>
        <v>High</v>
      </c>
      <c r="H203">
        <v>0</v>
      </c>
      <c r="I203">
        <v>0</v>
      </c>
      <c r="J203">
        <v>0</v>
      </c>
      <c r="K203" s="1">
        <v>41215</v>
      </c>
      <c r="L203">
        <v>54</v>
      </c>
      <c r="M203" t="str">
        <f t="shared" si="10"/>
        <v>Inactive</v>
      </c>
      <c r="N203">
        <v>0</v>
      </c>
      <c r="O203">
        <v>763</v>
      </c>
      <c r="P203">
        <v>29</v>
      </c>
      <c r="Q203">
        <v>138</v>
      </c>
      <c r="R203">
        <v>76</v>
      </c>
      <c r="S203">
        <v>176</v>
      </c>
      <c r="T203">
        <v>58</v>
      </c>
      <c r="U203">
        <v>1240</v>
      </c>
      <c r="V203">
        <v>0</v>
      </c>
      <c r="W203">
        <v>7</v>
      </c>
      <c r="X203">
        <v>9</v>
      </c>
      <c r="Y203">
        <v>10</v>
      </c>
      <c r="Z203">
        <v>26</v>
      </c>
      <c r="AA203">
        <v>4</v>
      </c>
      <c r="AB203" t="str">
        <f t="shared" si="11"/>
        <v>Below average customer</v>
      </c>
    </row>
    <row r="204" spans="1:28" x14ac:dyDescent="0.35">
      <c r="A204">
        <v>1030</v>
      </c>
      <c r="B204">
        <v>1965</v>
      </c>
      <c r="C204" t="s">
        <v>28</v>
      </c>
      <c r="D204" t="s">
        <v>32</v>
      </c>
      <c r="E204" t="s">
        <v>27</v>
      </c>
      <c r="F204">
        <v>40637</v>
      </c>
      <c r="G204" t="str">
        <f t="shared" si="9"/>
        <v>Mid-low</v>
      </c>
      <c r="H204">
        <v>1</v>
      </c>
      <c r="I204">
        <v>1</v>
      </c>
      <c r="J204">
        <v>2</v>
      </c>
      <c r="K204" s="1">
        <v>41472</v>
      </c>
      <c r="L204">
        <v>72</v>
      </c>
      <c r="M204" t="str">
        <f t="shared" si="10"/>
        <v>Inactive</v>
      </c>
      <c r="N204">
        <v>0</v>
      </c>
      <c r="O204">
        <v>22</v>
      </c>
      <c r="P204">
        <v>0</v>
      </c>
      <c r="Q204">
        <v>13</v>
      </c>
      <c r="R204">
        <v>0</v>
      </c>
      <c r="S204">
        <v>0</v>
      </c>
      <c r="T204">
        <v>3</v>
      </c>
      <c r="U204">
        <v>38</v>
      </c>
      <c r="V204">
        <v>2</v>
      </c>
      <c r="W204">
        <v>1</v>
      </c>
      <c r="X204">
        <v>0</v>
      </c>
      <c r="Y204">
        <v>3</v>
      </c>
      <c r="Z204">
        <v>4</v>
      </c>
      <c r="AA204">
        <v>7</v>
      </c>
      <c r="AB204" t="str">
        <f t="shared" si="11"/>
        <v>Below average customer</v>
      </c>
    </row>
    <row r="205" spans="1:28" x14ac:dyDescent="0.35">
      <c r="A205">
        <v>624</v>
      </c>
      <c r="B205">
        <v>1984</v>
      </c>
      <c r="C205" t="s">
        <v>30</v>
      </c>
      <c r="D205" t="s">
        <v>34</v>
      </c>
      <c r="E205" t="s">
        <v>27</v>
      </c>
      <c r="F205">
        <v>18890</v>
      </c>
      <c r="G205" t="str">
        <f t="shared" si="9"/>
        <v>Low</v>
      </c>
      <c r="H205">
        <v>0</v>
      </c>
      <c r="I205">
        <v>0</v>
      </c>
      <c r="J205">
        <v>0</v>
      </c>
      <c r="K205" s="1">
        <v>41223</v>
      </c>
      <c r="L205">
        <v>5</v>
      </c>
      <c r="M205" t="str">
        <f t="shared" si="10"/>
        <v>Active</v>
      </c>
      <c r="N205">
        <v>0</v>
      </c>
      <c r="O205">
        <v>6</v>
      </c>
      <c r="P205">
        <v>4</v>
      </c>
      <c r="Q205">
        <v>1</v>
      </c>
      <c r="R205">
        <v>7</v>
      </c>
      <c r="S205">
        <v>2</v>
      </c>
      <c r="T205">
        <v>15</v>
      </c>
      <c r="U205">
        <v>35</v>
      </c>
      <c r="V205">
        <v>1</v>
      </c>
      <c r="W205">
        <v>0</v>
      </c>
      <c r="X205">
        <v>1</v>
      </c>
      <c r="Y205">
        <v>2</v>
      </c>
      <c r="Z205">
        <v>3</v>
      </c>
      <c r="AA205">
        <v>6</v>
      </c>
      <c r="AB205" t="str">
        <f t="shared" si="11"/>
        <v>Below average customer</v>
      </c>
    </row>
    <row r="206" spans="1:28" x14ac:dyDescent="0.35">
      <c r="A206">
        <v>5176</v>
      </c>
      <c r="B206">
        <v>1988</v>
      </c>
      <c r="C206" t="s">
        <v>30</v>
      </c>
      <c r="D206" t="s">
        <v>26</v>
      </c>
      <c r="E206" t="s">
        <v>29</v>
      </c>
      <c r="F206">
        <v>29604</v>
      </c>
      <c r="G206" t="str">
        <f t="shared" si="9"/>
        <v>Low</v>
      </c>
      <c r="H206">
        <v>1</v>
      </c>
      <c r="I206">
        <v>0</v>
      </c>
      <c r="J206">
        <v>1</v>
      </c>
      <c r="K206" s="1">
        <v>41616</v>
      </c>
      <c r="L206">
        <v>88</v>
      </c>
      <c r="M206" t="str">
        <f t="shared" si="10"/>
        <v>Inactive</v>
      </c>
      <c r="N206">
        <v>0</v>
      </c>
      <c r="O206">
        <v>7</v>
      </c>
      <c r="P206">
        <v>6</v>
      </c>
      <c r="Q206">
        <v>13</v>
      </c>
      <c r="R206">
        <v>7</v>
      </c>
      <c r="S206">
        <v>6</v>
      </c>
      <c r="T206">
        <v>14</v>
      </c>
      <c r="U206">
        <v>53</v>
      </c>
      <c r="V206">
        <v>1</v>
      </c>
      <c r="W206">
        <v>1</v>
      </c>
      <c r="X206">
        <v>0</v>
      </c>
      <c r="Y206">
        <v>3</v>
      </c>
      <c r="Z206">
        <v>4</v>
      </c>
      <c r="AA206">
        <v>9</v>
      </c>
      <c r="AB206" t="str">
        <f t="shared" si="11"/>
        <v>Below average customer</v>
      </c>
    </row>
    <row r="207" spans="1:28" x14ac:dyDescent="0.35">
      <c r="A207">
        <v>5552</v>
      </c>
      <c r="B207">
        <v>1963</v>
      </c>
      <c r="C207" t="s">
        <v>28</v>
      </c>
      <c r="D207" t="s">
        <v>34</v>
      </c>
      <c r="E207" t="s">
        <v>35</v>
      </c>
      <c r="F207">
        <v>48721</v>
      </c>
      <c r="G207" t="str">
        <f t="shared" si="9"/>
        <v>Mid-low</v>
      </c>
      <c r="H207">
        <v>1</v>
      </c>
      <c r="I207">
        <v>1</v>
      </c>
      <c r="J207">
        <v>2</v>
      </c>
      <c r="K207" s="1">
        <v>41407</v>
      </c>
      <c r="L207">
        <v>50</v>
      </c>
      <c r="M207" t="str">
        <f t="shared" si="10"/>
        <v>Inactive</v>
      </c>
      <c r="N207">
        <v>0</v>
      </c>
      <c r="O207">
        <v>81</v>
      </c>
      <c r="P207">
        <v>18</v>
      </c>
      <c r="Q207">
        <v>113</v>
      </c>
      <c r="R207">
        <v>47</v>
      </c>
      <c r="S207">
        <v>13</v>
      </c>
      <c r="T207">
        <v>21</v>
      </c>
      <c r="U207">
        <v>293</v>
      </c>
      <c r="V207">
        <v>6</v>
      </c>
      <c r="W207">
        <v>4</v>
      </c>
      <c r="X207">
        <v>2</v>
      </c>
      <c r="Y207">
        <v>5</v>
      </c>
      <c r="Z207">
        <v>11</v>
      </c>
      <c r="AA207">
        <v>6</v>
      </c>
      <c r="AB207" t="str">
        <f t="shared" si="11"/>
        <v>Below average customer</v>
      </c>
    </row>
    <row r="208" spans="1:28" x14ac:dyDescent="0.35">
      <c r="A208">
        <v>868</v>
      </c>
      <c r="B208">
        <v>1966</v>
      </c>
      <c r="C208" t="s">
        <v>28</v>
      </c>
      <c r="D208" t="s">
        <v>26</v>
      </c>
      <c r="E208" t="s">
        <v>33</v>
      </c>
      <c r="F208">
        <v>44794</v>
      </c>
      <c r="G208" t="str">
        <f t="shared" si="9"/>
        <v>Mid-low</v>
      </c>
      <c r="H208">
        <v>0</v>
      </c>
      <c r="I208">
        <v>1</v>
      </c>
      <c r="J208">
        <v>1</v>
      </c>
      <c r="K208" s="1">
        <v>41798</v>
      </c>
      <c r="L208">
        <v>99</v>
      </c>
      <c r="M208" t="str">
        <f t="shared" si="10"/>
        <v>Inactive</v>
      </c>
      <c r="N208">
        <v>0</v>
      </c>
      <c r="O208">
        <v>54</v>
      </c>
      <c r="P208">
        <v>0</v>
      </c>
      <c r="Q208">
        <v>7</v>
      </c>
      <c r="R208">
        <v>0</v>
      </c>
      <c r="S208">
        <v>0</v>
      </c>
      <c r="T208">
        <v>4</v>
      </c>
      <c r="U208">
        <v>65</v>
      </c>
      <c r="V208">
        <v>1</v>
      </c>
      <c r="W208">
        <v>2</v>
      </c>
      <c r="X208">
        <v>0</v>
      </c>
      <c r="Y208">
        <v>3</v>
      </c>
      <c r="Z208">
        <v>5</v>
      </c>
      <c r="AA208">
        <v>6</v>
      </c>
      <c r="AB208" t="str">
        <f t="shared" si="11"/>
        <v>Below average customer</v>
      </c>
    </row>
    <row r="209" spans="1:28" x14ac:dyDescent="0.35">
      <c r="A209">
        <v>380</v>
      </c>
      <c r="B209">
        <v>1954</v>
      </c>
      <c r="C209" t="s">
        <v>25</v>
      </c>
      <c r="D209" t="s">
        <v>26</v>
      </c>
      <c r="E209" t="s">
        <v>35</v>
      </c>
      <c r="F209">
        <v>64497</v>
      </c>
      <c r="G209" t="str">
        <f t="shared" si="9"/>
        <v>Mid-high</v>
      </c>
      <c r="H209">
        <v>0</v>
      </c>
      <c r="I209">
        <v>1</v>
      </c>
      <c r="J209">
        <v>1</v>
      </c>
      <c r="K209" s="1">
        <v>41162</v>
      </c>
      <c r="L209">
        <v>17</v>
      </c>
      <c r="M209" t="str">
        <f t="shared" si="10"/>
        <v>Active</v>
      </c>
      <c r="N209">
        <v>0</v>
      </c>
      <c r="O209">
        <v>1170</v>
      </c>
      <c r="P209">
        <v>48</v>
      </c>
      <c r="Q209">
        <v>320</v>
      </c>
      <c r="R209">
        <v>42</v>
      </c>
      <c r="S209">
        <v>32</v>
      </c>
      <c r="T209">
        <v>192</v>
      </c>
      <c r="U209">
        <v>1804</v>
      </c>
      <c r="V209">
        <v>5</v>
      </c>
      <c r="W209">
        <v>11</v>
      </c>
      <c r="X209">
        <v>4</v>
      </c>
      <c r="Y209">
        <v>9</v>
      </c>
      <c r="Z209">
        <v>24</v>
      </c>
      <c r="AA209">
        <v>8</v>
      </c>
      <c r="AB209" t="str">
        <f t="shared" si="11"/>
        <v>Above average customer</v>
      </c>
    </row>
    <row r="210" spans="1:28" x14ac:dyDescent="0.35">
      <c r="A210">
        <v>2677</v>
      </c>
      <c r="B210">
        <v>1956</v>
      </c>
      <c r="C210" t="s">
        <v>25</v>
      </c>
      <c r="D210" t="s">
        <v>26</v>
      </c>
      <c r="E210" t="s">
        <v>29</v>
      </c>
      <c r="F210">
        <v>46097</v>
      </c>
      <c r="G210" t="str">
        <f t="shared" si="9"/>
        <v>Mid-low</v>
      </c>
      <c r="H210">
        <v>0</v>
      </c>
      <c r="I210">
        <v>1</v>
      </c>
      <c r="J210">
        <v>1</v>
      </c>
      <c r="K210" s="1">
        <v>41364</v>
      </c>
      <c r="L210">
        <v>11</v>
      </c>
      <c r="M210" t="str">
        <f t="shared" si="10"/>
        <v>Active</v>
      </c>
      <c r="N210">
        <v>0</v>
      </c>
      <c r="O210">
        <v>72</v>
      </c>
      <c r="P210">
        <v>24</v>
      </c>
      <c r="Q210">
        <v>68</v>
      </c>
      <c r="R210">
        <v>65</v>
      </c>
      <c r="S210">
        <v>4</v>
      </c>
      <c r="T210">
        <v>8</v>
      </c>
      <c r="U210">
        <v>241</v>
      </c>
      <c r="V210">
        <v>5</v>
      </c>
      <c r="W210">
        <v>3</v>
      </c>
      <c r="X210">
        <v>1</v>
      </c>
      <c r="Y210">
        <v>6</v>
      </c>
      <c r="Z210">
        <v>10</v>
      </c>
      <c r="AA210">
        <v>4</v>
      </c>
      <c r="AB210" t="str">
        <f t="shared" si="11"/>
        <v>Below average customer</v>
      </c>
    </row>
    <row r="211" spans="1:28" x14ac:dyDescent="0.35">
      <c r="A211">
        <v>6521</v>
      </c>
      <c r="B211">
        <v>1954</v>
      </c>
      <c r="C211" t="s">
        <v>25</v>
      </c>
      <c r="D211" t="s">
        <v>26</v>
      </c>
      <c r="E211" t="s">
        <v>29</v>
      </c>
      <c r="F211">
        <v>77972</v>
      </c>
      <c r="G211" t="str">
        <f t="shared" si="9"/>
        <v>High</v>
      </c>
      <c r="H211">
        <v>0</v>
      </c>
      <c r="I211">
        <v>0</v>
      </c>
      <c r="J211">
        <v>0</v>
      </c>
      <c r="K211" s="1">
        <v>41716</v>
      </c>
      <c r="L211">
        <v>18</v>
      </c>
      <c r="M211" t="str">
        <f t="shared" si="10"/>
        <v>Active</v>
      </c>
      <c r="N211">
        <v>0</v>
      </c>
      <c r="O211">
        <v>613</v>
      </c>
      <c r="P211">
        <v>22</v>
      </c>
      <c r="Q211">
        <v>319</v>
      </c>
      <c r="R211">
        <v>33</v>
      </c>
      <c r="S211">
        <v>102</v>
      </c>
      <c r="T211">
        <v>12</v>
      </c>
      <c r="U211">
        <v>1101</v>
      </c>
      <c r="V211">
        <v>1</v>
      </c>
      <c r="W211">
        <v>4</v>
      </c>
      <c r="X211">
        <v>6</v>
      </c>
      <c r="Y211">
        <v>9</v>
      </c>
      <c r="Z211">
        <v>19</v>
      </c>
      <c r="AA211">
        <v>1</v>
      </c>
      <c r="AB211" t="str">
        <f t="shared" si="11"/>
        <v>Above average customer</v>
      </c>
    </row>
    <row r="212" spans="1:28" x14ac:dyDescent="0.35">
      <c r="A212">
        <v>6927</v>
      </c>
      <c r="B212">
        <v>1968</v>
      </c>
      <c r="C212" t="s">
        <v>28</v>
      </c>
      <c r="D212" t="s">
        <v>32</v>
      </c>
      <c r="E212" t="s">
        <v>33</v>
      </c>
      <c r="F212">
        <v>44377</v>
      </c>
      <c r="G212" t="str">
        <f t="shared" si="9"/>
        <v>Mid-low</v>
      </c>
      <c r="H212">
        <v>1</v>
      </c>
      <c r="I212">
        <v>1</v>
      </c>
      <c r="J212">
        <v>2</v>
      </c>
      <c r="K212" s="1">
        <v>41187</v>
      </c>
      <c r="L212">
        <v>70</v>
      </c>
      <c r="M212" t="str">
        <f t="shared" si="10"/>
        <v>Inactive</v>
      </c>
      <c r="N212">
        <v>0</v>
      </c>
      <c r="O212">
        <v>224</v>
      </c>
      <c r="P212">
        <v>0</v>
      </c>
      <c r="Q212">
        <v>30</v>
      </c>
      <c r="R212">
        <v>0</v>
      </c>
      <c r="S212">
        <v>0</v>
      </c>
      <c r="T212">
        <v>10</v>
      </c>
      <c r="U212">
        <v>264</v>
      </c>
      <c r="V212">
        <v>8</v>
      </c>
      <c r="W212">
        <v>5</v>
      </c>
      <c r="X212">
        <v>1</v>
      </c>
      <c r="Y212">
        <v>5</v>
      </c>
      <c r="Z212">
        <v>11</v>
      </c>
      <c r="AA212">
        <v>8</v>
      </c>
      <c r="AB212" t="str">
        <f t="shared" si="11"/>
        <v>Below average customer</v>
      </c>
    </row>
    <row r="213" spans="1:28" x14ac:dyDescent="0.35">
      <c r="A213">
        <v>2877</v>
      </c>
      <c r="B213">
        <v>1974</v>
      </c>
      <c r="C213" t="s">
        <v>31</v>
      </c>
      <c r="D213" t="s">
        <v>34</v>
      </c>
      <c r="E213" t="s">
        <v>29</v>
      </c>
      <c r="F213">
        <v>46014</v>
      </c>
      <c r="G213" t="str">
        <f t="shared" si="9"/>
        <v>Mid-low</v>
      </c>
      <c r="H213">
        <v>1</v>
      </c>
      <c r="I213">
        <v>1</v>
      </c>
      <c r="J213">
        <v>2</v>
      </c>
      <c r="K213" s="1">
        <v>41295</v>
      </c>
      <c r="L213">
        <v>21</v>
      </c>
      <c r="M213" t="str">
        <f t="shared" si="10"/>
        <v>Active</v>
      </c>
      <c r="N213">
        <v>0</v>
      </c>
      <c r="O213">
        <v>410</v>
      </c>
      <c r="P213">
        <v>0</v>
      </c>
      <c r="Q213">
        <v>59</v>
      </c>
      <c r="R213">
        <v>19</v>
      </c>
      <c r="S213">
        <v>9</v>
      </c>
      <c r="T213">
        <v>44</v>
      </c>
      <c r="U213">
        <v>541</v>
      </c>
      <c r="V213">
        <v>10</v>
      </c>
      <c r="W213">
        <v>7</v>
      </c>
      <c r="X213">
        <v>1</v>
      </c>
      <c r="Y213">
        <v>8</v>
      </c>
      <c r="Z213">
        <v>16</v>
      </c>
      <c r="AA213">
        <v>7</v>
      </c>
      <c r="AB213" t="str">
        <f t="shared" si="11"/>
        <v>Below average customer</v>
      </c>
    </row>
    <row r="214" spans="1:28" x14ac:dyDescent="0.35">
      <c r="A214">
        <v>0</v>
      </c>
      <c r="B214">
        <v>1985</v>
      </c>
      <c r="C214" t="s">
        <v>30</v>
      </c>
      <c r="D214" t="s">
        <v>26</v>
      </c>
      <c r="E214" t="s">
        <v>33</v>
      </c>
      <c r="F214">
        <v>70951</v>
      </c>
      <c r="G214" t="str">
        <f t="shared" si="9"/>
        <v>High</v>
      </c>
      <c r="H214">
        <v>0</v>
      </c>
      <c r="I214">
        <v>0</v>
      </c>
      <c r="J214">
        <v>0</v>
      </c>
      <c r="K214" s="1">
        <v>41398</v>
      </c>
      <c r="L214">
        <v>66</v>
      </c>
      <c r="M214" t="str">
        <f t="shared" si="10"/>
        <v>Inactive</v>
      </c>
      <c r="N214">
        <v>0</v>
      </c>
      <c r="O214">
        <v>239</v>
      </c>
      <c r="P214">
        <v>10</v>
      </c>
      <c r="Q214">
        <v>554</v>
      </c>
      <c r="R214">
        <v>254</v>
      </c>
      <c r="S214">
        <v>87</v>
      </c>
      <c r="T214">
        <v>54</v>
      </c>
      <c r="U214">
        <v>1198</v>
      </c>
      <c r="V214">
        <v>1</v>
      </c>
      <c r="W214">
        <v>3</v>
      </c>
      <c r="X214">
        <v>4</v>
      </c>
      <c r="Y214">
        <v>9</v>
      </c>
      <c r="Z214">
        <v>16</v>
      </c>
      <c r="AA214">
        <v>1</v>
      </c>
      <c r="AB214" t="str">
        <f t="shared" si="11"/>
        <v>Below average customer</v>
      </c>
    </row>
    <row r="215" spans="1:28" x14ac:dyDescent="0.35">
      <c r="A215">
        <v>1584</v>
      </c>
      <c r="B215">
        <v>1977</v>
      </c>
      <c r="C215" t="s">
        <v>31</v>
      </c>
      <c r="D215" t="s">
        <v>26</v>
      </c>
      <c r="E215" t="s">
        <v>33</v>
      </c>
      <c r="F215">
        <v>41443</v>
      </c>
      <c r="G215" t="str">
        <f t="shared" si="9"/>
        <v>Mid-low</v>
      </c>
      <c r="H215">
        <v>1</v>
      </c>
      <c r="I215">
        <v>0</v>
      </c>
      <c r="J215">
        <v>1</v>
      </c>
      <c r="K215" s="1">
        <v>41730</v>
      </c>
      <c r="L215">
        <v>79</v>
      </c>
      <c r="M215" t="str">
        <f t="shared" si="10"/>
        <v>Inactive</v>
      </c>
      <c r="N215">
        <v>0</v>
      </c>
      <c r="O215">
        <v>171</v>
      </c>
      <c r="P215">
        <v>7</v>
      </c>
      <c r="Q215">
        <v>171</v>
      </c>
      <c r="R215">
        <v>25</v>
      </c>
      <c r="S215">
        <v>19</v>
      </c>
      <c r="T215">
        <v>89</v>
      </c>
      <c r="U215">
        <v>482</v>
      </c>
      <c r="V215">
        <v>6</v>
      </c>
      <c r="W215">
        <v>8</v>
      </c>
      <c r="X215">
        <v>1</v>
      </c>
      <c r="Y215">
        <v>5</v>
      </c>
      <c r="Z215">
        <v>14</v>
      </c>
      <c r="AA215">
        <v>8</v>
      </c>
      <c r="AB215" t="str">
        <f t="shared" si="11"/>
        <v>Below average customer</v>
      </c>
    </row>
    <row r="216" spans="1:28" x14ac:dyDescent="0.35">
      <c r="A216">
        <v>7264</v>
      </c>
      <c r="B216">
        <v>1978</v>
      </c>
      <c r="C216" t="s">
        <v>31</v>
      </c>
      <c r="D216" t="s">
        <v>34</v>
      </c>
      <c r="E216" t="s">
        <v>27</v>
      </c>
      <c r="F216">
        <v>52195</v>
      </c>
      <c r="G216" t="str">
        <f t="shared" si="9"/>
        <v>Mid-high</v>
      </c>
      <c r="H216">
        <v>2</v>
      </c>
      <c r="I216">
        <v>1</v>
      </c>
      <c r="J216">
        <v>3</v>
      </c>
      <c r="K216" s="1">
        <v>41771</v>
      </c>
      <c r="L216">
        <v>2</v>
      </c>
      <c r="M216" t="str">
        <f t="shared" si="10"/>
        <v>Active</v>
      </c>
      <c r="N216">
        <v>0</v>
      </c>
      <c r="O216">
        <v>12</v>
      </c>
      <c r="P216">
        <v>0</v>
      </c>
      <c r="Q216">
        <v>4</v>
      </c>
      <c r="R216">
        <v>0</v>
      </c>
      <c r="S216">
        <v>0</v>
      </c>
      <c r="T216">
        <v>1</v>
      </c>
      <c r="U216">
        <v>17</v>
      </c>
      <c r="V216">
        <v>1</v>
      </c>
      <c r="W216">
        <v>1</v>
      </c>
      <c r="X216">
        <v>0</v>
      </c>
      <c r="Y216">
        <v>2</v>
      </c>
      <c r="Z216">
        <v>3</v>
      </c>
      <c r="AA216">
        <v>8</v>
      </c>
      <c r="AB216" t="str">
        <f t="shared" si="11"/>
        <v>Below average customer</v>
      </c>
    </row>
    <row r="217" spans="1:28" x14ac:dyDescent="0.35">
      <c r="A217">
        <v>6274</v>
      </c>
      <c r="B217">
        <v>1948</v>
      </c>
      <c r="C217" t="s">
        <v>36</v>
      </c>
      <c r="D217" t="s">
        <v>34</v>
      </c>
      <c r="E217" t="s">
        <v>33</v>
      </c>
      <c r="F217">
        <v>83790</v>
      </c>
      <c r="G217" t="str">
        <f t="shared" si="9"/>
        <v>High</v>
      </c>
      <c r="H217">
        <v>0</v>
      </c>
      <c r="I217">
        <v>0</v>
      </c>
      <c r="J217">
        <v>0</v>
      </c>
      <c r="K217" s="1">
        <v>41593</v>
      </c>
      <c r="L217">
        <v>81</v>
      </c>
      <c r="M217" t="str">
        <f t="shared" si="10"/>
        <v>Inactive</v>
      </c>
      <c r="N217">
        <v>0</v>
      </c>
      <c r="O217">
        <v>1076</v>
      </c>
      <c r="P217">
        <v>16</v>
      </c>
      <c r="Q217">
        <v>417</v>
      </c>
      <c r="R217">
        <v>42</v>
      </c>
      <c r="S217">
        <v>48</v>
      </c>
      <c r="T217">
        <v>16</v>
      </c>
      <c r="U217">
        <v>1615</v>
      </c>
      <c r="V217">
        <v>1</v>
      </c>
      <c r="W217">
        <v>8</v>
      </c>
      <c r="X217">
        <v>10</v>
      </c>
      <c r="Y217">
        <v>6</v>
      </c>
      <c r="Z217">
        <v>24</v>
      </c>
      <c r="AA217">
        <v>3</v>
      </c>
      <c r="AB217" t="str">
        <f t="shared" si="11"/>
        <v>Below average customer</v>
      </c>
    </row>
    <row r="218" spans="1:28" x14ac:dyDescent="0.35">
      <c r="A218">
        <v>1377</v>
      </c>
      <c r="B218">
        <v>1954</v>
      </c>
      <c r="C218" t="s">
        <v>25</v>
      </c>
      <c r="D218" t="s">
        <v>34</v>
      </c>
      <c r="E218" t="s">
        <v>38</v>
      </c>
      <c r="F218">
        <v>44551</v>
      </c>
      <c r="G218" t="str">
        <f t="shared" si="9"/>
        <v>Mid-low</v>
      </c>
      <c r="H218">
        <v>0</v>
      </c>
      <c r="I218">
        <v>1</v>
      </c>
      <c r="J218">
        <v>1</v>
      </c>
      <c r="K218" s="1">
        <v>41517</v>
      </c>
      <c r="L218">
        <v>24</v>
      </c>
      <c r="M218" t="str">
        <f t="shared" si="10"/>
        <v>Active</v>
      </c>
      <c r="N218">
        <v>0</v>
      </c>
      <c r="O218">
        <v>182</v>
      </c>
      <c r="P218">
        <v>4</v>
      </c>
      <c r="Q218">
        <v>33</v>
      </c>
      <c r="R218">
        <v>0</v>
      </c>
      <c r="S218">
        <v>0</v>
      </c>
      <c r="T218">
        <v>66</v>
      </c>
      <c r="U218">
        <v>285</v>
      </c>
      <c r="V218">
        <v>2</v>
      </c>
      <c r="W218">
        <v>4</v>
      </c>
      <c r="X218">
        <v>1</v>
      </c>
      <c r="Y218">
        <v>5</v>
      </c>
      <c r="Z218">
        <v>10</v>
      </c>
      <c r="AA218">
        <v>7</v>
      </c>
      <c r="AB218" t="str">
        <f t="shared" si="11"/>
        <v>Below average customer</v>
      </c>
    </row>
    <row r="219" spans="1:28" x14ac:dyDescent="0.35">
      <c r="A219">
        <v>454</v>
      </c>
      <c r="B219">
        <v>1980</v>
      </c>
      <c r="C219" t="s">
        <v>31</v>
      </c>
      <c r="D219" t="s">
        <v>26</v>
      </c>
      <c r="E219" t="s">
        <v>29</v>
      </c>
      <c r="F219">
        <v>69508</v>
      </c>
      <c r="G219" t="str">
        <f t="shared" si="9"/>
        <v>High</v>
      </c>
      <c r="H219">
        <v>1</v>
      </c>
      <c r="I219">
        <v>0</v>
      </c>
      <c r="J219">
        <v>1</v>
      </c>
      <c r="K219" s="1">
        <v>41227</v>
      </c>
      <c r="L219">
        <v>48</v>
      </c>
      <c r="M219" t="str">
        <f t="shared" si="10"/>
        <v>Active</v>
      </c>
      <c r="N219">
        <v>0</v>
      </c>
      <c r="O219">
        <v>824</v>
      </c>
      <c r="P219">
        <v>32</v>
      </c>
      <c r="Q219">
        <v>162</v>
      </c>
      <c r="R219">
        <v>42</v>
      </c>
      <c r="S219">
        <v>32</v>
      </c>
      <c r="T219">
        <v>43</v>
      </c>
      <c r="U219">
        <v>1135</v>
      </c>
      <c r="V219">
        <v>2</v>
      </c>
      <c r="W219">
        <v>11</v>
      </c>
      <c r="X219">
        <v>4</v>
      </c>
      <c r="Y219">
        <v>11</v>
      </c>
      <c r="Z219">
        <v>26</v>
      </c>
      <c r="AA219">
        <v>6</v>
      </c>
      <c r="AB219" t="str">
        <f t="shared" si="11"/>
        <v>Above average customer</v>
      </c>
    </row>
    <row r="220" spans="1:28" x14ac:dyDescent="0.35">
      <c r="A220">
        <v>1755</v>
      </c>
      <c r="B220">
        <v>1988</v>
      </c>
      <c r="C220" t="s">
        <v>30</v>
      </c>
      <c r="D220" t="s">
        <v>34</v>
      </c>
      <c r="E220" t="s">
        <v>29</v>
      </c>
      <c r="F220">
        <v>45204</v>
      </c>
      <c r="G220" t="str">
        <f t="shared" si="9"/>
        <v>Mid-low</v>
      </c>
      <c r="H220">
        <v>1</v>
      </c>
      <c r="I220">
        <v>0</v>
      </c>
      <c r="J220">
        <v>1</v>
      </c>
      <c r="K220" s="1">
        <v>41740</v>
      </c>
      <c r="L220">
        <v>93</v>
      </c>
      <c r="M220" t="str">
        <f t="shared" si="10"/>
        <v>Inactive</v>
      </c>
      <c r="N220">
        <v>0</v>
      </c>
      <c r="O220">
        <v>30</v>
      </c>
      <c r="P220">
        <v>11</v>
      </c>
      <c r="Q220">
        <v>25</v>
      </c>
      <c r="R220">
        <v>29</v>
      </c>
      <c r="S220">
        <v>1</v>
      </c>
      <c r="T220">
        <v>18</v>
      </c>
      <c r="U220">
        <v>114</v>
      </c>
      <c r="V220">
        <v>1</v>
      </c>
      <c r="W220">
        <v>1</v>
      </c>
      <c r="X220">
        <v>1</v>
      </c>
      <c r="Y220">
        <v>4</v>
      </c>
      <c r="Z220">
        <v>6</v>
      </c>
      <c r="AA220">
        <v>3</v>
      </c>
      <c r="AB220" t="str">
        <f t="shared" si="11"/>
        <v>Below average customer</v>
      </c>
    </row>
    <row r="221" spans="1:28" x14ac:dyDescent="0.35">
      <c r="A221">
        <v>2075</v>
      </c>
      <c r="B221">
        <v>1969</v>
      </c>
      <c r="C221" t="s">
        <v>28</v>
      </c>
      <c r="D221" t="s">
        <v>26</v>
      </c>
      <c r="E221" t="s">
        <v>33</v>
      </c>
      <c r="F221">
        <v>72460</v>
      </c>
      <c r="G221" t="str">
        <f t="shared" si="9"/>
        <v>High</v>
      </c>
      <c r="H221">
        <v>0</v>
      </c>
      <c r="I221">
        <v>0</v>
      </c>
      <c r="J221">
        <v>0</v>
      </c>
      <c r="K221" s="1">
        <v>41592</v>
      </c>
      <c r="L221">
        <v>56</v>
      </c>
      <c r="M221" t="str">
        <f t="shared" si="10"/>
        <v>Inactive</v>
      </c>
      <c r="N221">
        <v>0</v>
      </c>
      <c r="O221">
        <v>377</v>
      </c>
      <c r="P221">
        <v>10</v>
      </c>
      <c r="Q221">
        <v>540</v>
      </c>
      <c r="R221">
        <v>80</v>
      </c>
      <c r="S221">
        <v>30</v>
      </c>
      <c r="T221">
        <v>10</v>
      </c>
      <c r="U221">
        <v>1047</v>
      </c>
      <c r="V221">
        <v>1</v>
      </c>
      <c r="W221">
        <v>3</v>
      </c>
      <c r="X221">
        <v>5</v>
      </c>
      <c r="Y221">
        <v>7</v>
      </c>
      <c r="Z221">
        <v>15</v>
      </c>
      <c r="AA221">
        <v>1</v>
      </c>
      <c r="AB221" t="str">
        <f t="shared" si="11"/>
        <v>Below average customer</v>
      </c>
    </row>
    <row r="222" spans="1:28" x14ac:dyDescent="0.35">
      <c r="A222">
        <v>4785</v>
      </c>
      <c r="B222">
        <v>1970</v>
      </c>
      <c r="C222" t="s">
        <v>28</v>
      </c>
      <c r="D222" t="s">
        <v>32</v>
      </c>
      <c r="E222" t="s">
        <v>29</v>
      </c>
      <c r="F222">
        <v>77622</v>
      </c>
      <c r="G222" t="str">
        <f t="shared" si="9"/>
        <v>High</v>
      </c>
      <c r="H222">
        <v>0</v>
      </c>
      <c r="I222">
        <v>2</v>
      </c>
      <c r="J222">
        <v>2</v>
      </c>
      <c r="K222" s="1">
        <v>41743</v>
      </c>
      <c r="L222">
        <v>3</v>
      </c>
      <c r="M222" t="str">
        <f t="shared" si="10"/>
        <v>Active</v>
      </c>
      <c r="N222">
        <v>0</v>
      </c>
      <c r="O222">
        <v>520</v>
      </c>
      <c r="P222">
        <v>7</v>
      </c>
      <c r="Q222">
        <v>154</v>
      </c>
      <c r="R222">
        <v>19</v>
      </c>
      <c r="S222">
        <v>0</v>
      </c>
      <c r="T222">
        <v>14</v>
      </c>
      <c r="U222">
        <v>714</v>
      </c>
      <c r="V222">
        <v>2</v>
      </c>
      <c r="W222">
        <v>6</v>
      </c>
      <c r="X222">
        <v>3</v>
      </c>
      <c r="Y222">
        <v>11</v>
      </c>
      <c r="Z222">
        <v>20</v>
      </c>
      <c r="AA222">
        <v>3</v>
      </c>
      <c r="AB222" t="str">
        <f t="shared" si="11"/>
        <v>Above average customer</v>
      </c>
    </row>
    <row r="223" spans="1:28" x14ac:dyDescent="0.35">
      <c r="A223">
        <v>9076</v>
      </c>
      <c r="B223">
        <v>1980</v>
      </c>
      <c r="C223" t="s">
        <v>31</v>
      </c>
      <c r="D223" t="s">
        <v>32</v>
      </c>
      <c r="E223" t="s">
        <v>33</v>
      </c>
      <c r="F223">
        <v>30732</v>
      </c>
      <c r="G223" t="str">
        <f t="shared" si="9"/>
        <v>Low</v>
      </c>
      <c r="H223">
        <v>1</v>
      </c>
      <c r="I223">
        <v>0</v>
      </c>
      <c r="J223">
        <v>1</v>
      </c>
      <c r="K223" s="1">
        <v>41279</v>
      </c>
      <c r="L223">
        <v>44</v>
      </c>
      <c r="M223" t="str">
        <f t="shared" si="10"/>
        <v>Active</v>
      </c>
      <c r="N223">
        <v>0</v>
      </c>
      <c r="O223">
        <v>155</v>
      </c>
      <c r="P223">
        <v>1</v>
      </c>
      <c r="Q223">
        <v>25</v>
      </c>
      <c r="R223">
        <v>0</v>
      </c>
      <c r="S223">
        <v>1</v>
      </c>
      <c r="T223">
        <v>3</v>
      </c>
      <c r="U223">
        <v>185</v>
      </c>
      <c r="V223">
        <v>4</v>
      </c>
      <c r="W223">
        <v>4</v>
      </c>
      <c r="X223">
        <v>1</v>
      </c>
      <c r="Y223">
        <v>4</v>
      </c>
      <c r="Z223">
        <v>9</v>
      </c>
      <c r="AA223">
        <v>8</v>
      </c>
      <c r="AB223" t="str">
        <f t="shared" si="11"/>
        <v>Below average customer</v>
      </c>
    </row>
    <row r="224" spans="1:28" x14ac:dyDescent="0.35">
      <c r="A224">
        <v>7079</v>
      </c>
      <c r="B224">
        <v>1962</v>
      </c>
      <c r="C224" t="s">
        <v>25</v>
      </c>
      <c r="D224" t="s">
        <v>26</v>
      </c>
      <c r="E224" t="s">
        <v>35</v>
      </c>
      <c r="F224">
        <v>63887</v>
      </c>
      <c r="G224" t="str">
        <f t="shared" si="9"/>
        <v>Mid-high</v>
      </c>
      <c r="H224">
        <v>0</v>
      </c>
      <c r="I224">
        <v>1</v>
      </c>
      <c r="J224">
        <v>1</v>
      </c>
      <c r="K224" s="1">
        <v>41160</v>
      </c>
      <c r="L224">
        <v>38</v>
      </c>
      <c r="M224" t="str">
        <f t="shared" si="10"/>
        <v>Active</v>
      </c>
      <c r="N224">
        <v>0</v>
      </c>
      <c r="O224">
        <v>897</v>
      </c>
      <c r="P224">
        <v>23</v>
      </c>
      <c r="Q224">
        <v>207</v>
      </c>
      <c r="R224">
        <v>15</v>
      </c>
      <c r="S224">
        <v>11</v>
      </c>
      <c r="T224">
        <v>92</v>
      </c>
      <c r="U224">
        <v>1245</v>
      </c>
      <c r="V224">
        <v>5</v>
      </c>
      <c r="W224">
        <v>9</v>
      </c>
      <c r="X224">
        <v>6</v>
      </c>
      <c r="Y224">
        <v>12</v>
      </c>
      <c r="Z224">
        <v>27</v>
      </c>
      <c r="AA224">
        <v>6</v>
      </c>
      <c r="AB224" t="str">
        <f t="shared" si="11"/>
        <v>Above average customer</v>
      </c>
    </row>
    <row r="225" spans="1:28" x14ac:dyDescent="0.35">
      <c r="A225">
        <v>4653</v>
      </c>
      <c r="B225">
        <v>1978</v>
      </c>
      <c r="C225" t="s">
        <v>31</v>
      </c>
      <c r="D225" t="s">
        <v>26</v>
      </c>
      <c r="E225" t="s">
        <v>29</v>
      </c>
      <c r="F225">
        <v>42011</v>
      </c>
      <c r="G225" t="str">
        <f t="shared" si="9"/>
        <v>Mid-low</v>
      </c>
      <c r="H225">
        <v>1</v>
      </c>
      <c r="I225">
        <v>0</v>
      </c>
      <c r="J225">
        <v>1</v>
      </c>
      <c r="K225" s="1">
        <v>41359</v>
      </c>
      <c r="L225">
        <v>46</v>
      </c>
      <c r="M225" t="str">
        <f t="shared" si="10"/>
        <v>Active</v>
      </c>
      <c r="N225">
        <v>0</v>
      </c>
      <c r="O225">
        <v>131</v>
      </c>
      <c r="P225">
        <v>0</v>
      </c>
      <c r="Q225">
        <v>16</v>
      </c>
      <c r="R225">
        <v>2</v>
      </c>
      <c r="S225">
        <v>1</v>
      </c>
      <c r="T225">
        <v>39</v>
      </c>
      <c r="U225">
        <v>189</v>
      </c>
      <c r="V225">
        <v>4</v>
      </c>
      <c r="W225">
        <v>3</v>
      </c>
      <c r="X225">
        <v>1</v>
      </c>
      <c r="Y225">
        <v>4</v>
      </c>
      <c r="Z225">
        <v>8</v>
      </c>
      <c r="AA225">
        <v>8</v>
      </c>
      <c r="AB225" t="str">
        <f t="shared" si="11"/>
        <v>Below average customer</v>
      </c>
    </row>
    <row r="226" spans="1:28" x14ac:dyDescent="0.35">
      <c r="A226">
        <v>7375</v>
      </c>
      <c r="B226">
        <v>1976</v>
      </c>
      <c r="C226" t="s">
        <v>31</v>
      </c>
      <c r="D226" t="s">
        <v>26</v>
      </c>
      <c r="E226" t="s">
        <v>29</v>
      </c>
      <c r="F226">
        <v>51369</v>
      </c>
      <c r="G226" t="str">
        <f t="shared" si="9"/>
        <v>Mid-low</v>
      </c>
      <c r="H226">
        <v>0</v>
      </c>
      <c r="I226">
        <v>1</v>
      </c>
      <c r="J226">
        <v>1</v>
      </c>
      <c r="K226" s="1">
        <v>41207</v>
      </c>
      <c r="L226">
        <v>84</v>
      </c>
      <c r="M226" t="str">
        <f t="shared" si="10"/>
        <v>Inactive</v>
      </c>
      <c r="N226">
        <v>0</v>
      </c>
      <c r="O226">
        <v>297</v>
      </c>
      <c r="P226">
        <v>7</v>
      </c>
      <c r="Q226">
        <v>79</v>
      </c>
      <c r="R226">
        <v>0</v>
      </c>
      <c r="S226">
        <v>11</v>
      </c>
      <c r="T226">
        <v>182</v>
      </c>
      <c r="U226">
        <v>576</v>
      </c>
      <c r="V226">
        <v>2</v>
      </c>
      <c r="W226">
        <v>8</v>
      </c>
      <c r="X226">
        <v>2</v>
      </c>
      <c r="Y226">
        <v>4</v>
      </c>
      <c r="Z226">
        <v>14</v>
      </c>
      <c r="AA226">
        <v>8</v>
      </c>
      <c r="AB226" t="str">
        <f t="shared" si="11"/>
        <v>Below average customer</v>
      </c>
    </row>
    <row r="227" spans="1:28" x14ac:dyDescent="0.35">
      <c r="A227">
        <v>709</v>
      </c>
      <c r="B227">
        <v>1952</v>
      </c>
      <c r="C227" t="s">
        <v>36</v>
      </c>
      <c r="D227" t="s">
        <v>26</v>
      </c>
      <c r="E227" t="s">
        <v>35</v>
      </c>
      <c r="F227">
        <v>51537</v>
      </c>
      <c r="G227" t="str">
        <f t="shared" si="9"/>
        <v>Mid-low</v>
      </c>
      <c r="H227">
        <v>0</v>
      </c>
      <c r="I227">
        <v>1</v>
      </c>
      <c r="J227">
        <v>1</v>
      </c>
      <c r="K227" s="1">
        <v>41252</v>
      </c>
      <c r="L227">
        <v>27</v>
      </c>
      <c r="M227" t="str">
        <f t="shared" si="10"/>
        <v>Active</v>
      </c>
      <c r="N227">
        <v>0</v>
      </c>
      <c r="O227">
        <v>787</v>
      </c>
      <c r="P227">
        <v>20</v>
      </c>
      <c r="Q227">
        <v>204</v>
      </c>
      <c r="R227">
        <v>0</v>
      </c>
      <c r="S227">
        <v>0</v>
      </c>
      <c r="T227">
        <v>92</v>
      </c>
      <c r="U227">
        <v>1103</v>
      </c>
      <c r="V227">
        <v>3</v>
      </c>
      <c r="W227">
        <v>2</v>
      </c>
      <c r="X227">
        <v>2</v>
      </c>
      <c r="Y227">
        <v>11</v>
      </c>
      <c r="Z227">
        <v>15</v>
      </c>
      <c r="AA227">
        <v>8</v>
      </c>
      <c r="AB227" t="str">
        <f t="shared" si="11"/>
        <v>Below average customer</v>
      </c>
    </row>
    <row r="228" spans="1:28" x14ac:dyDescent="0.35">
      <c r="A228">
        <v>460</v>
      </c>
      <c r="B228">
        <v>1972</v>
      </c>
      <c r="C228" t="s">
        <v>28</v>
      </c>
      <c r="D228" t="s">
        <v>32</v>
      </c>
      <c r="E228" t="s">
        <v>33</v>
      </c>
      <c r="F228">
        <v>79930</v>
      </c>
      <c r="G228" t="str">
        <f t="shared" si="9"/>
        <v>High</v>
      </c>
      <c r="H228">
        <v>0</v>
      </c>
      <c r="I228">
        <v>0</v>
      </c>
      <c r="J228">
        <v>0</v>
      </c>
      <c r="K228" s="1">
        <v>41129</v>
      </c>
      <c r="L228">
        <v>72</v>
      </c>
      <c r="M228" t="str">
        <f t="shared" si="10"/>
        <v>Inactive</v>
      </c>
      <c r="N228">
        <v>0</v>
      </c>
      <c r="O228">
        <v>792</v>
      </c>
      <c r="P228">
        <v>86</v>
      </c>
      <c r="Q228">
        <v>740</v>
      </c>
      <c r="R228">
        <v>67</v>
      </c>
      <c r="S228">
        <v>51</v>
      </c>
      <c r="T228">
        <v>17</v>
      </c>
      <c r="U228">
        <v>1753</v>
      </c>
      <c r="V228">
        <v>1</v>
      </c>
      <c r="W228">
        <v>3</v>
      </c>
      <c r="X228">
        <v>5</v>
      </c>
      <c r="Y228">
        <v>8</v>
      </c>
      <c r="Z228">
        <v>16</v>
      </c>
      <c r="AA228">
        <v>2</v>
      </c>
      <c r="AB228" t="str">
        <f t="shared" si="11"/>
        <v>Below average customer</v>
      </c>
    </row>
    <row r="229" spans="1:28" x14ac:dyDescent="0.35">
      <c r="A229">
        <v>3726</v>
      </c>
      <c r="B229">
        <v>1986</v>
      </c>
      <c r="C229" t="s">
        <v>30</v>
      </c>
      <c r="D229" t="s">
        <v>32</v>
      </c>
      <c r="E229" t="s">
        <v>29</v>
      </c>
      <c r="F229">
        <v>34320</v>
      </c>
      <c r="G229" t="str">
        <f t="shared" si="9"/>
        <v>Low</v>
      </c>
      <c r="H229">
        <v>1</v>
      </c>
      <c r="I229">
        <v>0</v>
      </c>
      <c r="J229">
        <v>1</v>
      </c>
      <c r="K229" s="1">
        <v>41686</v>
      </c>
      <c r="L229">
        <v>66</v>
      </c>
      <c r="M229" t="str">
        <f t="shared" si="10"/>
        <v>Inactive</v>
      </c>
      <c r="N229">
        <v>0</v>
      </c>
      <c r="O229">
        <v>4</v>
      </c>
      <c r="P229">
        <v>1</v>
      </c>
      <c r="Q229">
        <v>9</v>
      </c>
      <c r="R229">
        <v>3</v>
      </c>
      <c r="S229">
        <v>0</v>
      </c>
      <c r="T229">
        <v>0</v>
      </c>
      <c r="U229">
        <v>17</v>
      </c>
      <c r="V229">
        <v>1</v>
      </c>
      <c r="W229">
        <v>1</v>
      </c>
      <c r="X229">
        <v>0</v>
      </c>
      <c r="Y229">
        <v>2</v>
      </c>
      <c r="Z229">
        <v>3</v>
      </c>
      <c r="AA229">
        <v>8</v>
      </c>
      <c r="AB229" t="str">
        <f t="shared" si="11"/>
        <v>Below average customer</v>
      </c>
    </row>
    <row r="230" spans="1:28" x14ac:dyDescent="0.35">
      <c r="A230">
        <v>6798</v>
      </c>
      <c r="B230">
        <v>1966</v>
      </c>
      <c r="C230" t="s">
        <v>28</v>
      </c>
      <c r="D230" t="s">
        <v>26</v>
      </c>
      <c r="E230" t="s">
        <v>27</v>
      </c>
      <c r="F230">
        <v>37070</v>
      </c>
      <c r="G230" t="str">
        <f t="shared" si="9"/>
        <v>Mid-low</v>
      </c>
      <c r="H230">
        <v>1</v>
      </c>
      <c r="I230">
        <v>1</v>
      </c>
      <c r="J230">
        <v>2</v>
      </c>
      <c r="K230" s="1">
        <v>41353</v>
      </c>
      <c r="L230">
        <v>30</v>
      </c>
      <c r="M230" t="str">
        <f t="shared" si="10"/>
        <v>Active</v>
      </c>
      <c r="N230">
        <v>0</v>
      </c>
      <c r="O230">
        <v>231</v>
      </c>
      <c r="P230">
        <v>7</v>
      </c>
      <c r="Q230">
        <v>137</v>
      </c>
      <c r="R230">
        <v>4</v>
      </c>
      <c r="S230">
        <v>15</v>
      </c>
      <c r="T230">
        <v>39</v>
      </c>
      <c r="U230">
        <v>433</v>
      </c>
      <c r="V230">
        <v>9</v>
      </c>
      <c r="W230">
        <v>5</v>
      </c>
      <c r="X230">
        <v>1</v>
      </c>
      <c r="Y230">
        <v>8</v>
      </c>
      <c r="Z230">
        <v>14</v>
      </c>
      <c r="AA230">
        <v>7</v>
      </c>
      <c r="AB230" t="str">
        <f t="shared" si="11"/>
        <v>Below average customer</v>
      </c>
    </row>
    <row r="231" spans="1:28" x14ac:dyDescent="0.35">
      <c r="A231">
        <v>5341</v>
      </c>
      <c r="B231">
        <v>1962</v>
      </c>
      <c r="C231" t="s">
        <v>25</v>
      </c>
      <c r="D231" t="s">
        <v>34</v>
      </c>
      <c r="E231" t="s">
        <v>35</v>
      </c>
      <c r="F231">
        <v>81975</v>
      </c>
      <c r="G231" t="str">
        <f t="shared" si="9"/>
        <v>High</v>
      </c>
      <c r="H231">
        <v>0</v>
      </c>
      <c r="I231">
        <v>1</v>
      </c>
      <c r="J231">
        <v>1</v>
      </c>
      <c r="K231" s="1">
        <v>41279</v>
      </c>
      <c r="L231">
        <v>2</v>
      </c>
      <c r="M231" t="str">
        <f t="shared" si="10"/>
        <v>Active</v>
      </c>
      <c r="N231">
        <v>0</v>
      </c>
      <c r="O231">
        <v>983</v>
      </c>
      <c r="P231">
        <v>76</v>
      </c>
      <c r="Q231">
        <v>184</v>
      </c>
      <c r="R231">
        <v>180</v>
      </c>
      <c r="S231">
        <v>138</v>
      </c>
      <c r="T231">
        <v>27</v>
      </c>
      <c r="U231">
        <v>1588</v>
      </c>
      <c r="V231">
        <v>1</v>
      </c>
      <c r="W231">
        <v>6</v>
      </c>
      <c r="X231">
        <v>3</v>
      </c>
      <c r="Y231">
        <v>4</v>
      </c>
      <c r="Z231">
        <v>13</v>
      </c>
      <c r="AA231">
        <v>7</v>
      </c>
      <c r="AB231" t="str">
        <f t="shared" si="11"/>
        <v>Above average customer</v>
      </c>
    </row>
    <row r="232" spans="1:28" x14ac:dyDescent="0.35">
      <c r="A232">
        <v>1606</v>
      </c>
      <c r="B232">
        <v>1971</v>
      </c>
      <c r="C232" t="s">
        <v>28</v>
      </c>
      <c r="D232" t="s">
        <v>26</v>
      </c>
      <c r="E232" t="s">
        <v>29</v>
      </c>
      <c r="F232">
        <v>38590</v>
      </c>
      <c r="G232" t="str">
        <f t="shared" si="9"/>
        <v>Mid-low</v>
      </c>
      <c r="H232">
        <v>1</v>
      </c>
      <c r="I232">
        <v>0</v>
      </c>
      <c r="J232">
        <v>1</v>
      </c>
      <c r="K232" s="1">
        <v>41409</v>
      </c>
      <c r="L232">
        <v>65</v>
      </c>
      <c r="M232" t="str">
        <f t="shared" si="10"/>
        <v>Inactive</v>
      </c>
      <c r="N232">
        <v>0</v>
      </c>
      <c r="O232">
        <v>3</v>
      </c>
      <c r="P232">
        <v>1</v>
      </c>
      <c r="Q232">
        <v>8</v>
      </c>
      <c r="R232">
        <v>4</v>
      </c>
      <c r="S232">
        <v>3</v>
      </c>
      <c r="T232">
        <v>3</v>
      </c>
      <c r="U232">
        <v>22</v>
      </c>
      <c r="V232">
        <v>1</v>
      </c>
      <c r="W232">
        <v>1</v>
      </c>
      <c r="X232">
        <v>0</v>
      </c>
      <c r="Y232">
        <v>2</v>
      </c>
      <c r="Z232">
        <v>3</v>
      </c>
      <c r="AA232">
        <v>8</v>
      </c>
      <c r="AB232" t="str">
        <f t="shared" si="11"/>
        <v>Below average customer</v>
      </c>
    </row>
    <row r="233" spans="1:28" x14ac:dyDescent="0.35">
      <c r="A233">
        <v>9617</v>
      </c>
      <c r="B233">
        <v>1951</v>
      </c>
      <c r="C233" t="s">
        <v>36</v>
      </c>
      <c r="D233" t="s">
        <v>26</v>
      </c>
      <c r="E233" t="s">
        <v>27</v>
      </c>
      <c r="F233">
        <v>15033</v>
      </c>
      <c r="G233" t="str">
        <f t="shared" si="9"/>
        <v>Low</v>
      </c>
      <c r="H233">
        <v>0</v>
      </c>
      <c r="I233">
        <v>0</v>
      </c>
      <c r="J233">
        <v>0</v>
      </c>
      <c r="K233" s="1">
        <v>41745</v>
      </c>
      <c r="L233">
        <v>37</v>
      </c>
      <c r="M233" t="str">
        <f t="shared" si="10"/>
        <v>Active</v>
      </c>
      <c r="N233">
        <v>0</v>
      </c>
      <c r="O233">
        <v>0</v>
      </c>
      <c r="P233">
        <v>4</v>
      </c>
      <c r="Q233">
        <v>5</v>
      </c>
      <c r="R233">
        <v>6</v>
      </c>
      <c r="S233">
        <v>0</v>
      </c>
      <c r="T233">
        <v>4</v>
      </c>
      <c r="U233">
        <v>19</v>
      </c>
      <c r="V233">
        <v>1</v>
      </c>
      <c r="W233">
        <v>1</v>
      </c>
      <c r="X233">
        <v>0</v>
      </c>
      <c r="Y233">
        <v>3</v>
      </c>
      <c r="Z233">
        <v>4</v>
      </c>
      <c r="AA233">
        <v>3</v>
      </c>
      <c r="AB233" t="str">
        <f t="shared" si="11"/>
        <v>Below average customer</v>
      </c>
    </row>
    <row r="234" spans="1:28" x14ac:dyDescent="0.35">
      <c r="A234">
        <v>3233</v>
      </c>
      <c r="B234">
        <v>1965</v>
      </c>
      <c r="C234" t="s">
        <v>28</v>
      </c>
      <c r="D234" t="s">
        <v>32</v>
      </c>
      <c r="E234" t="s">
        <v>33</v>
      </c>
      <c r="F234">
        <v>62745</v>
      </c>
      <c r="G234" t="str">
        <f t="shared" si="9"/>
        <v>Mid-high</v>
      </c>
      <c r="H234">
        <v>0</v>
      </c>
      <c r="I234">
        <v>1</v>
      </c>
      <c r="J234">
        <v>1</v>
      </c>
      <c r="K234" s="1">
        <v>41356</v>
      </c>
      <c r="L234">
        <v>89</v>
      </c>
      <c r="M234" t="str">
        <f t="shared" si="10"/>
        <v>Inactive</v>
      </c>
      <c r="N234">
        <v>0</v>
      </c>
      <c r="O234">
        <v>562</v>
      </c>
      <c r="P234">
        <v>21</v>
      </c>
      <c r="Q234">
        <v>464</v>
      </c>
      <c r="R234">
        <v>28</v>
      </c>
      <c r="S234">
        <v>10</v>
      </c>
      <c r="T234">
        <v>32</v>
      </c>
      <c r="U234">
        <v>1117</v>
      </c>
      <c r="V234">
        <v>3</v>
      </c>
      <c r="W234">
        <v>7</v>
      </c>
      <c r="X234">
        <v>8</v>
      </c>
      <c r="Y234">
        <v>11</v>
      </c>
      <c r="Z234">
        <v>26</v>
      </c>
      <c r="AA234">
        <v>5</v>
      </c>
      <c r="AB234" t="str">
        <f t="shared" si="11"/>
        <v>Below average customer</v>
      </c>
    </row>
    <row r="235" spans="1:28" x14ac:dyDescent="0.35">
      <c r="A235">
        <v>89</v>
      </c>
      <c r="B235">
        <v>1975</v>
      </c>
      <c r="C235" t="s">
        <v>31</v>
      </c>
      <c r="D235" t="s">
        <v>34</v>
      </c>
      <c r="E235" t="s">
        <v>33</v>
      </c>
      <c r="F235">
        <v>22212</v>
      </c>
      <c r="G235" t="str">
        <f t="shared" si="9"/>
        <v>Low</v>
      </c>
      <c r="H235">
        <v>1</v>
      </c>
      <c r="I235">
        <v>0</v>
      </c>
      <c r="J235">
        <v>1</v>
      </c>
      <c r="K235" s="1">
        <v>41617</v>
      </c>
      <c r="L235">
        <v>49</v>
      </c>
      <c r="M235" t="str">
        <f t="shared" si="10"/>
        <v>Inactive</v>
      </c>
      <c r="N235">
        <v>0</v>
      </c>
      <c r="O235">
        <v>5</v>
      </c>
      <c r="P235">
        <v>9</v>
      </c>
      <c r="Q235">
        <v>20</v>
      </c>
      <c r="R235">
        <v>6</v>
      </c>
      <c r="S235">
        <v>8</v>
      </c>
      <c r="T235">
        <v>21</v>
      </c>
      <c r="U235">
        <v>69</v>
      </c>
      <c r="V235">
        <v>2</v>
      </c>
      <c r="W235">
        <v>2</v>
      </c>
      <c r="X235">
        <v>0</v>
      </c>
      <c r="Y235">
        <v>4</v>
      </c>
      <c r="Z235">
        <v>6</v>
      </c>
      <c r="AA235">
        <v>6</v>
      </c>
      <c r="AB235" t="str">
        <f t="shared" si="11"/>
        <v>Below average customer</v>
      </c>
    </row>
    <row r="236" spans="1:28" x14ac:dyDescent="0.35">
      <c r="A236">
        <v>2936</v>
      </c>
      <c r="B236">
        <v>1982</v>
      </c>
      <c r="C236" t="s">
        <v>31</v>
      </c>
      <c r="D236" t="s">
        <v>34</v>
      </c>
      <c r="E236" t="s">
        <v>29</v>
      </c>
      <c r="F236">
        <v>23661</v>
      </c>
      <c r="G236" t="str">
        <f t="shared" si="9"/>
        <v>Low</v>
      </c>
      <c r="H236">
        <v>1</v>
      </c>
      <c r="I236">
        <v>0</v>
      </c>
      <c r="J236">
        <v>1</v>
      </c>
      <c r="K236" s="1">
        <v>41612</v>
      </c>
      <c r="L236">
        <v>46</v>
      </c>
      <c r="M236" t="str">
        <f t="shared" si="10"/>
        <v>Active</v>
      </c>
      <c r="N236">
        <v>0</v>
      </c>
      <c r="O236">
        <v>18</v>
      </c>
      <c r="P236">
        <v>0</v>
      </c>
      <c r="Q236">
        <v>4</v>
      </c>
      <c r="R236">
        <v>0</v>
      </c>
      <c r="S236">
        <v>0</v>
      </c>
      <c r="T236">
        <v>1</v>
      </c>
      <c r="U236">
        <v>23</v>
      </c>
      <c r="V236">
        <v>1</v>
      </c>
      <c r="W236">
        <v>1</v>
      </c>
      <c r="X236">
        <v>0</v>
      </c>
      <c r="Y236">
        <v>3</v>
      </c>
      <c r="Z236">
        <v>4</v>
      </c>
      <c r="AA236">
        <v>7</v>
      </c>
      <c r="AB236" t="str">
        <f t="shared" si="11"/>
        <v>Below average customer</v>
      </c>
    </row>
    <row r="237" spans="1:28" x14ac:dyDescent="0.35">
      <c r="A237">
        <v>9449</v>
      </c>
      <c r="B237">
        <v>1958</v>
      </c>
      <c r="C237" t="s">
        <v>25</v>
      </c>
      <c r="D237" t="s">
        <v>32</v>
      </c>
      <c r="E237" t="s">
        <v>27</v>
      </c>
      <c r="F237">
        <v>79761</v>
      </c>
      <c r="G237" t="str">
        <f t="shared" si="9"/>
        <v>High</v>
      </c>
      <c r="H237">
        <v>0</v>
      </c>
      <c r="I237">
        <v>1</v>
      </c>
      <c r="J237">
        <v>1</v>
      </c>
      <c r="K237" s="1">
        <v>41551</v>
      </c>
      <c r="L237">
        <v>32</v>
      </c>
      <c r="M237" t="str">
        <f t="shared" si="10"/>
        <v>Active</v>
      </c>
      <c r="N237">
        <v>0</v>
      </c>
      <c r="O237">
        <v>415</v>
      </c>
      <c r="P237">
        <v>5</v>
      </c>
      <c r="Q237">
        <v>124</v>
      </c>
      <c r="R237">
        <v>15</v>
      </c>
      <c r="S237">
        <v>35</v>
      </c>
      <c r="T237">
        <v>11</v>
      </c>
      <c r="U237">
        <v>605</v>
      </c>
      <c r="V237">
        <v>1</v>
      </c>
      <c r="W237">
        <v>5</v>
      </c>
      <c r="X237">
        <v>2</v>
      </c>
      <c r="Y237">
        <v>11</v>
      </c>
      <c r="Z237">
        <v>18</v>
      </c>
      <c r="AA237">
        <v>3</v>
      </c>
      <c r="AB237" t="str">
        <f t="shared" si="11"/>
        <v>Below average customer</v>
      </c>
    </row>
    <row r="238" spans="1:28" x14ac:dyDescent="0.35">
      <c r="A238">
        <v>7297</v>
      </c>
      <c r="B238">
        <v>1973</v>
      </c>
      <c r="C238" t="s">
        <v>31</v>
      </c>
      <c r="D238" t="s">
        <v>26</v>
      </c>
      <c r="E238" t="s">
        <v>27</v>
      </c>
      <c r="F238">
        <v>7500</v>
      </c>
      <c r="G238" t="str">
        <f t="shared" si="9"/>
        <v>Low</v>
      </c>
      <c r="H238">
        <v>1</v>
      </c>
      <c r="I238">
        <v>0</v>
      </c>
      <c r="J238">
        <v>1</v>
      </c>
      <c r="K238" s="1">
        <v>41634</v>
      </c>
      <c r="L238">
        <v>54</v>
      </c>
      <c r="M238" t="str">
        <f t="shared" si="10"/>
        <v>Inactive</v>
      </c>
      <c r="N238">
        <v>0</v>
      </c>
      <c r="O238">
        <v>5</v>
      </c>
      <c r="P238">
        <v>3</v>
      </c>
      <c r="Q238">
        <v>10</v>
      </c>
      <c r="R238">
        <v>12</v>
      </c>
      <c r="S238">
        <v>7</v>
      </c>
      <c r="T238">
        <v>20</v>
      </c>
      <c r="U238">
        <v>57</v>
      </c>
      <c r="V238">
        <v>4</v>
      </c>
      <c r="W238">
        <v>3</v>
      </c>
      <c r="X238">
        <v>1</v>
      </c>
      <c r="Y238">
        <v>3</v>
      </c>
      <c r="Z238">
        <v>7</v>
      </c>
      <c r="AA238">
        <v>7</v>
      </c>
      <c r="AB238" t="str">
        <f t="shared" si="11"/>
        <v>Below average customer</v>
      </c>
    </row>
    <row r="239" spans="1:28" x14ac:dyDescent="0.35">
      <c r="A239">
        <v>11004</v>
      </c>
      <c r="B239">
        <v>1893</v>
      </c>
      <c r="C239" t="s">
        <v>25</v>
      </c>
      <c r="D239" t="s">
        <v>34</v>
      </c>
      <c r="E239" t="s">
        <v>27</v>
      </c>
      <c r="F239">
        <v>60182</v>
      </c>
      <c r="G239" t="str">
        <f t="shared" si="9"/>
        <v>Mid-high</v>
      </c>
      <c r="H239">
        <v>0</v>
      </c>
      <c r="I239">
        <v>1</v>
      </c>
      <c r="J239">
        <v>1</v>
      </c>
      <c r="K239" s="1">
        <v>41776</v>
      </c>
      <c r="L239">
        <v>23</v>
      </c>
      <c r="M239" t="str">
        <f t="shared" si="10"/>
        <v>Active</v>
      </c>
      <c r="N239">
        <v>0</v>
      </c>
      <c r="O239">
        <v>8</v>
      </c>
      <c r="P239">
        <v>0</v>
      </c>
      <c r="Q239">
        <v>5</v>
      </c>
      <c r="R239">
        <v>7</v>
      </c>
      <c r="S239">
        <v>0</v>
      </c>
      <c r="T239">
        <v>2</v>
      </c>
      <c r="U239">
        <v>22</v>
      </c>
      <c r="V239">
        <v>1</v>
      </c>
      <c r="W239">
        <v>1</v>
      </c>
      <c r="X239">
        <v>0</v>
      </c>
      <c r="Y239">
        <v>2</v>
      </c>
      <c r="Z239">
        <v>3</v>
      </c>
      <c r="AA239">
        <v>4</v>
      </c>
      <c r="AB239" t="str">
        <f t="shared" si="11"/>
        <v>Below average customer</v>
      </c>
    </row>
    <row r="240" spans="1:28" x14ac:dyDescent="0.35">
      <c r="A240">
        <v>313</v>
      </c>
      <c r="B240">
        <v>1968</v>
      </c>
      <c r="C240" t="s">
        <v>28</v>
      </c>
      <c r="D240" t="s">
        <v>26</v>
      </c>
      <c r="E240" t="s">
        <v>38</v>
      </c>
      <c r="F240">
        <v>73455</v>
      </c>
      <c r="G240" t="str">
        <f t="shared" si="9"/>
        <v>High</v>
      </c>
      <c r="H240">
        <v>0</v>
      </c>
      <c r="I240">
        <v>0</v>
      </c>
      <c r="J240">
        <v>0</v>
      </c>
      <c r="K240" s="1">
        <v>41575</v>
      </c>
      <c r="L240">
        <v>98</v>
      </c>
      <c r="M240" t="str">
        <f t="shared" si="10"/>
        <v>Inactive</v>
      </c>
      <c r="N240">
        <v>0</v>
      </c>
      <c r="O240">
        <v>901</v>
      </c>
      <c r="P240">
        <v>61</v>
      </c>
      <c r="Q240">
        <v>757</v>
      </c>
      <c r="R240">
        <v>186</v>
      </c>
      <c r="S240">
        <v>163</v>
      </c>
      <c r="T240">
        <v>20</v>
      </c>
      <c r="U240">
        <v>2088</v>
      </c>
      <c r="V240">
        <v>1</v>
      </c>
      <c r="W240">
        <v>6</v>
      </c>
      <c r="X240">
        <v>5</v>
      </c>
      <c r="Y240">
        <v>10</v>
      </c>
      <c r="Z240">
        <v>21</v>
      </c>
      <c r="AA240">
        <v>3</v>
      </c>
      <c r="AB240" t="str">
        <f t="shared" si="11"/>
        <v>Below average customer</v>
      </c>
    </row>
    <row r="241" spans="1:28" x14ac:dyDescent="0.35">
      <c r="A241">
        <v>9940</v>
      </c>
      <c r="B241">
        <v>1958</v>
      </c>
      <c r="C241" t="s">
        <v>25</v>
      </c>
      <c r="D241" t="s">
        <v>26</v>
      </c>
      <c r="E241" t="s">
        <v>29</v>
      </c>
      <c r="F241">
        <v>64961</v>
      </c>
      <c r="G241" t="str">
        <f t="shared" si="9"/>
        <v>Mid-high</v>
      </c>
      <c r="H241">
        <v>0</v>
      </c>
      <c r="I241">
        <v>1</v>
      </c>
      <c r="J241">
        <v>1</v>
      </c>
      <c r="K241" s="1">
        <v>41266</v>
      </c>
      <c r="L241">
        <v>97</v>
      </c>
      <c r="M241" t="str">
        <f t="shared" si="10"/>
        <v>Inactive</v>
      </c>
      <c r="N241">
        <v>0</v>
      </c>
      <c r="O241">
        <v>382</v>
      </c>
      <c r="P241">
        <v>114</v>
      </c>
      <c r="Q241">
        <v>276</v>
      </c>
      <c r="R241">
        <v>75</v>
      </c>
      <c r="S241">
        <v>124</v>
      </c>
      <c r="T241">
        <v>38</v>
      </c>
      <c r="U241">
        <v>1009</v>
      </c>
      <c r="V241">
        <v>2</v>
      </c>
      <c r="W241">
        <v>6</v>
      </c>
      <c r="X241">
        <v>4</v>
      </c>
      <c r="Y241">
        <v>4</v>
      </c>
      <c r="Z241">
        <v>14</v>
      </c>
      <c r="AA241">
        <v>3</v>
      </c>
      <c r="AB241" t="str">
        <f t="shared" si="11"/>
        <v>Below average customer</v>
      </c>
    </row>
    <row r="242" spans="1:28" x14ac:dyDescent="0.35">
      <c r="A242">
        <v>10735</v>
      </c>
      <c r="B242">
        <v>1971</v>
      </c>
      <c r="C242" t="s">
        <v>28</v>
      </c>
      <c r="D242" t="s">
        <v>26</v>
      </c>
      <c r="E242" t="s">
        <v>27</v>
      </c>
      <c r="F242">
        <v>22804</v>
      </c>
      <c r="G242" t="str">
        <f t="shared" si="9"/>
        <v>Low</v>
      </c>
      <c r="H242">
        <v>1</v>
      </c>
      <c r="I242">
        <v>0</v>
      </c>
      <c r="J242">
        <v>1</v>
      </c>
      <c r="K242" s="1">
        <v>41486</v>
      </c>
      <c r="L242">
        <v>75</v>
      </c>
      <c r="M242" t="str">
        <f t="shared" si="10"/>
        <v>Inactive</v>
      </c>
      <c r="N242">
        <v>0</v>
      </c>
      <c r="O242">
        <v>14</v>
      </c>
      <c r="P242">
        <v>1</v>
      </c>
      <c r="Q242">
        <v>7</v>
      </c>
      <c r="R242">
        <v>2</v>
      </c>
      <c r="S242">
        <v>1</v>
      </c>
      <c r="T242">
        <v>1</v>
      </c>
      <c r="U242">
        <v>26</v>
      </c>
      <c r="V242">
        <v>1</v>
      </c>
      <c r="W242">
        <v>2</v>
      </c>
      <c r="X242">
        <v>0</v>
      </c>
      <c r="Y242">
        <v>2</v>
      </c>
      <c r="Z242">
        <v>4</v>
      </c>
      <c r="AA242">
        <v>9</v>
      </c>
      <c r="AB242" t="str">
        <f t="shared" si="11"/>
        <v>Below average customer</v>
      </c>
    </row>
    <row r="243" spans="1:28" x14ac:dyDescent="0.35">
      <c r="A243">
        <v>9529</v>
      </c>
      <c r="B243">
        <v>1990</v>
      </c>
      <c r="C243" t="s">
        <v>30</v>
      </c>
      <c r="D243" t="s">
        <v>26</v>
      </c>
      <c r="E243" t="s">
        <v>33</v>
      </c>
      <c r="F243">
        <v>73687</v>
      </c>
      <c r="G243" t="str">
        <f t="shared" si="9"/>
        <v>High</v>
      </c>
      <c r="H243">
        <v>0</v>
      </c>
      <c r="I243">
        <v>0</v>
      </c>
      <c r="J243">
        <v>0</v>
      </c>
      <c r="K243" s="1">
        <v>41606</v>
      </c>
      <c r="L243">
        <v>8</v>
      </c>
      <c r="M243" t="str">
        <f t="shared" si="10"/>
        <v>Active</v>
      </c>
      <c r="N243">
        <v>0</v>
      </c>
      <c r="O243">
        <v>559</v>
      </c>
      <c r="P243">
        <v>153</v>
      </c>
      <c r="Q243">
        <v>503</v>
      </c>
      <c r="R243">
        <v>218</v>
      </c>
      <c r="S243">
        <v>13</v>
      </c>
      <c r="T243">
        <v>181</v>
      </c>
      <c r="U243">
        <v>1627</v>
      </c>
      <c r="V243">
        <v>1</v>
      </c>
      <c r="W243">
        <v>3</v>
      </c>
      <c r="X243">
        <v>9</v>
      </c>
      <c r="Y243">
        <v>9</v>
      </c>
      <c r="Z243">
        <v>21</v>
      </c>
      <c r="AA243">
        <v>2</v>
      </c>
      <c r="AB243" t="str">
        <f t="shared" si="11"/>
        <v>Above average customer</v>
      </c>
    </row>
    <row r="244" spans="1:28" x14ac:dyDescent="0.35">
      <c r="A244">
        <v>6439</v>
      </c>
      <c r="B244">
        <v>1958</v>
      </c>
      <c r="C244" t="s">
        <v>25</v>
      </c>
      <c r="D244" t="s">
        <v>26</v>
      </c>
      <c r="E244" t="s">
        <v>33</v>
      </c>
      <c r="F244">
        <v>61074</v>
      </c>
      <c r="G244" t="str">
        <f t="shared" si="9"/>
        <v>Mid-high</v>
      </c>
      <c r="H244">
        <v>0</v>
      </c>
      <c r="I244">
        <v>1</v>
      </c>
      <c r="J244">
        <v>1</v>
      </c>
      <c r="K244" s="1">
        <v>41138</v>
      </c>
      <c r="L244">
        <v>37</v>
      </c>
      <c r="M244" t="str">
        <f t="shared" si="10"/>
        <v>Active</v>
      </c>
      <c r="N244">
        <v>0</v>
      </c>
      <c r="O244">
        <v>789</v>
      </c>
      <c r="P244">
        <v>0</v>
      </c>
      <c r="Q244">
        <v>133</v>
      </c>
      <c r="R244">
        <v>0</v>
      </c>
      <c r="S244">
        <v>28</v>
      </c>
      <c r="T244">
        <v>152</v>
      </c>
      <c r="U244">
        <v>1102</v>
      </c>
      <c r="V244">
        <v>7</v>
      </c>
      <c r="W244">
        <v>11</v>
      </c>
      <c r="X244">
        <v>5</v>
      </c>
      <c r="Y244">
        <v>8</v>
      </c>
      <c r="Z244">
        <v>24</v>
      </c>
      <c r="AA244">
        <v>7</v>
      </c>
      <c r="AB244" t="str">
        <f t="shared" si="11"/>
        <v>Above average customer</v>
      </c>
    </row>
    <row r="245" spans="1:28" x14ac:dyDescent="0.35">
      <c r="A245">
        <v>7411</v>
      </c>
      <c r="B245">
        <v>1964</v>
      </c>
      <c r="C245" t="s">
        <v>28</v>
      </c>
      <c r="D245" t="s">
        <v>32</v>
      </c>
      <c r="E245" t="s">
        <v>33</v>
      </c>
      <c r="F245">
        <v>31686</v>
      </c>
      <c r="G245" t="str">
        <f t="shared" si="9"/>
        <v>Low</v>
      </c>
      <c r="H245">
        <v>1</v>
      </c>
      <c r="I245">
        <v>1</v>
      </c>
      <c r="J245">
        <v>2</v>
      </c>
      <c r="K245" s="1">
        <v>41795</v>
      </c>
      <c r="L245">
        <v>31</v>
      </c>
      <c r="M245" t="str">
        <f t="shared" si="10"/>
        <v>Active</v>
      </c>
      <c r="N245">
        <v>0</v>
      </c>
      <c r="O245">
        <v>11</v>
      </c>
      <c r="P245">
        <v>0</v>
      </c>
      <c r="Q245">
        <v>5</v>
      </c>
      <c r="R245">
        <v>0</v>
      </c>
      <c r="S245">
        <v>0</v>
      </c>
      <c r="T245">
        <v>1</v>
      </c>
      <c r="U245">
        <v>17</v>
      </c>
      <c r="V245">
        <v>2</v>
      </c>
      <c r="W245">
        <v>1</v>
      </c>
      <c r="X245">
        <v>0</v>
      </c>
      <c r="Y245">
        <v>3</v>
      </c>
      <c r="Z245">
        <v>4</v>
      </c>
      <c r="AA245">
        <v>6</v>
      </c>
      <c r="AB245" t="str">
        <f t="shared" si="11"/>
        <v>Below average customer</v>
      </c>
    </row>
    <row r="246" spans="1:28" x14ac:dyDescent="0.35">
      <c r="A246">
        <v>2176</v>
      </c>
      <c r="B246">
        <v>1972</v>
      </c>
      <c r="C246" t="s">
        <v>28</v>
      </c>
      <c r="D246" t="s">
        <v>26</v>
      </c>
      <c r="E246" t="s">
        <v>33</v>
      </c>
      <c r="F246">
        <v>80134</v>
      </c>
      <c r="G246" t="str">
        <f t="shared" si="9"/>
        <v>High</v>
      </c>
      <c r="H246">
        <v>1</v>
      </c>
      <c r="I246">
        <v>0</v>
      </c>
      <c r="J246">
        <v>1</v>
      </c>
      <c r="K246" s="1">
        <v>41414</v>
      </c>
      <c r="L246">
        <v>40</v>
      </c>
      <c r="M246" t="str">
        <f t="shared" si="10"/>
        <v>Active</v>
      </c>
      <c r="N246">
        <v>0</v>
      </c>
      <c r="O246">
        <v>1218</v>
      </c>
      <c r="P246">
        <v>16</v>
      </c>
      <c r="Q246">
        <v>272</v>
      </c>
      <c r="R246">
        <v>104</v>
      </c>
      <c r="S246">
        <v>0</v>
      </c>
      <c r="T246">
        <v>80</v>
      </c>
      <c r="U246">
        <v>1690</v>
      </c>
      <c r="V246">
        <v>2</v>
      </c>
      <c r="W246">
        <v>5</v>
      </c>
      <c r="X246">
        <v>3</v>
      </c>
      <c r="Y246">
        <v>6</v>
      </c>
      <c r="Z246">
        <v>14</v>
      </c>
      <c r="AA246">
        <v>6</v>
      </c>
      <c r="AB246" t="str">
        <f t="shared" si="11"/>
        <v>Above average customer</v>
      </c>
    </row>
    <row r="247" spans="1:28" x14ac:dyDescent="0.35">
      <c r="A247">
        <v>9265</v>
      </c>
      <c r="B247">
        <v>1953</v>
      </c>
      <c r="C247" t="s">
        <v>25</v>
      </c>
      <c r="D247" t="s">
        <v>26</v>
      </c>
      <c r="E247" t="s">
        <v>33</v>
      </c>
      <c r="F247">
        <v>75027</v>
      </c>
      <c r="G247" t="str">
        <f t="shared" si="9"/>
        <v>High</v>
      </c>
      <c r="H247">
        <v>0</v>
      </c>
      <c r="I247">
        <v>1</v>
      </c>
      <c r="J247">
        <v>1</v>
      </c>
      <c r="K247" s="1">
        <v>41283</v>
      </c>
      <c r="L247">
        <v>74</v>
      </c>
      <c r="M247" t="str">
        <f t="shared" si="10"/>
        <v>Inactive</v>
      </c>
      <c r="N247">
        <v>0</v>
      </c>
      <c r="O247">
        <v>925</v>
      </c>
      <c r="P247">
        <v>64</v>
      </c>
      <c r="Q247">
        <v>179</v>
      </c>
      <c r="R247">
        <v>133</v>
      </c>
      <c r="S247">
        <v>12</v>
      </c>
      <c r="T247">
        <v>77</v>
      </c>
      <c r="U247">
        <v>1390</v>
      </c>
      <c r="V247">
        <v>2</v>
      </c>
      <c r="W247">
        <v>9</v>
      </c>
      <c r="X247">
        <v>4</v>
      </c>
      <c r="Y247">
        <v>6</v>
      </c>
      <c r="Z247">
        <v>19</v>
      </c>
      <c r="AA247">
        <v>5</v>
      </c>
      <c r="AB247" t="str">
        <f t="shared" si="11"/>
        <v>Below average customer</v>
      </c>
    </row>
    <row r="248" spans="1:28" x14ac:dyDescent="0.35">
      <c r="A248">
        <v>8867</v>
      </c>
      <c r="B248">
        <v>1988</v>
      </c>
      <c r="C248" t="s">
        <v>30</v>
      </c>
      <c r="D248" t="s">
        <v>32</v>
      </c>
      <c r="E248" t="s">
        <v>33</v>
      </c>
      <c r="F248">
        <v>67546</v>
      </c>
      <c r="G248" t="str">
        <f t="shared" si="9"/>
        <v>Mid-high</v>
      </c>
      <c r="H248">
        <v>0</v>
      </c>
      <c r="I248">
        <v>0</v>
      </c>
      <c r="J248">
        <v>0</v>
      </c>
      <c r="K248" s="1">
        <v>41152</v>
      </c>
      <c r="L248">
        <v>90</v>
      </c>
      <c r="M248" t="str">
        <f t="shared" si="10"/>
        <v>Inactive</v>
      </c>
      <c r="N248">
        <v>0</v>
      </c>
      <c r="O248">
        <v>864</v>
      </c>
      <c r="P248">
        <v>134</v>
      </c>
      <c r="Q248">
        <v>768</v>
      </c>
      <c r="R248">
        <v>150</v>
      </c>
      <c r="S248">
        <v>38</v>
      </c>
      <c r="T248">
        <v>172</v>
      </c>
      <c r="U248">
        <v>2126</v>
      </c>
      <c r="V248">
        <v>1</v>
      </c>
      <c r="W248">
        <v>4</v>
      </c>
      <c r="X248">
        <v>10</v>
      </c>
      <c r="Y248">
        <v>5</v>
      </c>
      <c r="Z248">
        <v>19</v>
      </c>
      <c r="AA248">
        <v>3</v>
      </c>
      <c r="AB248" t="str">
        <f t="shared" si="11"/>
        <v>Below average customer</v>
      </c>
    </row>
    <row r="249" spans="1:28" x14ac:dyDescent="0.35">
      <c r="A249">
        <v>8932</v>
      </c>
      <c r="B249">
        <v>1969</v>
      </c>
      <c r="C249" t="s">
        <v>28</v>
      </c>
      <c r="D249" t="s">
        <v>34</v>
      </c>
      <c r="E249" t="s">
        <v>29</v>
      </c>
      <c r="F249">
        <v>65176</v>
      </c>
      <c r="G249" t="str">
        <f t="shared" si="9"/>
        <v>Mid-high</v>
      </c>
      <c r="H249">
        <v>0</v>
      </c>
      <c r="I249">
        <v>1</v>
      </c>
      <c r="J249">
        <v>1</v>
      </c>
      <c r="K249" s="1">
        <v>41211</v>
      </c>
      <c r="L249">
        <v>57</v>
      </c>
      <c r="M249" t="str">
        <f t="shared" si="10"/>
        <v>Inactive</v>
      </c>
      <c r="N249">
        <v>0</v>
      </c>
      <c r="O249">
        <v>960</v>
      </c>
      <c r="P249">
        <v>28</v>
      </c>
      <c r="Q249">
        <v>183</v>
      </c>
      <c r="R249">
        <v>220</v>
      </c>
      <c r="S249">
        <v>70</v>
      </c>
      <c r="T249">
        <v>70</v>
      </c>
      <c r="U249">
        <v>1531</v>
      </c>
      <c r="V249">
        <v>4</v>
      </c>
      <c r="W249">
        <v>9</v>
      </c>
      <c r="X249">
        <v>6</v>
      </c>
      <c r="Y249">
        <v>6</v>
      </c>
      <c r="Z249">
        <v>21</v>
      </c>
      <c r="AA249">
        <v>6</v>
      </c>
      <c r="AB249" t="str">
        <f t="shared" si="11"/>
        <v>Below average customer</v>
      </c>
    </row>
    <row r="250" spans="1:28" x14ac:dyDescent="0.35">
      <c r="A250">
        <v>10236</v>
      </c>
      <c r="B250">
        <v>1975</v>
      </c>
      <c r="C250" t="s">
        <v>31</v>
      </c>
      <c r="D250" t="s">
        <v>34</v>
      </c>
      <c r="E250" t="s">
        <v>27</v>
      </c>
      <c r="F250">
        <v>31160</v>
      </c>
      <c r="G250" t="str">
        <f t="shared" si="9"/>
        <v>Low</v>
      </c>
      <c r="H250">
        <v>1</v>
      </c>
      <c r="I250">
        <v>0</v>
      </c>
      <c r="J250">
        <v>1</v>
      </c>
      <c r="K250" s="1">
        <v>41533</v>
      </c>
      <c r="L250">
        <v>59</v>
      </c>
      <c r="M250" t="str">
        <f t="shared" si="10"/>
        <v>Inactive</v>
      </c>
      <c r="N250">
        <v>0</v>
      </c>
      <c r="O250">
        <v>16</v>
      </c>
      <c r="P250">
        <v>3</v>
      </c>
      <c r="Q250">
        <v>25</v>
      </c>
      <c r="R250">
        <v>6</v>
      </c>
      <c r="S250">
        <v>1</v>
      </c>
      <c r="T250">
        <v>13</v>
      </c>
      <c r="U250">
        <v>64</v>
      </c>
      <c r="V250">
        <v>2</v>
      </c>
      <c r="W250">
        <v>2</v>
      </c>
      <c r="X250">
        <v>0</v>
      </c>
      <c r="Y250">
        <v>3</v>
      </c>
      <c r="Z250">
        <v>5</v>
      </c>
      <c r="AA250">
        <v>8</v>
      </c>
      <c r="AB250" t="str">
        <f t="shared" si="11"/>
        <v>Below average customer</v>
      </c>
    </row>
    <row r="251" spans="1:28" x14ac:dyDescent="0.35">
      <c r="A251">
        <v>6340</v>
      </c>
      <c r="B251">
        <v>1985</v>
      </c>
      <c r="C251" t="s">
        <v>30</v>
      </c>
      <c r="D251" t="s">
        <v>26</v>
      </c>
      <c r="E251" t="s">
        <v>27</v>
      </c>
      <c r="F251">
        <v>29938</v>
      </c>
      <c r="G251" t="str">
        <f t="shared" si="9"/>
        <v>Low</v>
      </c>
      <c r="H251">
        <v>1</v>
      </c>
      <c r="I251">
        <v>0</v>
      </c>
      <c r="J251">
        <v>1</v>
      </c>
      <c r="K251" s="1">
        <v>41574</v>
      </c>
      <c r="L251">
        <v>52</v>
      </c>
      <c r="M251" t="str">
        <f t="shared" si="10"/>
        <v>Inactive</v>
      </c>
      <c r="N251">
        <v>0</v>
      </c>
      <c r="O251">
        <v>3</v>
      </c>
      <c r="P251">
        <v>3</v>
      </c>
      <c r="Q251">
        <v>7</v>
      </c>
      <c r="R251">
        <v>0</v>
      </c>
      <c r="S251">
        <v>2</v>
      </c>
      <c r="T251">
        <v>11</v>
      </c>
      <c r="U251">
        <v>26</v>
      </c>
      <c r="V251">
        <v>2</v>
      </c>
      <c r="W251">
        <v>1</v>
      </c>
      <c r="X251">
        <v>0</v>
      </c>
      <c r="Y251">
        <v>3</v>
      </c>
      <c r="Z251">
        <v>4</v>
      </c>
      <c r="AA251">
        <v>6</v>
      </c>
      <c r="AB251" t="str">
        <f t="shared" si="11"/>
        <v>Below average customer</v>
      </c>
    </row>
    <row r="252" spans="1:28" x14ac:dyDescent="0.35">
      <c r="A252">
        <v>10089</v>
      </c>
      <c r="B252">
        <v>1974</v>
      </c>
      <c r="C252" t="s">
        <v>31</v>
      </c>
      <c r="D252" t="s">
        <v>26</v>
      </c>
      <c r="E252" t="s">
        <v>35</v>
      </c>
      <c r="F252">
        <v>102692</v>
      </c>
      <c r="G252" t="str">
        <f t="shared" si="9"/>
        <v>High</v>
      </c>
      <c r="H252">
        <v>0</v>
      </c>
      <c r="I252">
        <v>0</v>
      </c>
      <c r="J252">
        <v>0</v>
      </c>
      <c r="K252" s="1">
        <v>41369</v>
      </c>
      <c r="L252">
        <v>5</v>
      </c>
      <c r="M252" t="str">
        <f t="shared" si="10"/>
        <v>Active</v>
      </c>
      <c r="N252">
        <v>0</v>
      </c>
      <c r="O252">
        <v>168</v>
      </c>
      <c r="P252">
        <v>148</v>
      </c>
      <c r="Q252">
        <v>444</v>
      </c>
      <c r="R252">
        <v>32</v>
      </c>
      <c r="S252">
        <v>172</v>
      </c>
      <c r="T252">
        <v>148</v>
      </c>
      <c r="U252">
        <v>1112</v>
      </c>
      <c r="V252">
        <v>1</v>
      </c>
      <c r="W252">
        <v>6</v>
      </c>
      <c r="X252">
        <v>9</v>
      </c>
      <c r="Y252">
        <v>13</v>
      </c>
      <c r="Z252">
        <v>28</v>
      </c>
      <c r="AA252">
        <v>2</v>
      </c>
      <c r="AB252" t="str">
        <f t="shared" si="11"/>
        <v>Above average customer</v>
      </c>
    </row>
    <row r="253" spans="1:28" x14ac:dyDescent="0.35">
      <c r="A253">
        <v>2227</v>
      </c>
      <c r="B253">
        <v>1958</v>
      </c>
      <c r="C253" t="s">
        <v>25</v>
      </c>
      <c r="D253" t="s">
        <v>34</v>
      </c>
      <c r="E253" t="s">
        <v>29</v>
      </c>
      <c r="F253">
        <v>26490</v>
      </c>
      <c r="G253" t="str">
        <f t="shared" si="9"/>
        <v>Low</v>
      </c>
      <c r="H253">
        <v>0</v>
      </c>
      <c r="I253">
        <v>0</v>
      </c>
      <c r="J253">
        <v>0</v>
      </c>
      <c r="K253" s="1">
        <v>41174</v>
      </c>
      <c r="L253">
        <v>92</v>
      </c>
      <c r="M253" t="str">
        <f t="shared" si="10"/>
        <v>Inactive</v>
      </c>
      <c r="N253">
        <v>0</v>
      </c>
      <c r="O253">
        <v>45</v>
      </c>
      <c r="P253">
        <v>47</v>
      </c>
      <c r="Q253">
        <v>52</v>
      </c>
      <c r="R253">
        <v>21</v>
      </c>
      <c r="S253">
        <v>20</v>
      </c>
      <c r="T253">
        <v>25</v>
      </c>
      <c r="U253">
        <v>210</v>
      </c>
      <c r="V253">
        <v>2</v>
      </c>
      <c r="W253">
        <v>3</v>
      </c>
      <c r="X253">
        <v>1</v>
      </c>
      <c r="Y253">
        <v>5</v>
      </c>
      <c r="Z253">
        <v>9</v>
      </c>
      <c r="AA253">
        <v>6</v>
      </c>
      <c r="AB253" t="str">
        <f t="shared" si="11"/>
        <v>Below average customer</v>
      </c>
    </row>
    <row r="254" spans="1:28" x14ac:dyDescent="0.35">
      <c r="A254">
        <v>10992</v>
      </c>
      <c r="B254">
        <v>1967</v>
      </c>
      <c r="C254" t="s">
        <v>28</v>
      </c>
      <c r="D254" t="s">
        <v>26</v>
      </c>
      <c r="E254" t="s">
        <v>29</v>
      </c>
      <c r="F254">
        <v>75702</v>
      </c>
      <c r="G254" t="str">
        <f t="shared" si="9"/>
        <v>High</v>
      </c>
      <c r="H254">
        <v>1</v>
      </c>
      <c r="I254">
        <v>1</v>
      </c>
      <c r="J254">
        <v>2</v>
      </c>
      <c r="K254" s="1">
        <v>41150</v>
      </c>
      <c r="L254">
        <v>77</v>
      </c>
      <c r="M254" t="str">
        <f t="shared" si="10"/>
        <v>Inactive</v>
      </c>
      <c r="N254">
        <v>0</v>
      </c>
      <c r="O254">
        <v>650</v>
      </c>
      <c r="P254">
        <v>28</v>
      </c>
      <c r="Q254">
        <v>353</v>
      </c>
      <c r="R254">
        <v>45</v>
      </c>
      <c r="S254">
        <v>42</v>
      </c>
      <c r="T254">
        <v>30</v>
      </c>
      <c r="U254">
        <v>1148</v>
      </c>
      <c r="V254">
        <v>5</v>
      </c>
      <c r="W254">
        <v>4</v>
      </c>
      <c r="X254">
        <v>6</v>
      </c>
      <c r="Y254">
        <v>11</v>
      </c>
      <c r="Z254">
        <v>21</v>
      </c>
      <c r="AA254">
        <v>8</v>
      </c>
      <c r="AB254" t="str">
        <f t="shared" si="11"/>
        <v>Below average customer</v>
      </c>
    </row>
    <row r="255" spans="1:28" x14ac:dyDescent="0.35">
      <c r="A255">
        <v>5304</v>
      </c>
      <c r="B255">
        <v>1974</v>
      </c>
      <c r="C255" t="s">
        <v>31</v>
      </c>
      <c r="D255" t="s">
        <v>32</v>
      </c>
      <c r="E255" t="s">
        <v>27</v>
      </c>
      <c r="F255">
        <v>30899</v>
      </c>
      <c r="G255" t="str">
        <f t="shared" si="9"/>
        <v>Low</v>
      </c>
      <c r="H255">
        <v>1</v>
      </c>
      <c r="I255">
        <v>0</v>
      </c>
      <c r="J255">
        <v>1</v>
      </c>
      <c r="K255" s="1">
        <v>41195</v>
      </c>
      <c r="L255">
        <v>35</v>
      </c>
      <c r="M255" t="str">
        <f t="shared" si="10"/>
        <v>Active</v>
      </c>
      <c r="N255">
        <v>0</v>
      </c>
      <c r="O255">
        <v>24</v>
      </c>
      <c r="P255">
        <v>0</v>
      </c>
      <c r="Q255">
        <v>8</v>
      </c>
      <c r="R255">
        <v>0</v>
      </c>
      <c r="S255">
        <v>0</v>
      </c>
      <c r="T255">
        <v>1</v>
      </c>
      <c r="U255">
        <v>33</v>
      </c>
      <c r="V255">
        <v>2</v>
      </c>
      <c r="W255">
        <v>1</v>
      </c>
      <c r="X255">
        <v>0</v>
      </c>
      <c r="Y255">
        <v>3</v>
      </c>
      <c r="Z255">
        <v>4</v>
      </c>
      <c r="AA255">
        <v>6</v>
      </c>
      <c r="AB255" t="str">
        <f t="shared" si="11"/>
        <v>Below average customer</v>
      </c>
    </row>
    <row r="256" spans="1:28" x14ac:dyDescent="0.35">
      <c r="A256">
        <v>309</v>
      </c>
      <c r="B256">
        <v>1961</v>
      </c>
      <c r="C256" t="s">
        <v>25</v>
      </c>
      <c r="D256" t="s">
        <v>32</v>
      </c>
      <c r="E256" t="s">
        <v>29</v>
      </c>
      <c r="F256">
        <v>63342</v>
      </c>
      <c r="G256" t="str">
        <f t="shared" si="9"/>
        <v>Mid-high</v>
      </c>
      <c r="H256">
        <v>0</v>
      </c>
      <c r="I256">
        <v>1</v>
      </c>
      <c r="J256">
        <v>1</v>
      </c>
      <c r="K256" s="1">
        <v>41198</v>
      </c>
      <c r="L256">
        <v>48</v>
      </c>
      <c r="M256" t="str">
        <f t="shared" si="10"/>
        <v>Active</v>
      </c>
      <c r="N256">
        <v>0</v>
      </c>
      <c r="O256">
        <v>918</v>
      </c>
      <c r="P256">
        <v>21</v>
      </c>
      <c r="Q256">
        <v>118</v>
      </c>
      <c r="R256">
        <v>13</v>
      </c>
      <c r="S256">
        <v>10</v>
      </c>
      <c r="T256">
        <v>21</v>
      </c>
      <c r="U256">
        <v>1101</v>
      </c>
      <c r="V256">
        <v>3</v>
      </c>
      <c r="W256">
        <v>8</v>
      </c>
      <c r="X256">
        <v>3</v>
      </c>
      <c r="Y256">
        <v>5</v>
      </c>
      <c r="Z256">
        <v>16</v>
      </c>
      <c r="AA256">
        <v>6</v>
      </c>
      <c r="AB256" t="str">
        <f t="shared" si="11"/>
        <v>Above average customer</v>
      </c>
    </row>
    <row r="257" spans="1:28" x14ac:dyDescent="0.35">
      <c r="A257">
        <v>3406</v>
      </c>
      <c r="B257">
        <v>1964</v>
      </c>
      <c r="C257" t="s">
        <v>28</v>
      </c>
      <c r="D257" t="s">
        <v>26</v>
      </c>
      <c r="E257" t="s">
        <v>27</v>
      </c>
      <c r="F257">
        <v>45989</v>
      </c>
      <c r="G257" t="str">
        <f t="shared" si="9"/>
        <v>Mid-low</v>
      </c>
      <c r="H257">
        <v>0</v>
      </c>
      <c r="I257">
        <v>1</v>
      </c>
      <c r="J257">
        <v>1</v>
      </c>
      <c r="K257" s="1">
        <v>41204</v>
      </c>
      <c r="L257">
        <v>97</v>
      </c>
      <c r="M257" t="str">
        <f t="shared" si="10"/>
        <v>Inactive</v>
      </c>
      <c r="N257">
        <v>0</v>
      </c>
      <c r="O257">
        <v>138</v>
      </c>
      <c r="P257">
        <v>33</v>
      </c>
      <c r="Q257">
        <v>87</v>
      </c>
      <c r="R257">
        <v>28</v>
      </c>
      <c r="S257">
        <v>24</v>
      </c>
      <c r="T257">
        <v>12</v>
      </c>
      <c r="U257">
        <v>322</v>
      </c>
      <c r="V257">
        <v>4</v>
      </c>
      <c r="W257">
        <v>3</v>
      </c>
      <c r="X257">
        <v>2</v>
      </c>
      <c r="Y257">
        <v>7</v>
      </c>
      <c r="Z257">
        <v>12</v>
      </c>
      <c r="AA257">
        <v>3</v>
      </c>
      <c r="AB257" t="str">
        <f t="shared" si="11"/>
        <v>Below average customer</v>
      </c>
    </row>
    <row r="258" spans="1:28" x14ac:dyDescent="0.35">
      <c r="A258">
        <v>2661</v>
      </c>
      <c r="B258">
        <v>1964</v>
      </c>
      <c r="C258" t="s">
        <v>28</v>
      </c>
      <c r="D258" t="s">
        <v>26</v>
      </c>
      <c r="E258" t="s">
        <v>27</v>
      </c>
      <c r="F258">
        <v>18701</v>
      </c>
      <c r="G258" t="str">
        <f t="shared" ref="G258:G321" si="12">IF(F258&lt;=_xlfn.PERCENTILE.INC($F$2:$F$2056,0.25),"Low",IF(F258&lt;=_xlfn.PERCENTILE.INC($F$2:$F$2056,0.5),"Mid-low",IF(F258&lt;=_xlfn.PERCENTILE.INC($F$2:$F$2056,0.75),"Mid-high","High")))</f>
        <v>Low</v>
      </c>
      <c r="H258">
        <v>1</v>
      </c>
      <c r="I258">
        <v>1</v>
      </c>
      <c r="J258">
        <v>2</v>
      </c>
      <c r="K258" s="1">
        <v>41429</v>
      </c>
      <c r="L258">
        <v>95</v>
      </c>
      <c r="M258" t="str">
        <f t="shared" ref="M258:M321" si="13">IF(L258&gt;AVERAGE($L$2:$L$2056),"Inactive","Active")</f>
        <v>Inactive</v>
      </c>
      <c r="N258">
        <v>0</v>
      </c>
      <c r="O258">
        <v>12</v>
      </c>
      <c r="P258">
        <v>4</v>
      </c>
      <c r="Q258">
        <v>2</v>
      </c>
      <c r="R258">
        <v>10</v>
      </c>
      <c r="S258">
        <v>6</v>
      </c>
      <c r="T258">
        <v>10</v>
      </c>
      <c r="U258">
        <v>44</v>
      </c>
      <c r="V258">
        <v>4</v>
      </c>
      <c r="W258">
        <v>2</v>
      </c>
      <c r="X258">
        <v>0</v>
      </c>
      <c r="Y258">
        <v>4</v>
      </c>
      <c r="Z258">
        <v>6</v>
      </c>
      <c r="AA258">
        <v>5</v>
      </c>
      <c r="AB258" t="str">
        <f t="shared" ref="AB258:AB321" si="14">IF(AND(Z258&gt;AVERAGE($Z$2:$Z$2056),U258&gt;AVERAGE($U$2:$U$2056),N258=0,L258&lt;AVERAGE($L$2:$L$2056),F258&gt;AVERAGE($F$2:$F$2240)),"Above average customer","Below average customer")</f>
        <v>Below average customer</v>
      </c>
    </row>
    <row r="259" spans="1:28" x14ac:dyDescent="0.35">
      <c r="A259">
        <v>3153</v>
      </c>
      <c r="B259">
        <v>1957</v>
      </c>
      <c r="C259" t="s">
        <v>25</v>
      </c>
      <c r="D259" t="s">
        <v>32</v>
      </c>
      <c r="E259" t="s">
        <v>27</v>
      </c>
      <c r="F259">
        <v>40737</v>
      </c>
      <c r="G259" t="str">
        <f t="shared" si="12"/>
        <v>Mid-low</v>
      </c>
      <c r="H259">
        <v>2</v>
      </c>
      <c r="I259">
        <v>1</v>
      </c>
      <c r="J259">
        <v>3</v>
      </c>
      <c r="K259" s="1">
        <v>41616</v>
      </c>
      <c r="L259">
        <v>24</v>
      </c>
      <c r="M259" t="str">
        <f t="shared" si="13"/>
        <v>Active</v>
      </c>
      <c r="N259">
        <v>0</v>
      </c>
      <c r="O259">
        <v>11</v>
      </c>
      <c r="P259">
        <v>0</v>
      </c>
      <c r="Q259">
        <v>4</v>
      </c>
      <c r="R259">
        <v>0</v>
      </c>
      <c r="S259">
        <v>0</v>
      </c>
      <c r="T259">
        <v>2</v>
      </c>
      <c r="U259">
        <v>17</v>
      </c>
      <c r="V259">
        <v>1</v>
      </c>
      <c r="W259">
        <v>1</v>
      </c>
      <c r="X259">
        <v>0</v>
      </c>
      <c r="Y259">
        <v>2</v>
      </c>
      <c r="Z259">
        <v>3</v>
      </c>
      <c r="AA259">
        <v>8</v>
      </c>
      <c r="AB259" t="str">
        <f t="shared" si="14"/>
        <v>Below average customer</v>
      </c>
    </row>
    <row r="260" spans="1:28" x14ac:dyDescent="0.35">
      <c r="A260">
        <v>10264</v>
      </c>
      <c r="B260">
        <v>1979</v>
      </c>
      <c r="C260" t="s">
        <v>31</v>
      </c>
      <c r="D260" t="s">
        <v>26</v>
      </c>
      <c r="E260" t="s">
        <v>35</v>
      </c>
      <c r="F260">
        <v>15287</v>
      </c>
      <c r="G260" t="str">
        <f t="shared" si="12"/>
        <v>Low</v>
      </c>
      <c r="H260">
        <v>1</v>
      </c>
      <c r="I260">
        <v>0</v>
      </c>
      <c r="J260">
        <v>1</v>
      </c>
      <c r="K260" s="1">
        <v>41192</v>
      </c>
      <c r="L260">
        <v>60</v>
      </c>
      <c r="M260" t="str">
        <f t="shared" si="13"/>
        <v>Inactive</v>
      </c>
      <c r="N260">
        <v>0</v>
      </c>
      <c r="O260">
        <v>1</v>
      </c>
      <c r="P260">
        <v>2</v>
      </c>
      <c r="Q260">
        <v>8</v>
      </c>
      <c r="R260">
        <v>4</v>
      </c>
      <c r="S260">
        <v>3</v>
      </c>
      <c r="T260">
        <v>13</v>
      </c>
      <c r="U260">
        <v>31</v>
      </c>
      <c r="V260">
        <v>2</v>
      </c>
      <c r="W260">
        <v>1</v>
      </c>
      <c r="X260">
        <v>1</v>
      </c>
      <c r="Y260">
        <v>2</v>
      </c>
      <c r="Z260">
        <v>4</v>
      </c>
      <c r="AA260">
        <v>7</v>
      </c>
      <c r="AB260" t="str">
        <f t="shared" si="14"/>
        <v>Below average customer</v>
      </c>
    </row>
    <row r="261" spans="1:28" x14ac:dyDescent="0.35">
      <c r="A261">
        <v>1184</v>
      </c>
      <c r="B261">
        <v>1968</v>
      </c>
      <c r="C261" t="s">
        <v>28</v>
      </c>
      <c r="D261" t="s">
        <v>32</v>
      </c>
      <c r="E261" t="s">
        <v>35</v>
      </c>
      <c r="F261">
        <v>69674</v>
      </c>
      <c r="G261" t="str">
        <f t="shared" si="12"/>
        <v>High</v>
      </c>
      <c r="H261">
        <v>0</v>
      </c>
      <c r="I261">
        <v>2</v>
      </c>
      <c r="J261">
        <v>2</v>
      </c>
      <c r="K261" s="1">
        <v>41416</v>
      </c>
      <c r="L261">
        <v>46</v>
      </c>
      <c r="M261" t="str">
        <f t="shared" si="13"/>
        <v>Active</v>
      </c>
      <c r="N261">
        <v>0</v>
      </c>
      <c r="O261">
        <v>554</v>
      </c>
      <c r="P261">
        <v>41</v>
      </c>
      <c r="Q261">
        <v>215</v>
      </c>
      <c r="R261">
        <v>11</v>
      </c>
      <c r="S261">
        <v>0</v>
      </c>
      <c r="T261">
        <v>24</v>
      </c>
      <c r="U261">
        <v>845</v>
      </c>
      <c r="V261">
        <v>3</v>
      </c>
      <c r="W261">
        <v>10</v>
      </c>
      <c r="X261">
        <v>2</v>
      </c>
      <c r="Y261">
        <v>10</v>
      </c>
      <c r="Z261">
        <v>22</v>
      </c>
      <c r="AA261">
        <v>5</v>
      </c>
      <c r="AB261" t="str">
        <f t="shared" si="14"/>
        <v>Above average customer</v>
      </c>
    </row>
    <row r="262" spans="1:28" x14ac:dyDescent="0.35">
      <c r="A262">
        <v>4200</v>
      </c>
      <c r="B262">
        <v>1970</v>
      </c>
      <c r="C262" t="s">
        <v>28</v>
      </c>
      <c r="D262" t="s">
        <v>34</v>
      </c>
      <c r="E262" t="s">
        <v>33</v>
      </c>
      <c r="F262">
        <v>44159</v>
      </c>
      <c r="G262" t="str">
        <f t="shared" si="12"/>
        <v>Mid-low</v>
      </c>
      <c r="H262">
        <v>1</v>
      </c>
      <c r="I262">
        <v>0</v>
      </c>
      <c r="J262">
        <v>1</v>
      </c>
      <c r="K262" s="1">
        <v>41807</v>
      </c>
      <c r="L262">
        <v>85</v>
      </c>
      <c r="M262" t="str">
        <f t="shared" si="13"/>
        <v>Inactive</v>
      </c>
      <c r="N262">
        <v>0</v>
      </c>
      <c r="O262">
        <v>167</v>
      </c>
      <c r="P262">
        <v>2</v>
      </c>
      <c r="Q262">
        <v>62</v>
      </c>
      <c r="R262">
        <v>24</v>
      </c>
      <c r="S262">
        <v>13</v>
      </c>
      <c r="T262">
        <v>7</v>
      </c>
      <c r="U262">
        <v>275</v>
      </c>
      <c r="V262">
        <v>4</v>
      </c>
      <c r="W262">
        <v>4</v>
      </c>
      <c r="X262">
        <v>1</v>
      </c>
      <c r="Y262">
        <v>6</v>
      </c>
      <c r="Z262">
        <v>11</v>
      </c>
      <c r="AA262">
        <v>5</v>
      </c>
      <c r="AB262" t="str">
        <f t="shared" si="14"/>
        <v>Below average customer</v>
      </c>
    </row>
    <row r="263" spans="1:28" x14ac:dyDescent="0.35">
      <c r="A263">
        <v>9396</v>
      </c>
      <c r="B263">
        <v>1978</v>
      </c>
      <c r="C263" t="s">
        <v>31</v>
      </c>
      <c r="D263" t="s">
        <v>32</v>
      </c>
      <c r="E263" t="s">
        <v>33</v>
      </c>
      <c r="F263">
        <v>37717</v>
      </c>
      <c r="G263" t="str">
        <f t="shared" si="12"/>
        <v>Mid-low</v>
      </c>
      <c r="H263">
        <v>1</v>
      </c>
      <c r="I263">
        <v>0</v>
      </c>
      <c r="J263">
        <v>1</v>
      </c>
      <c r="K263" s="1">
        <v>41236</v>
      </c>
      <c r="L263">
        <v>31</v>
      </c>
      <c r="M263" t="str">
        <f t="shared" si="13"/>
        <v>Active</v>
      </c>
      <c r="N263">
        <v>0</v>
      </c>
      <c r="O263">
        <v>9</v>
      </c>
      <c r="P263">
        <v>0</v>
      </c>
      <c r="Q263">
        <v>6</v>
      </c>
      <c r="R263">
        <v>4</v>
      </c>
      <c r="S263">
        <v>1</v>
      </c>
      <c r="T263">
        <v>5</v>
      </c>
      <c r="U263">
        <v>25</v>
      </c>
      <c r="V263">
        <v>1</v>
      </c>
      <c r="W263">
        <v>1</v>
      </c>
      <c r="X263">
        <v>0</v>
      </c>
      <c r="Y263">
        <v>2</v>
      </c>
      <c r="Z263">
        <v>3</v>
      </c>
      <c r="AA263">
        <v>9</v>
      </c>
      <c r="AB263" t="str">
        <f t="shared" si="14"/>
        <v>Below average customer</v>
      </c>
    </row>
    <row r="264" spans="1:28" x14ac:dyDescent="0.35">
      <c r="A264">
        <v>2387</v>
      </c>
      <c r="B264">
        <v>1952</v>
      </c>
      <c r="C264" t="s">
        <v>36</v>
      </c>
      <c r="D264" t="s">
        <v>34</v>
      </c>
      <c r="E264" t="s">
        <v>29</v>
      </c>
      <c r="F264">
        <v>43776</v>
      </c>
      <c r="G264" t="str">
        <f t="shared" si="12"/>
        <v>Mid-low</v>
      </c>
      <c r="H264">
        <v>1</v>
      </c>
      <c r="I264">
        <v>1</v>
      </c>
      <c r="J264">
        <v>2</v>
      </c>
      <c r="K264" s="1">
        <v>41308</v>
      </c>
      <c r="L264">
        <v>9</v>
      </c>
      <c r="M264" t="str">
        <f t="shared" si="13"/>
        <v>Active</v>
      </c>
      <c r="N264">
        <v>0</v>
      </c>
      <c r="O264">
        <v>177</v>
      </c>
      <c r="P264">
        <v>2</v>
      </c>
      <c r="Q264">
        <v>71</v>
      </c>
      <c r="R264">
        <v>3</v>
      </c>
      <c r="S264">
        <v>2</v>
      </c>
      <c r="T264">
        <v>20</v>
      </c>
      <c r="U264">
        <v>275</v>
      </c>
      <c r="V264">
        <v>6</v>
      </c>
      <c r="W264">
        <v>5</v>
      </c>
      <c r="X264">
        <v>2</v>
      </c>
      <c r="Y264">
        <v>4</v>
      </c>
      <c r="Z264">
        <v>11</v>
      </c>
      <c r="AA264">
        <v>8</v>
      </c>
      <c r="AB264" t="str">
        <f t="shared" si="14"/>
        <v>Below average customer</v>
      </c>
    </row>
    <row r="265" spans="1:28" x14ac:dyDescent="0.35">
      <c r="A265">
        <v>6690</v>
      </c>
      <c r="B265">
        <v>1966</v>
      </c>
      <c r="C265" t="s">
        <v>28</v>
      </c>
      <c r="D265" t="s">
        <v>34</v>
      </c>
      <c r="E265" t="s">
        <v>33</v>
      </c>
      <c r="F265">
        <v>38179</v>
      </c>
      <c r="G265" t="str">
        <f t="shared" si="12"/>
        <v>Mid-low</v>
      </c>
      <c r="H265">
        <v>1</v>
      </c>
      <c r="I265">
        <v>1</v>
      </c>
      <c r="J265">
        <v>2</v>
      </c>
      <c r="K265" s="1">
        <v>41347</v>
      </c>
      <c r="L265">
        <v>30</v>
      </c>
      <c r="M265" t="str">
        <f t="shared" si="13"/>
        <v>Active</v>
      </c>
      <c r="N265">
        <v>0</v>
      </c>
      <c r="O265">
        <v>38</v>
      </c>
      <c r="P265">
        <v>4</v>
      </c>
      <c r="Q265">
        <v>22</v>
      </c>
      <c r="R265">
        <v>4</v>
      </c>
      <c r="S265">
        <v>2</v>
      </c>
      <c r="T265">
        <v>20</v>
      </c>
      <c r="U265">
        <v>90</v>
      </c>
      <c r="V265">
        <v>4</v>
      </c>
      <c r="W265">
        <v>3</v>
      </c>
      <c r="X265">
        <v>1</v>
      </c>
      <c r="Y265">
        <v>3</v>
      </c>
      <c r="Z265">
        <v>7</v>
      </c>
      <c r="AA265">
        <v>7</v>
      </c>
      <c r="AB265" t="str">
        <f t="shared" si="14"/>
        <v>Below average customer</v>
      </c>
    </row>
    <row r="266" spans="1:28" x14ac:dyDescent="0.35">
      <c r="A266">
        <v>1225</v>
      </c>
      <c r="B266">
        <v>1963</v>
      </c>
      <c r="C266" t="s">
        <v>28</v>
      </c>
      <c r="D266" t="s">
        <v>26</v>
      </c>
      <c r="E266" t="s">
        <v>33</v>
      </c>
      <c r="F266">
        <v>80124</v>
      </c>
      <c r="G266" t="str">
        <f t="shared" si="12"/>
        <v>High</v>
      </c>
      <c r="H266">
        <v>0</v>
      </c>
      <c r="I266">
        <v>0</v>
      </c>
      <c r="J266">
        <v>0</v>
      </c>
      <c r="K266" s="1">
        <v>41816</v>
      </c>
      <c r="L266">
        <v>47</v>
      </c>
      <c r="M266" t="str">
        <f t="shared" si="13"/>
        <v>Active</v>
      </c>
      <c r="N266">
        <v>0</v>
      </c>
      <c r="O266">
        <v>483</v>
      </c>
      <c r="P266">
        <v>84</v>
      </c>
      <c r="Q266">
        <v>398</v>
      </c>
      <c r="R266">
        <v>205</v>
      </c>
      <c r="S266">
        <v>84</v>
      </c>
      <c r="T266">
        <v>241</v>
      </c>
      <c r="U266">
        <v>1495</v>
      </c>
      <c r="V266">
        <v>1</v>
      </c>
      <c r="W266">
        <v>3</v>
      </c>
      <c r="X266">
        <v>7</v>
      </c>
      <c r="Y266">
        <v>8</v>
      </c>
      <c r="Z266">
        <v>18</v>
      </c>
      <c r="AA266">
        <v>1</v>
      </c>
      <c r="AB266" t="str">
        <f t="shared" si="14"/>
        <v>Above average customer</v>
      </c>
    </row>
    <row r="267" spans="1:28" x14ac:dyDescent="0.35">
      <c r="A267">
        <v>9703</v>
      </c>
      <c r="B267">
        <v>1970</v>
      </c>
      <c r="C267" t="s">
        <v>28</v>
      </c>
      <c r="D267" t="s">
        <v>32</v>
      </c>
      <c r="E267" t="s">
        <v>33</v>
      </c>
      <c r="F267">
        <v>38097</v>
      </c>
      <c r="G267" t="str">
        <f t="shared" si="12"/>
        <v>Mid-low</v>
      </c>
      <c r="H267">
        <v>1</v>
      </c>
      <c r="I267">
        <v>1</v>
      </c>
      <c r="J267">
        <v>2</v>
      </c>
      <c r="K267" s="1">
        <v>41197</v>
      </c>
      <c r="L267">
        <v>70</v>
      </c>
      <c r="M267" t="str">
        <f t="shared" si="13"/>
        <v>Inactive</v>
      </c>
      <c r="N267">
        <v>0</v>
      </c>
      <c r="O267">
        <v>77</v>
      </c>
      <c r="P267">
        <v>2</v>
      </c>
      <c r="Q267">
        <v>35</v>
      </c>
      <c r="R267">
        <v>0</v>
      </c>
      <c r="S267">
        <v>1</v>
      </c>
      <c r="T267">
        <v>69</v>
      </c>
      <c r="U267">
        <v>184</v>
      </c>
      <c r="V267">
        <v>4</v>
      </c>
      <c r="W267">
        <v>3</v>
      </c>
      <c r="X267">
        <v>2</v>
      </c>
      <c r="Y267">
        <v>2</v>
      </c>
      <c r="Z267">
        <v>7</v>
      </c>
      <c r="AA267">
        <v>7</v>
      </c>
      <c r="AB267" t="str">
        <f t="shared" si="14"/>
        <v>Below average customer</v>
      </c>
    </row>
    <row r="268" spans="1:28" x14ac:dyDescent="0.35">
      <c r="A268">
        <v>291</v>
      </c>
      <c r="B268">
        <v>1970</v>
      </c>
      <c r="C268" t="s">
        <v>28</v>
      </c>
      <c r="D268" t="s">
        <v>26</v>
      </c>
      <c r="E268" t="s">
        <v>33</v>
      </c>
      <c r="F268">
        <v>72940</v>
      </c>
      <c r="G268" t="str">
        <f t="shared" si="12"/>
        <v>High</v>
      </c>
      <c r="H268">
        <v>0</v>
      </c>
      <c r="I268">
        <v>0</v>
      </c>
      <c r="J268">
        <v>0</v>
      </c>
      <c r="K268" s="1">
        <v>41444</v>
      </c>
      <c r="L268">
        <v>13</v>
      </c>
      <c r="M268" t="str">
        <f t="shared" si="13"/>
        <v>Active</v>
      </c>
      <c r="N268">
        <v>0</v>
      </c>
      <c r="O268">
        <v>182</v>
      </c>
      <c r="P268">
        <v>74</v>
      </c>
      <c r="Q268">
        <v>298</v>
      </c>
      <c r="R268">
        <v>162</v>
      </c>
      <c r="S268">
        <v>149</v>
      </c>
      <c r="T268">
        <v>116</v>
      </c>
      <c r="U268">
        <v>981</v>
      </c>
      <c r="V268">
        <v>1</v>
      </c>
      <c r="W268">
        <v>3</v>
      </c>
      <c r="X268">
        <v>3</v>
      </c>
      <c r="Y268">
        <v>6</v>
      </c>
      <c r="Z268">
        <v>12</v>
      </c>
      <c r="AA268">
        <v>1</v>
      </c>
      <c r="AB268" t="str">
        <f t="shared" si="14"/>
        <v>Below average customer</v>
      </c>
    </row>
    <row r="269" spans="1:28" x14ac:dyDescent="0.35">
      <c r="A269">
        <v>4557</v>
      </c>
      <c r="B269">
        <v>1970</v>
      </c>
      <c r="C269" t="s">
        <v>28</v>
      </c>
      <c r="D269" t="s">
        <v>26</v>
      </c>
      <c r="E269" t="s">
        <v>29</v>
      </c>
      <c r="F269">
        <v>22070</v>
      </c>
      <c r="G269" t="str">
        <f t="shared" si="12"/>
        <v>Low</v>
      </c>
      <c r="H269">
        <v>1</v>
      </c>
      <c r="I269">
        <v>0</v>
      </c>
      <c r="J269">
        <v>1</v>
      </c>
      <c r="K269" s="1">
        <v>41551</v>
      </c>
      <c r="L269">
        <v>11</v>
      </c>
      <c r="M269" t="str">
        <f t="shared" si="13"/>
        <v>Active</v>
      </c>
      <c r="N269">
        <v>0</v>
      </c>
      <c r="O269">
        <v>10</v>
      </c>
      <c r="P269">
        <v>7</v>
      </c>
      <c r="Q269">
        <v>19</v>
      </c>
      <c r="R269">
        <v>8</v>
      </c>
      <c r="S269">
        <v>2</v>
      </c>
      <c r="T269">
        <v>21</v>
      </c>
      <c r="U269">
        <v>67</v>
      </c>
      <c r="V269">
        <v>2</v>
      </c>
      <c r="W269">
        <v>2</v>
      </c>
      <c r="X269">
        <v>2</v>
      </c>
      <c r="Y269">
        <v>2</v>
      </c>
      <c r="Z269">
        <v>6</v>
      </c>
      <c r="AA269">
        <v>6</v>
      </c>
      <c r="AB269" t="str">
        <f t="shared" si="14"/>
        <v>Below average customer</v>
      </c>
    </row>
    <row r="270" spans="1:28" x14ac:dyDescent="0.35">
      <c r="A270">
        <v>2379</v>
      </c>
      <c r="B270">
        <v>1953</v>
      </c>
      <c r="C270" t="s">
        <v>25</v>
      </c>
      <c r="D270" t="s">
        <v>26</v>
      </c>
      <c r="E270" t="s">
        <v>27</v>
      </c>
      <c r="F270">
        <v>69267</v>
      </c>
      <c r="G270" t="str">
        <f t="shared" si="12"/>
        <v>High</v>
      </c>
      <c r="H270">
        <v>0</v>
      </c>
      <c r="I270">
        <v>0</v>
      </c>
      <c r="J270">
        <v>0</v>
      </c>
      <c r="K270" s="1">
        <v>41174</v>
      </c>
      <c r="L270">
        <v>31</v>
      </c>
      <c r="M270" t="str">
        <f t="shared" si="13"/>
        <v>Active</v>
      </c>
      <c r="N270">
        <v>0</v>
      </c>
      <c r="O270">
        <v>778</v>
      </c>
      <c r="P270">
        <v>44</v>
      </c>
      <c r="Q270">
        <v>499</v>
      </c>
      <c r="R270">
        <v>95</v>
      </c>
      <c r="S270">
        <v>73</v>
      </c>
      <c r="T270">
        <v>146</v>
      </c>
      <c r="U270">
        <v>1635</v>
      </c>
      <c r="V270">
        <v>2</v>
      </c>
      <c r="W270">
        <v>3</v>
      </c>
      <c r="X270">
        <v>4</v>
      </c>
      <c r="Y270">
        <v>5</v>
      </c>
      <c r="Z270">
        <v>12</v>
      </c>
      <c r="AA270">
        <v>7</v>
      </c>
      <c r="AB270" t="str">
        <f t="shared" si="14"/>
        <v>Below average customer</v>
      </c>
    </row>
    <row r="271" spans="1:28" x14ac:dyDescent="0.35">
      <c r="A271">
        <v>5726</v>
      </c>
      <c r="B271">
        <v>1983</v>
      </c>
      <c r="C271" t="s">
        <v>30</v>
      </c>
      <c r="D271" t="s">
        <v>34</v>
      </c>
      <c r="E271" t="s">
        <v>27</v>
      </c>
      <c r="F271">
        <v>31788</v>
      </c>
      <c r="G271" t="str">
        <f t="shared" si="12"/>
        <v>Low</v>
      </c>
      <c r="H271">
        <v>1</v>
      </c>
      <c r="I271">
        <v>0</v>
      </c>
      <c r="J271">
        <v>1</v>
      </c>
      <c r="K271" s="1">
        <v>41718</v>
      </c>
      <c r="L271">
        <v>15</v>
      </c>
      <c r="M271" t="str">
        <f t="shared" si="13"/>
        <v>Active</v>
      </c>
      <c r="N271">
        <v>1</v>
      </c>
      <c r="O271">
        <v>16</v>
      </c>
      <c r="P271">
        <v>7</v>
      </c>
      <c r="Q271">
        <v>23</v>
      </c>
      <c r="R271">
        <v>0</v>
      </c>
      <c r="S271">
        <v>8</v>
      </c>
      <c r="T271">
        <v>6</v>
      </c>
      <c r="U271">
        <v>60</v>
      </c>
      <c r="V271">
        <v>3</v>
      </c>
      <c r="W271">
        <v>3</v>
      </c>
      <c r="X271">
        <v>0</v>
      </c>
      <c r="Y271">
        <v>4</v>
      </c>
      <c r="Z271">
        <v>7</v>
      </c>
      <c r="AA271">
        <v>5</v>
      </c>
      <c r="AB271" t="str">
        <f t="shared" si="14"/>
        <v>Below average customer</v>
      </c>
    </row>
    <row r="272" spans="1:28" x14ac:dyDescent="0.35">
      <c r="A272">
        <v>3066</v>
      </c>
      <c r="B272">
        <v>1975</v>
      </c>
      <c r="C272" t="s">
        <v>31</v>
      </c>
      <c r="D272" t="s">
        <v>32</v>
      </c>
      <c r="E272" t="s">
        <v>29</v>
      </c>
      <c r="F272">
        <v>61905</v>
      </c>
      <c r="G272" t="str">
        <f t="shared" si="12"/>
        <v>Mid-high</v>
      </c>
      <c r="H272">
        <v>0</v>
      </c>
      <c r="I272">
        <v>1</v>
      </c>
      <c r="J272">
        <v>1</v>
      </c>
      <c r="K272" s="1">
        <v>41674</v>
      </c>
      <c r="L272">
        <v>2</v>
      </c>
      <c r="M272" t="str">
        <f t="shared" si="13"/>
        <v>Active</v>
      </c>
      <c r="N272">
        <v>0</v>
      </c>
      <c r="O272">
        <v>167</v>
      </c>
      <c r="P272">
        <v>0</v>
      </c>
      <c r="Q272">
        <v>43</v>
      </c>
      <c r="R272">
        <v>6</v>
      </c>
      <c r="S272">
        <v>2</v>
      </c>
      <c r="T272">
        <v>13</v>
      </c>
      <c r="U272">
        <v>231</v>
      </c>
      <c r="V272">
        <v>2</v>
      </c>
      <c r="W272">
        <v>4</v>
      </c>
      <c r="X272">
        <v>2</v>
      </c>
      <c r="Y272">
        <v>4</v>
      </c>
      <c r="Z272">
        <v>10</v>
      </c>
      <c r="AA272">
        <v>5</v>
      </c>
      <c r="AB272" t="str">
        <f t="shared" si="14"/>
        <v>Below average customer</v>
      </c>
    </row>
    <row r="273" spans="1:28" x14ac:dyDescent="0.35">
      <c r="A273">
        <v>6336</v>
      </c>
      <c r="B273">
        <v>1960</v>
      </c>
      <c r="C273" t="s">
        <v>25</v>
      </c>
      <c r="D273" t="s">
        <v>26</v>
      </c>
      <c r="E273" t="s">
        <v>33</v>
      </c>
      <c r="F273">
        <v>29315</v>
      </c>
      <c r="G273" t="str">
        <f t="shared" si="12"/>
        <v>Low</v>
      </c>
      <c r="H273">
        <v>1</v>
      </c>
      <c r="I273">
        <v>1</v>
      </c>
      <c r="J273">
        <v>2</v>
      </c>
      <c r="K273" s="1">
        <v>41735</v>
      </c>
      <c r="L273">
        <v>55</v>
      </c>
      <c r="M273" t="str">
        <f t="shared" si="13"/>
        <v>Inactive</v>
      </c>
      <c r="N273">
        <v>0</v>
      </c>
      <c r="O273">
        <v>13</v>
      </c>
      <c r="P273">
        <v>2</v>
      </c>
      <c r="Q273">
        <v>14</v>
      </c>
      <c r="R273">
        <v>8</v>
      </c>
      <c r="S273">
        <v>7</v>
      </c>
      <c r="T273">
        <v>4</v>
      </c>
      <c r="U273">
        <v>48</v>
      </c>
      <c r="V273">
        <v>4</v>
      </c>
      <c r="W273">
        <v>2</v>
      </c>
      <c r="X273">
        <v>0</v>
      </c>
      <c r="Y273">
        <v>4</v>
      </c>
      <c r="Z273">
        <v>6</v>
      </c>
      <c r="AA273">
        <v>6</v>
      </c>
      <c r="AB273" t="str">
        <f t="shared" si="14"/>
        <v>Below average customer</v>
      </c>
    </row>
    <row r="274" spans="1:28" x14ac:dyDescent="0.35">
      <c r="A274">
        <v>10967</v>
      </c>
      <c r="B274">
        <v>1963</v>
      </c>
      <c r="C274" t="s">
        <v>28</v>
      </c>
      <c r="D274" t="s">
        <v>26</v>
      </c>
      <c r="E274" t="s">
        <v>35</v>
      </c>
      <c r="F274">
        <v>33378</v>
      </c>
      <c r="G274" t="str">
        <f t="shared" si="12"/>
        <v>Low</v>
      </c>
      <c r="H274">
        <v>1</v>
      </c>
      <c r="I274">
        <v>1</v>
      </c>
      <c r="J274">
        <v>2</v>
      </c>
      <c r="K274" s="1">
        <v>41311</v>
      </c>
      <c r="L274">
        <v>38</v>
      </c>
      <c r="M274" t="str">
        <f t="shared" si="13"/>
        <v>Active</v>
      </c>
      <c r="N274">
        <v>0</v>
      </c>
      <c r="O274">
        <v>33</v>
      </c>
      <c r="P274">
        <v>6</v>
      </c>
      <c r="Q274">
        <v>40</v>
      </c>
      <c r="R274">
        <v>3</v>
      </c>
      <c r="S274">
        <v>7</v>
      </c>
      <c r="T274">
        <v>10</v>
      </c>
      <c r="U274">
        <v>99</v>
      </c>
      <c r="V274">
        <v>3</v>
      </c>
      <c r="W274">
        <v>2</v>
      </c>
      <c r="X274">
        <v>0</v>
      </c>
      <c r="Y274">
        <v>4</v>
      </c>
      <c r="Z274">
        <v>6</v>
      </c>
      <c r="AA274">
        <v>7</v>
      </c>
      <c r="AB274" t="str">
        <f t="shared" si="14"/>
        <v>Below average customer</v>
      </c>
    </row>
    <row r="275" spans="1:28" x14ac:dyDescent="0.35">
      <c r="A275">
        <v>2304</v>
      </c>
      <c r="B275">
        <v>1963</v>
      </c>
      <c r="C275" t="s">
        <v>28</v>
      </c>
      <c r="D275" t="s">
        <v>32</v>
      </c>
      <c r="E275" t="s">
        <v>29</v>
      </c>
      <c r="F275">
        <v>66313</v>
      </c>
      <c r="G275" t="str">
        <f t="shared" si="12"/>
        <v>Mid-high</v>
      </c>
      <c r="H275">
        <v>0</v>
      </c>
      <c r="I275">
        <v>1</v>
      </c>
      <c r="J275">
        <v>1</v>
      </c>
      <c r="K275" s="1">
        <v>41533</v>
      </c>
      <c r="L275">
        <v>86</v>
      </c>
      <c r="M275" t="str">
        <f t="shared" si="13"/>
        <v>Inactive</v>
      </c>
      <c r="N275">
        <v>0</v>
      </c>
      <c r="O275">
        <v>625</v>
      </c>
      <c r="P275">
        <v>7</v>
      </c>
      <c r="Q275">
        <v>99</v>
      </c>
      <c r="R275">
        <v>10</v>
      </c>
      <c r="S275">
        <v>22</v>
      </c>
      <c r="T275">
        <v>7</v>
      </c>
      <c r="U275">
        <v>770</v>
      </c>
      <c r="V275">
        <v>2</v>
      </c>
      <c r="W275">
        <v>6</v>
      </c>
      <c r="X275">
        <v>3</v>
      </c>
      <c r="Y275">
        <v>12</v>
      </c>
      <c r="Z275">
        <v>21</v>
      </c>
      <c r="AA275">
        <v>4</v>
      </c>
      <c r="AB275" t="str">
        <f t="shared" si="14"/>
        <v>Below average customer</v>
      </c>
    </row>
    <row r="276" spans="1:28" x14ac:dyDescent="0.35">
      <c r="A276">
        <v>3445</v>
      </c>
      <c r="B276">
        <v>1956</v>
      </c>
      <c r="C276" t="s">
        <v>25</v>
      </c>
      <c r="D276" t="s">
        <v>26</v>
      </c>
      <c r="E276" t="s">
        <v>27</v>
      </c>
      <c r="F276">
        <v>60714</v>
      </c>
      <c r="G276" t="str">
        <f t="shared" si="12"/>
        <v>Mid-high</v>
      </c>
      <c r="H276">
        <v>0</v>
      </c>
      <c r="I276">
        <v>0</v>
      </c>
      <c r="J276">
        <v>0</v>
      </c>
      <c r="K276" s="1">
        <v>41291</v>
      </c>
      <c r="L276">
        <v>56</v>
      </c>
      <c r="M276" t="str">
        <f t="shared" si="13"/>
        <v>Inactive</v>
      </c>
      <c r="N276">
        <v>0</v>
      </c>
      <c r="O276">
        <v>216</v>
      </c>
      <c r="P276">
        <v>162</v>
      </c>
      <c r="Q276">
        <v>224</v>
      </c>
      <c r="R276">
        <v>101</v>
      </c>
      <c r="S276">
        <v>92</v>
      </c>
      <c r="T276">
        <v>162</v>
      </c>
      <c r="U276">
        <v>957</v>
      </c>
      <c r="V276">
        <v>2</v>
      </c>
      <c r="W276">
        <v>7</v>
      </c>
      <c r="X276">
        <v>4</v>
      </c>
      <c r="Y276">
        <v>10</v>
      </c>
      <c r="Z276">
        <v>21</v>
      </c>
      <c r="AA276">
        <v>5</v>
      </c>
      <c r="AB276" t="str">
        <f t="shared" si="14"/>
        <v>Below average customer</v>
      </c>
    </row>
    <row r="277" spans="1:28" x14ac:dyDescent="0.35">
      <c r="A277">
        <v>7828</v>
      </c>
      <c r="B277">
        <v>1981</v>
      </c>
      <c r="C277" t="s">
        <v>31</v>
      </c>
      <c r="D277" t="s">
        <v>34</v>
      </c>
      <c r="E277" t="s">
        <v>29</v>
      </c>
      <c r="F277">
        <v>77882</v>
      </c>
      <c r="G277" t="str">
        <f t="shared" si="12"/>
        <v>High</v>
      </c>
      <c r="H277">
        <v>0</v>
      </c>
      <c r="I277">
        <v>0</v>
      </c>
      <c r="J277">
        <v>0</v>
      </c>
      <c r="K277" s="1">
        <v>41759</v>
      </c>
      <c r="L277">
        <v>29</v>
      </c>
      <c r="M277" t="str">
        <f t="shared" si="13"/>
        <v>Active</v>
      </c>
      <c r="N277">
        <v>0</v>
      </c>
      <c r="O277">
        <v>68</v>
      </c>
      <c r="P277">
        <v>129</v>
      </c>
      <c r="Q277">
        <v>396</v>
      </c>
      <c r="R277">
        <v>188</v>
      </c>
      <c r="S277">
        <v>22</v>
      </c>
      <c r="T277">
        <v>15</v>
      </c>
      <c r="U277">
        <v>818</v>
      </c>
      <c r="V277">
        <v>1</v>
      </c>
      <c r="W277">
        <v>3</v>
      </c>
      <c r="X277">
        <v>3</v>
      </c>
      <c r="Y277">
        <v>5</v>
      </c>
      <c r="Z277">
        <v>11</v>
      </c>
      <c r="AA277">
        <v>1</v>
      </c>
      <c r="AB277" t="str">
        <f t="shared" si="14"/>
        <v>Below average customer</v>
      </c>
    </row>
    <row r="278" spans="1:28" x14ac:dyDescent="0.35">
      <c r="A278">
        <v>3762</v>
      </c>
      <c r="B278">
        <v>1986</v>
      </c>
      <c r="C278" t="s">
        <v>30</v>
      </c>
      <c r="D278" t="s">
        <v>32</v>
      </c>
      <c r="E278" t="s">
        <v>27</v>
      </c>
      <c r="F278">
        <v>69867</v>
      </c>
      <c r="G278" t="str">
        <f t="shared" si="12"/>
        <v>High</v>
      </c>
      <c r="H278">
        <v>0</v>
      </c>
      <c r="I278">
        <v>0</v>
      </c>
      <c r="J278">
        <v>0</v>
      </c>
      <c r="K278" s="1">
        <v>41366</v>
      </c>
      <c r="L278">
        <v>30</v>
      </c>
      <c r="M278" t="str">
        <f t="shared" si="13"/>
        <v>Active</v>
      </c>
      <c r="N278">
        <v>0</v>
      </c>
      <c r="O278">
        <v>196</v>
      </c>
      <c r="P278">
        <v>0</v>
      </c>
      <c r="Q278">
        <v>512</v>
      </c>
      <c r="R278">
        <v>33</v>
      </c>
      <c r="S278">
        <v>130</v>
      </c>
      <c r="T278">
        <v>54</v>
      </c>
      <c r="U278">
        <v>925</v>
      </c>
      <c r="V278">
        <v>1</v>
      </c>
      <c r="W278">
        <v>3</v>
      </c>
      <c r="X278">
        <v>5</v>
      </c>
      <c r="Y278">
        <v>8</v>
      </c>
      <c r="Z278">
        <v>16</v>
      </c>
      <c r="AA278">
        <v>1</v>
      </c>
      <c r="AB278" t="str">
        <f t="shared" si="14"/>
        <v>Above average customer</v>
      </c>
    </row>
    <row r="279" spans="1:28" x14ac:dyDescent="0.35">
      <c r="A279">
        <v>4391</v>
      </c>
      <c r="B279">
        <v>1968</v>
      </c>
      <c r="C279" t="s">
        <v>28</v>
      </c>
      <c r="D279" t="s">
        <v>34</v>
      </c>
      <c r="E279" t="s">
        <v>35</v>
      </c>
      <c r="F279">
        <v>63841</v>
      </c>
      <c r="G279" t="str">
        <f t="shared" si="12"/>
        <v>Mid-high</v>
      </c>
      <c r="H279">
        <v>0</v>
      </c>
      <c r="I279">
        <v>1</v>
      </c>
      <c r="J279">
        <v>1</v>
      </c>
      <c r="K279" s="1">
        <v>41385</v>
      </c>
      <c r="L279">
        <v>64</v>
      </c>
      <c r="M279" t="str">
        <f t="shared" si="13"/>
        <v>Inactive</v>
      </c>
      <c r="N279">
        <v>0</v>
      </c>
      <c r="O279">
        <v>635</v>
      </c>
      <c r="P279">
        <v>15</v>
      </c>
      <c r="Q279">
        <v>100</v>
      </c>
      <c r="R279">
        <v>20</v>
      </c>
      <c r="S279">
        <v>7</v>
      </c>
      <c r="T279">
        <v>131</v>
      </c>
      <c r="U279">
        <v>908</v>
      </c>
      <c r="V279">
        <v>1</v>
      </c>
      <c r="W279">
        <v>9</v>
      </c>
      <c r="X279">
        <v>3</v>
      </c>
      <c r="Y279">
        <v>9</v>
      </c>
      <c r="Z279">
        <v>21</v>
      </c>
      <c r="AA279">
        <v>6</v>
      </c>
      <c r="AB279" t="str">
        <f t="shared" si="14"/>
        <v>Below average customer</v>
      </c>
    </row>
    <row r="280" spans="1:28" x14ac:dyDescent="0.35">
      <c r="A280">
        <v>4669</v>
      </c>
      <c r="B280">
        <v>1981</v>
      </c>
      <c r="C280" t="s">
        <v>31</v>
      </c>
      <c r="D280" t="s">
        <v>37</v>
      </c>
      <c r="E280" t="s">
        <v>33</v>
      </c>
      <c r="F280">
        <v>24480</v>
      </c>
      <c r="G280" t="str">
        <f t="shared" si="12"/>
        <v>Low</v>
      </c>
      <c r="H280">
        <v>1</v>
      </c>
      <c r="I280">
        <v>0</v>
      </c>
      <c r="J280">
        <v>1</v>
      </c>
      <c r="K280" s="1">
        <v>41316</v>
      </c>
      <c r="L280">
        <v>46</v>
      </c>
      <c r="M280" t="str">
        <f t="shared" si="13"/>
        <v>Active</v>
      </c>
      <c r="N280">
        <v>0</v>
      </c>
      <c r="O280">
        <v>4</v>
      </c>
      <c r="P280">
        <v>19</v>
      </c>
      <c r="Q280">
        <v>9</v>
      </c>
      <c r="R280">
        <v>28</v>
      </c>
      <c r="S280">
        <v>25</v>
      </c>
      <c r="T280">
        <v>17</v>
      </c>
      <c r="U280">
        <v>102</v>
      </c>
      <c r="V280">
        <v>3</v>
      </c>
      <c r="W280">
        <v>3</v>
      </c>
      <c r="X280">
        <v>0</v>
      </c>
      <c r="Y280">
        <v>4</v>
      </c>
      <c r="Z280">
        <v>7</v>
      </c>
      <c r="AA280">
        <v>7</v>
      </c>
      <c r="AB280" t="str">
        <f t="shared" si="14"/>
        <v>Below average customer</v>
      </c>
    </row>
    <row r="281" spans="1:28" x14ac:dyDescent="0.35">
      <c r="A281">
        <v>1672</v>
      </c>
      <c r="B281">
        <v>1974</v>
      </c>
      <c r="C281" t="s">
        <v>31</v>
      </c>
      <c r="D281" t="s">
        <v>32</v>
      </c>
      <c r="E281" t="s">
        <v>29</v>
      </c>
      <c r="F281">
        <v>65640</v>
      </c>
      <c r="G281" t="str">
        <f t="shared" si="12"/>
        <v>Mid-high</v>
      </c>
      <c r="H281">
        <v>0</v>
      </c>
      <c r="I281">
        <v>1</v>
      </c>
      <c r="J281">
        <v>1</v>
      </c>
      <c r="K281" s="1">
        <v>41699</v>
      </c>
      <c r="L281">
        <v>74</v>
      </c>
      <c r="M281" t="str">
        <f t="shared" si="13"/>
        <v>Inactive</v>
      </c>
      <c r="N281">
        <v>0</v>
      </c>
      <c r="O281">
        <v>204</v>
      </c>
      <c r="P281">
        <v>7</v>
      </c>
      <c r="Q281">
        <v>149</v>
      </c>
      <c r="R281">
        <v>20</v>
      </c>
      <c r="S281">
        <v>15</v>
      </c>
      <c r="T281">
        <v>66</v>
      </c>
      <c r="U281">
        <v>461</v>
      </c>
      <c r="V281">
        <v>1</v>
      </c>
      <c r="W281">
        <v>5</v>
      </c>
      <c r="X281">
        <v>1</v>
      </c>
      <c r="Y281">
        <v>8</v>
      </c>
      <c r="Z281">
        <v>14</v>
      </c>
      <c r="AA281">
        <v>2</v>
      </c>
      <c r="AB281" t="str">
        <f t="shared" si="14"/>
        <v>Below average customer</v>
      </c>
    </row>
    <row r="282" spans="1:28" x14ac:dyDescent="0.35">
      <c r="A282">
        <v>8962</v>
      </c>
      <c r="B282">
        <v>1975</v>
      </c>
      <c r="C282" t="s">
        <v>31</v>
      </c>
      <c r="D282" t="s">
        <v>34</v>
      </c>
      <c r="E282" t="s">
        <v>33</v>
      </c>
      <c r="F282">
        <v>44319</v>
      </c>
      <c r="G282" t="str">
        <f t="shared" si="12"/>
        <v>Mid-low</v>
      </c>
      <c r="H282">
        <v>1</v>
      </c>
      <c r="I282">
        <v>1</v>
      </c>
      <c r="J282">
        <v>2</v>
      </c>
      <c r="K282" s="1">
        <v>41746</v>
      </c>
      <c r="L282">
        <v>18</v>
      </c>
      <c r="M282" t="str">
        <f t="shared" si="13"/>
        <v>Active</v>
      </c>
      <c r="N282">
        <v>0</v>
      </c>
      <c r="O282">
        <v>26</v>
      </c>
      <c r="P282">
        <v>0</v>
      </c>
      <c r="Q282">
        <v>8</v>
      </c>
      <c r="R282">
        <v>0</v>
      </c>
      <c r="S282">
        <v>0</v>
      </c>
      <c r="T282">
        <v>3</v>
      </c>
      <c r="U282">
        <v>37</v>
      </c>
      <c r="V282">
        <v>2</v>
      </c>
      <c r="W282">
        <v>2</v>
      </c>
      <c r="X282">
        <v>0</v>
      </c>
      <c r="Y282">
        <v>3</v>
      </c>
      <c r="Z282">
        <v>5</v>
      </c>
      <c r="AA282">
        <v>5</v>
      </c>
      <c r="AB282" t="str">
        <f t="shared" si="14"/>
        <v>Below average customer</v>
      </c>
    </row>
    <row r="283" spans="1:28" x14ac:dyDescent="0.35">
      <c r="A283">
        <v>9974</v>
      </c>
      <c r="B283">
        <v>1974</v>
      </c>
      <c r="C283" t="s">
        <v>31</v>
      </c>
      <c r="D283" t="s">
        <v>26</v>
      </c>
      <c r="E283" t="s">
        <v>33</v>
      </c>
      <c r="F283">
        <v>30631</v>
      </c>
      <c r="G283" t="str">
        <f t="shared" si="12"/>
        <v>Low</v>
      </c>
      <c r="H283">
        <v>1</v>
      </c>
      <c r="I283">
        <v>0</v>
      </c>
      <c r="J283">
        <v>1</v>
      </c>
      <c r="K283" s="1">
        <v>41467</v>
      </c>
      <c r="L283">
        <v>75</v>
      </c>
      <c r="M283" t="str">
        <f t="shared" si="13"/>
        <v>Inactive</v>
      </c>
      <c r="N283">
        <v>0</v>
      </c>
      <c r="O283">
        <v>15</v>
      </c>
      <c r="P283">
        <v>6</v>
      </c>
      <c r="Q283">
        <v>20</v>
      </c>
      <c r="R283">
        <v>4</v>
      </c>
      <c r="S283">
        <v>5</v>
      </c>
      <c r="T283">
        <v>20</v>
      </c>
      <c r="U283">
        <v>70</v>
      </c>
      <c r="V283">
        <v>1</v>
      </c>
      <c r="W283">
        <v>3</v>
      </c>
      <c r="X283">
        <v>1</v>
      </c>
      <c r="Y283">
        <v>2</v>
      </c>
      <c r="Z283">
        <v>6</v>
      </c>
      <c r="AA283">
        <v>7</v>
      </c>
      <c r="AB283" t="str">
        <f t="shared" si="14"/>
        <v>Below average customer</v>
      </c>
    </row>
    <row r="284" spans="1:28" x14ac:dyDescent="0.35">
      <c r="A284">
        <v>10983</v>
      </c>
      <c r="B284">
        <v>1952</v>
      </c>
      <c r="C284" t="s">
        <v>36</v>
      </c>
      <c r="D284" t="s">
        <v>26</v>
      </c>
      <c r="E284" t="s">
        <v>29</v>
      </c>
      <c r="F284">
        <v>75278</v>
      </c>
      <c r="G284" t="str">
        <f t="shared" si="12"/>
        <v>High</v>
      </c>
      <c r="H284">
        <v>0</v>
      </c>
      <c r="I284">
        <v>0</v>
      </c>
      <c r="J284">
        <v>0</v>
      </c>
      <c r="K284" s="1">
        <v>41303</v>
      </c>
      <c r="L284">
        <v>17</v>
      </c>
      <c r="M284" t="str">
        <f t="shared" si="13"/>
        <v>Active</v>
      </c>
      <c r="N284">
        <v>0</v>
      </c>
      <c r="O284">
        <v>304</v>
      </c>
      <c r="P284">
        <v>98</v>
      </c>
      <c r="Q284">
        <v>230</v>
      </c>
      <c r="R284">
        <v>150</v>
      </c>
      <c r="S284">
        <v>74</v>
      </c>
      <c r="T284">
        <v>74</v>
      </c>
      <c r="U284">
        <v>930</v>
      </c>
      <c r="V284">
        <v>1</v>
      </c>
      <c r="W284">
        <v>6</v>
      </c>
      <c r="X284">
        <v>3</v>
      </c>
      <c r="Y284">
        <v>13</v>
      </c>
      <c r="Z284">
        <v>22</v>
      </c>
      <c r="AA284">
        <v>3</v>
      </c>
      <c r="AB284" t="str">
        <f t="shared" si="14"/>
        <v>Above average customer</v>
      </c>
    </row>
    <row r="285" spans="1:28" x14ac:dyDescent="0.35">
      <c r="A285">
        <v>8148</v>
      </c>
      <c r="B285">
        <v>1956</v>
      </c>
      <c r="C285" t="s">
        <v>25</v>
      </c>
      <c r="D285" t="s">
        <v>34</v>
      </c>
      <c r="E285" t="s">
        <v>29</v>
      </c>
      <c r="F285">
        <v>50898</v>
      </c>
      <c r="G285" t="str">
        <f t="shared" si="12"/>
        <v>Mid-low</v>
      </c>
      <c r="H285">
        <v>1</v>
      </c>
      <c r="I285">
        <v>1</v>
      </c>
      <c r="J285">
        <v>2</v>
      </c>
      <c r="K285" s="1">
        <v>41282</v>
      </c>
      <c r="L285">
        <v>88</v>
      </c>
      <c r="M285" t="str">
        <f t="shared" si="13"/>
        <v>Inactive</v>
      </c>
      <c r="N285">
        <v>0</v>
      </c>
      <c r="O285">
        <v>285</v>
      </c>
      <c r="P285">
        <v>28</v>
      </c>
      <c r="Q285">
        <v>242</v>
      </c>
      <c r="R285">
        <v>55</v>
      </c>
      <c r="S285">
        <v>114</v>
      </c>
      <c r="T285">
        <v>135</v>
      </c>
      <c r="U285">
        <v>859</v>
      </c>
      <c r="V285">
        <v>13</v>
      </c>
      <c r="W285">
        <v>6</v>
      </c>
      <c r="X285">
        <v>2</v>
      </c>
      <c r="Y285">
        <v>12</v>
      </c>
      <c r="Z285">
        <v>20</v>
      </c>
      <c r="AA285">
        <v>5</v>
      </c>
      <c r="AB285" t="str">
        <f t="shared" si="14"/>
        <v>Below average customer</v>
      </c>
    </row>
    <row r="286" spans="1:28" x14ac:dyDescent="0.35">
      <c r="A286">
        <v>10102</v>
      </c>
      <c r="B286">
        <v>1966</v>
      </c>
      <c r="C286" t="s">
        <v>28</v>
      </c>
      <c r="D286" t="s">
        <v>26</v>
      </c>
      <c r="E286" t="s">
        <v>38</v>
      </c>
      <c r="F286">
        <v>79946</v>
      </c>
      <c r="G286" t="str">
        <f t="shared" si="12"/>
        <v>High</v>
      </c>
      <c r="H286">
        <v>0</v>
      </c>
      <c r="I286">
        <v>0</v>
      </c>
      <c r="J286">
        <v>0</v>
      </c>
      <c r="K286" s="1">
        <v>41771</v>
      </c>
      <c r="L286">
        <v>19</v>
      </c>
      <c r="M286" t="str">
        <f t="shared" si="13"/>
        <v>Active</v>
      </c>
      <c r="N286">
        <v>0</v>
      </c>
      <c r="O286">
        <v>395</v>
      </c>
      <c r="P286">
        <v>183</v>
      </c>
      <c r="Q286">
        <v>565</v>
      </c>
      <c r="R286">
        <v>166</v>
      </c>
      <c r="S286">
        <v>141</v>
      </c>
      <c r="T286">
        <v>28</v>
      </c>
      <c r="U286">
        <v>1478</v>
      </c>
      <c r="V286">
        <v>1</v>
      </c>
      <c r="W286">
        <v>5</v>
      </c>
      <c r="X286">
        <v>11</v>
      </c>
      <c r="Y286">
        <v>5</v>
      </c>
      <c r="Z286">
        <v>21</v>
      </c>
      <c r="AA286">
        <v>3</v>
      </c>
      <c r="AB286" t="str">
        <f t="shared" si="14"/>
        <v>Above average customer</v>
      </c>
    </row>
    <row r="287" spans="1:28" x14ac:dyDescent="0.35">
      <c r="A287">
        <v>4697</v>
      </c>
      <c r="B287">
        <v>1949</v>
      </c>
      <c r="C287" t="s">
        <v>36</v>
      </c>
      <c r="D287" t="s">
        <v>34</v>
      </c>
      <c r="E287" t="s">
        <v>35</v>
      </c>
      <c r="F287">
        <v>35416</v>
      </c>
      <c r="G287" t="str">
        <f t="shared" si="12"/>
        <v>Low</v>
      </c>
      <c r="H287">
        <v>0</v>
      </c>
      <c r="I287">
        <v>0</v>
      </c>
      <c r="J287">
        <v>0</v>
      </c>
      <c r="K287" s="1">
        <v>41438</v>
      </c>
      <c r="L287">
        <v>62</v>
      </c>
      <c r="M287" t="str">
        <f t="shared" si="13"/>
        <v>Inactive</v>
      </c>
      <c r="N287">
        <v>0</v>
      </c>
      <c r="O287">
        <v>248</v>
      </c>
      <c r="P287">
        <v>3</v>
      </c>
      <c r="Q287">
        <v>81</v>
      </c>
      <c r="R287">
        <v>4</v>
      </c>
      <c r="S287">
        <v>3</v>
      </c>
      <c r="T287">
        <v>51</v>
      </c>
      <c r="U287">
        <v>390</v>
      </c>
      <c r="V287">
        <v>3</v>
      </c>
      <c r="W287">
        <v>7</v>
      </c>
      <c r="X287">
        <v>1</v>
      </c>
      <c r="Y287">
        <v>5</v>
      </c>
      <c r="Z287">
        <v>13</v>
      </c>
      <c r="AA287">
        <v>8</v>
      </c>
      <c r="AB287" t="str">
        <f t="shared" si="14"/>
        <v>Below average customer</v>
      </c>
    </row>
    <row r="288" spans="1:28" x14ac:dyDescent="0.35">
      <c r="A288">
        <v>9262</v>
      </c>
      <c r="B288">
        <v>1984</v>
      </c>
      <c r="C288" t="s">
        <v>30</v>
      </c>
      <c r="D288" t="s">
        <v>34</v>
      </c>
      <c r="E288" t="s">
        <v>29</v>
      </c>
      <c r="F288">
        <v>32414</v>
      </c>
      <c r="G288" t="str">
        <f t="shared" si="12"/>
        <v>Low</v>
      </c>
      <c r="H288">
        <v>0</v>
      </c>
      <c r="I288">
        <v>0</v>
      </c>
      <c r="J288">
        <v>0</v>
      </c>
      <c r="K288" s="1">
        <v>41459</v>
      </c>
      <c r="L288">
        <v>11</v>
      </c>
      <c r="M288" t="str">
        <f t="shared" si="13"/>
        <v>Active</v>
      </c>
      <c r="N288">
        <v>0</v>
      </c>
      <c r="O288">
        <v>20</v>
      </c>
      <c r="P288">
        <v>6</v>
      </c>
      <c r="Q288">
        <v>5</v>
      </c>
      <c r="R288">
        <v>0</v>
      </c>
      <c r="S288">
        <v>9</v>
      </c>
      <c r="T288">
        <v>12</v>
      </c>
      <c r="U288">
        <v>52</v>
      </c>
      <c r="V288">
        <v>1</v>
      </c>
      <c r="W288">
        <v>1</v>
      </c>
      <c r="X288">
        <v>0</v>
      </c>
      <c r="Y288">
        <v>3</v>
      </c>
      <c r="Z288">
        <v>4</v>
      </c>
      <c r="AA288">
        <v>7</v>
      </c>
      <c r="AB288" t="str">
        <f t="shared" si="14"/>
        <v>Below average customer</v>
      </c>
    </row>
    <row r="289" spans="1:28" x14ac:dyDescent="0.35">
      <c r="A289">
        <v>7254</v>
      </c>
      <c r="B289">
        <v>1969</v>
      </c>
      <c r="C289" t="s">
        <v>28</v>
      </c>
      <c r="D289" t="s">
        <v>26</v>
      </c>
      <c r="E289" t="s">
        <v>29</v>
      </c>
      <c r="F289">
        <v>38361</v>
      </c>
      <c r="G289" t="str">
        <f t="shared" si="12"/>
        <v>Mid-low</v>
      </c>
      <c r="H289">
        <v>1</v>
      </c>
      <c r="I289">
        <v>0</v>
      </c>
      <c r="J289">
        <v>1</v>
      </c>
      <c r="K289" s="1">
        <v>41635</v>
      </c>
      <c r="L289">
        <v>74</v>
      </c>
      <c r="M289" t="str">
        <f t="shared" si="13"/>
        <v>Inactive</v>
      </c>
      <c r="N289">
        <v>0</v>
      </c>
      <c r="O289">
        <v>39</v>
      </c>
      <c r="P289">
        <v>0</v>
      </c>
      <c r="Q289">
        <v>56</v>
      </c>
      <c r="R289">
        <v>20</v>
      </c>
      <c r="S289">
        <v>8</v>
      </c>
      <c r="T289">
        <v>14</v>
      </c>
      <c r="U289">
        <v>137</v>
      </c>
      <c r="V289">
        <v>3</v>
      </c>
      <c r="W289">
        <v>3</v>
      </c>
      <c r="X289">
        <v>1</v>
      </c>
      <c r="Y289">
        <v>3</v>
      </c>
      <c r="Z289">
        <v>7</v>
      </c>
      <c r="AA289">
        <v>7</v>
      </c>
      <c r="AB289" t="str">
        <f t="shared" si="14"/>
        <v>Below average customer</v>
      </c>
    </row>
    <row r="290" spans="1:28" x14ac:dyDescent="0.35">
      <c r="A290">
        <v>4543</v>
      </c>
      <c r="B290">
        <v>1980</v>
      </c>
      <c r="C290" t="s">
        <v>31</v>
      </c>
      <c r="D290" t="s">
        <v>26</v>
      </c>
      <c r="E290" t="s">
        <v>33</v>
      </c>
      <c r="F290">
        <v>82497</v>
      </c>
      <c r="G290" t="str">
        <f t="shared" si="12"/>
        <v>High</v>
      </c>
      <c r="H290">
        <v>0</v>
      </c>
      <c r="I290">
        <v>0</v>
      </c>
      <c r="J290">
        <v>0</v>
      </c>
      <c r="K290" s="1">
        <v>41213</v>
      </c>
      <c r="L290">
        <v>32</v>
      </c>
      <c r="M290" t="str">
        <f t="shared" si="13"/>
        <v>Active</v>
      </c>
      <c r="N290">
        <v>0</v>
      </c>
      <c r="O290">
        <v>777</v>
      </c>
      <c r="P290">
        <v>129</v>
      </c>
      <c r="Q290">
        <v>573</v>
      </c>
      <c r="R290">
        <v>216</v>
      </c>
      <c r="S290">
        <v>21</v>
      </c>
      <c r="T290">
        <v>203</v>
      </c>
      <c r="U290">
        <v>1919</v>
      </c>
      <c r="V290">
        <v>1</v>
      </c>
      <c r="W290">
        <v>2</v>
      </c>
      <c r="X290">
        <v>7</v>
      </c>
      <c r="Y290">
        <v>9</v>
      </c>
      <c r="Z290">
        <v>18</v>
      </c>
      <c r="AA290">
        <v>4</v>
      </c>
      <c r="AB290" t="str">
        <f t="shared" si="14"/>
        <v>Above average customer</v>
      </c>
    </row>
    <row r="291" spans="1:28" x14ac:dyDescent="0.35">
      <c r="A291">
        <v>4927</v>
      </c>
      <c r="B291">
        <v>1971</v>
      </c>
      <c r="C291" t="s">
        <v>28</v>
      </c>
      <c r="D291" t="s">
        <v>26</v>
      </c>
      <c r="E291" t="s">
        <v>29</v>
      </c>
      <c r="F291">
        <v>16626</v>
      </c>
      <c r="G291" t="str">
        <f t="shared" si="12"/>
        <v>Low</v>
      </c>
      <c r="H291">
        <v>2</v>
      </c>
      <c r="I291">
        <v>0</v>
      </c>
      <c r="J291">
        <v>2</v>
      </c>
      <c r="K291" s="1">
        <v>41654</v>
      </c>
      <c r="L291">
        <v>76</v>
      </c>
      <c r="M291" t="str">
        <f t="shared" si="13"/>
        <v>Inactive</v>
      </c>
      <c r="N291">
        <v>0</v>
      </c>
      <c r="O291">
        <v>8</v>
      </c>
      <c r="P291">
        <v>3</v>
      </c>
      <c r="Q291">
        <v>22</v>
      </c>
      <c r="R291">
        <v>21</v>
      </c>
      <c r="S291">
        <v>1</v>
      </c>
      <c r="T291">
        <v>13</v>
      </c>
      <c r="U291">
        <v>68</v>
      </c>
      <c r="V291">
        <v>3</v>
      </c>
      <c r="W291">
        <v>3</v>
      </c>
      <c r="X291">
        <v>0</v>
      </c>
      <c r="Y291">
        <v>3</v>
      </c>
      <c r="Z291">
        <v>6</v>
      </c>
      <c r="AA291">
        <v>9</v>
      </c>
      <c r="AB291" t="str">
        <f t="shared" si="14"/>
        <v>Below average customer</v>
      </c>
    </row>
    <row r="292" spans="1:28" x14ac:dyDescent="0.35">
      <c r="A292">
        <v>10451</v>
      </c>
      <c r="B292">
        <v>1965</v>
      </c>
      <c r="C292" t="s">
        <v>28</v>
      </c>
      <c r="D292" t="s">
        <v>26</v>
      </c>
      <c r="E292" t="s">
        <v>29</v>
      </c>
      <c r="F292">
        <v>29672</v>
      </c>
      <c r="G292" t="str">
        <f t="shared" si="12"/>
        <v>Low</v>
      </c>
      <c r="H292">
        <v>1</v>
      </c>
      <c r="I292">
        <v>1</v>
      </c>
      <c r="J292">
        <v>2</v>
      </c>
      <c r="K292" s="1">
        <v>41345</v>
      </c>
      <c r="L292">
        <v>6</v>
      </c>
      <c r="M292" t="str">
        <f t="shared" si="13"/>
        <v>Active</v>
      </c>
      <c r="N292">
        <v>0</v>
      </c>
      <c r="O292">
        <v>9</v>
      </c>
      <c r="P292">
        <v>1</v>
      </c>
      <c r="Q292">
        <v>3</v>
      </c>
      <c r="R292">
        <v>0</v>
      </c>
      <c r="S292">
        <v>4</v>
      </c>
      <c r="T292">
        <v>8</v>
      </c>
      <c r="U292">
        <v>25</v>
      </c>
      <c r="V292">
        <v>1</v>
      </c>
      <c r="W292">
        <v>0</v>
      </c>
      <c r="X292">
        <v>0</v>
      </c>
      <c r="Y292">
        <v>3</v>
      </c>
      <c r="Z292">
        <v>3</v>
      </c>
      <c r="AA292">
        <v>6</v>
      </c>
      <c r="AB292" t="str">
        <f t="shared" si="14"/>
        <v>Below average customer</v>
      </c>
    </row>
    <row r="293" spans="1:28" x14ac:dyDescent="0.35">
      <c r="A293">
        <v>2926</v>
      </c>
      <c r="B293">
        <v>1952</v>
      </c>
      <c r="C293" t="s">
        <v>36</v>
      </c>
      <c r="D293" t="s">
        <v>34</v>
      </c>
      <c r="E293" t="s">
        <v>29</v>
      </c>
      <c r="F293">
        <v>55951</v>
      </c>
      <c r="G293" t="str">
        <f t="shared" si="12"/>
        <v>Mid-high</v>
      </c>
      <c r="H293">
        <v>0</v>
      </c>
      <c r="I293">
        <v>1</v>
      </c>
      <c r="J293">
        <v>1</v>
      </c>
      <c r="K293" s="1">
        <v>41144</v>
      </c>
      <c r="L293">
        <v>62</v>
      </c>
      <c r="M293" t="str">
        <f t="shared" si="13"/>
        <v>Inactive</v>
      </c>
      <c r="N293">
        <v>0</v>
      </c>
      <c r="O293">
        <v>1241</v>
      </c>
      <c r="P293">
        <v>0</v>
      </c>
      <c r="Q293">
        <v>80</v>
      </c>
      <c r="R293">
        <v>0</v>
      </c>
      <c r="S293">
        <v>13</v>
      </c>
      <c r="T293">
        <v>40</v>
      </c>
      <c r="U293">
        <v>1374</v>
      </c>
      <c r="V293">
        <v>3</v>
      </c>
      <c r="W293">
        <v>3</v>
      </c>
      <c r="X293">
        <v>6</v>
      </c>
      <c r="Y293">
        <v>11</v>
      </c>
      <c r="Z293">
        <v>20</v>
      </c>
      <c r="AA293">
        <v>8</v>
      </c>
      <c r="AB293" t="str">
        <f t="shared" si="14"/>
        <v>Below average customer</v>
      </c>
    </row>
    <row r="294" spans="1:28" x14ac:dyDescent="0.35">
      <c r="A294">
        <v>2874</v>
      </c>
      <c r="B294">
        <v>1988</v>
      </c>
      <c r="C294" t="s">
        <v>30</v>
      </c>
      <c r="D294" t="s">
        <v>34</v>
      </c>
      <c r="E294" t="s">
        <v>35</v>
      </c>
      <c r="F294">
        <v>35388</v>
      </c>
      <c r="G294" t="str">
        <f t="shared" si="12"/>
        <v>Low</v>
      </c>
      <c r="H294">
        <v>1</v>
      </c>
      <c r="I294">
        <v>0</v>
      </c>
      <c r="J294">
        <v>1</v>
      </c>
      <c r="K294" s="1">
        <v>41340</v>
      </c>
      <c r="L294">
        <v>20</v>
      </c>
      <c r="M294" t="str">
        <f t="shared" si="13"/>
        <v>Active</v>
      </c>
      <c r="N294">
        <v>0</v>
      </c>
      <c r="O294">
        <v>6</v>
      </c>
      <c r="P294">
        <v>4</v>
      </c>
      <c r="Q294">
        <v>7</v>
      </c>
      <c r="R294">
        <v>4</v>
      </c>
      <c r="S294">
        <v>3</v>
      </c>
      <c r="T294">
        <v>8</v>
      </c>
      <c r="U294">
        <v>32</v>
      </c>
      <c r="V294">
        <v>1</v>
      </c>
      <c r="W294">
        <v>1</v>
      </c>
      <c r="X294">
        <v>0</v>
      </c>
      <c r="Y294">
        <v>3</v>
      </c>
      <c r="Z294">
        <v>4</v>
      </c>
      <c r="AA294">
        <v>7</v>
      </c>
      <c r="AB294" t="str">
        <f t="shared" si="14"/>
        <v>Below average customer</v>
      </c>
    </row>
    <row r="295" spans="1:28" x14ac:dyDescent="0.35">
      <c r="A295">
        <v>9738</v>
      </c>
      <c r="B295">
        <v>1986</v>
      </c>
      <c r="C295" t="s">
        <v>30</v>
      </c>
      <c r="D295" t="s">
        <v>34</v>
      </c>
      <c r="E295" t="s">
        <v>29</v>
      </c>
      <c r="F295">
        <v>42386</v>
      </c>
      <c r="G295" t="str">
        <f t="shared" si="12"/>
        <v>Mid-low</v>
      </c>
      <c r="H295">
        <v>1</v>
      </c>
      <c r="I295">
        <v>0</v>
      </c>
      <c r="J295">
        <v>1</v>
      </c>
      <c r="K295" s="1">
        <v>41287</v>
      </c>
      <c r="L295">
        <v>43</v>
      </c>
      <c r="M295" t="str">
        <f t="shared" si="13"/>
        <v>Active</v>
      </c>
      <c r="N295">
        <v>0</v>
      </c>
      <c r="O295">
        <v>65</v>
      </c>
      <c r="P295">
        <v>4</v>
      </c>
      <c r="Q295">
        <v>16</v>
      </c>
      <c r="R295">
        <v>0</v>
      </c>
      <c r="S295">
        <v>4</v>
      </c>
      <c r="T295">
        <v>11</v>
      </c>
      <c r="U295">
        <v>100</v>
      </c>
      <c r="V295">
        <v>1</v>
      </c>
      <c r="W295">
        <v>3</v>
      </c>
      <c r="X295">
        <v>0</v>
      </c>
      <c r="Y295">
        <v>3</v>
      </c>
      <c r="Z295">
        <v>6</v>
      </c>
      <c r="AA295">
        <v>8</v>
      </c>
      <c r="AB295" t="str">
        <f t="shared" si="14"/>
        <v>Below average customer</v>
      </c>
    </row>
    <row r="296" spans="1:28" x14ac:dyDescent="0.35">
      <c r="A296">
        <v>7119</v>
      </c>
      <c r="B296">
        <v>1982</v>
      </c>
      <c r="C296" t="s">
        <v>31</v>
      </c>
      <c r="D296" t="s">
        <v>26</v>
      </c>
      <c r="E296" t="s">
        <v>27</v>
      </c>
      <c r="F296">
        <v>68627</v>
      </c>
      <c r="G296" t="str">
        <f t="shared" si="12"/>
        <v>High</v>
      </c>
      <c r="H296">
        <v>0</v>
      </c>
      <c r="I296">
        <v>0</v>
      </c>
      <c r="J296">
        <v>0</v>
      </c>
      <c r="K296" s="1">
        <v>41286</v>
      </c>
      <c r="L296">
        <v>45</v>
      </c>
      <c r="M296" t="str">
        <f t="shared" si="13"/>
        <v>Active</v>
      </c>
      <c r="N296">
        <v>0</v>
      </c>
      <c r="O296">
        <v>395</v>
      </c>
      <c r="P296">
        <v>15</v>
      </c>
      <c r="Q296">
        <v>263</v>
      </c>
      <c r="R296">
        <v>60</v>
      </c>
      <c r="S296">
        <v>54</v>
      </c>
      <c r="T296">
        <v>38</v>
      </c>
      <c r="U296">
        <v>825</v>
      </c>
      <c r="V296">
        <v>1</v>
      </c>
      <c r="W296">
        <v>2</v>
      </c>
      <c r="X296">
        <v>3</v>
      </c>
      <c r="Y296">
        <v>6</v>
      </c>
      <c r="Z296">
        <v>11</v>
      </c>
      <c r="AA296">
        <v>1</v>
      </c>
      <c r="AB296" t="str">
        <f t="shared" si="14"/>
        <v>Below average customer</v>
      </c>
    </row>
    <row r="297" spans="1:28" x14ac:dyDescent="0.35">
      <c r="A297">
        <v>3924</v>
      </c>
      <c r="B297">
        <v>1965</v>
      </c>
      <c r="C297" t="s">
        <v>28</v>
      </c>
      <c r="D297" t="s">
        <v>32</v>
      </c>
      <c r="E297" t="s">
        <v>35</v>
      </c>
      <c r="F297">
        <v>57912</v>
      </c>
      <c r="G297" t="str">
        <f t="shared" si="12"/>
        <v>Mid-high</v>
      </c>
      <c r="H297">
        <v>0</v>
      </c>
      <c r="I297">
        <v>1</v>
      </c>
      <c r="J297">
        <v>1</v>
      </c>
      <c r="K297" s="1">
        <v>41715</v>
      </c>
      <c r="L297">
        <v>34</v>
      </c>
      <c r="M297" t="str">
        <f t="shared" si="13"/>
        <v>Active</v>
      </c>
      <c r="N297">
        <v>0</v>
      </c>
      <c r="O297">
        <v>801</v>
      </c>
      <c r="P297">
        <v>0</v>
      </c>
      <c r="Q297">
        <v>80</v>
      </c>
      <c r="R297">
        <v>0</v>
      </c>
      <c r="S297">
        <v>0</v>
      </c>
      <c r="T297">
        <v>35</v>
      </c>
      <c r="U297">
        <v>916</v>
      </c>
      <c r="V297">
        <v>5</v>
      </c>
      <c r="W297">
        <v>8</v>
      </c>
      <c r="X297">
        <v>3</v>
      </c>
      <c r="Y297">
        <v>12</v>
      </c>
      <c r="Z297">
        <v>23</v>
      </c>
      <c r="AA297">
        <v>5</v>
      </c>
      <c r="AB297" t="str">
        <f t="shared" si="14"/>
        <v>Above average customer</v>
      </c>
    </row>
    <row r="298" spans="1:28" x14ac:dyDescent="0.35">
      <c r="A298">
        <v>5827</v>
      </c>
      <c r="B298">
        <v>1958</v>
      </c>
      <c r="C298" t="s">
        <v>25</v>
      </c>
      <c r="D298" t="s">
        <v>26</v>
      </c>
      <c r="E298" t="s">
        <v>35</v>
      </c>
      <c r="F298">
        <v>35246</v>
      </c>
      <c r="G298" t="str">
        <f t="shared" si="12"/>
        <v>Low</v>
      </c>
      <c r="H298">
        <v>1</v>
      </c>
      <c r="I298">
        <v>1</v>
      </c>
      <c r="J298">
        <v>2</v>
      </c>
      <c r="K298" s="1">
        <v>41745</v>
      </c>
      <c r="L298">
        <v>53</v>
      </c>
      <c r="M298" t="str">
        <f t="shared" si="13"/>
        <v>Inactive</v>
      </c>
      <c r="N298">
        <v>0</v>
      </c>
      <c r="O298">
        <v>36</v>
      </c>
      <c r="P298">
        <v>0</v>
      </c>
      <c r="Q298">
        <v>12</v>
      </c>
      <c r="R298">
        <v>2</v>
      </c>
      <c r="S298">
        <v>2</v>
      </c>
      <c r="T298">
        <v>10</v>
      </c>
      <c r="U298">
        <v>62</v>
      </c>
      <c r="V298">
        <v>4</v>
      </c>
      <c r="W298">
        <v>3</v>
      </c>
      <c r="X298">
        <v>1</v>
      </c>
      <c r="Y298">
        <v>3</v>
      </c>
      <c r="Z298">
        <v>7</v>
      </c>
      <c r="AA298">
        <v>5</v>
      </c>
      <c r="AB298" t="str">
        <f t="shared" si="14"/>
        <v>Below average customer</v>
      </c>
    </row>
    <row r="299" spans="1:28" x14ac:dyDescent="0.35">
      <c r="A299">
        <v>5596</v>
      </c>
      <c r="B299">
        <v>1956</v>
      </c>
      <c r="C299" t="s">
        <v>25</v>
      </c>
      <c r="D299" t="s">
        <v>34</v>
      </c>
      <c r="E299" t="s">
        <v>29</v>
      </c>
      <c r="F299">
        <v>58821</v>
      </c>
      <c r="G299" t="str">
        <f t="shared" si="12"/>
        <v>Mid-high</v>
      </c>
      <c r="H299">
        <v>0</v>
      </c>
      <c r="I299">
        <v>1</v>
      </c>
      <c r="J299">
        <v>1</v>
      </c>
      <c r="K299" s="1">
        <v>41559</v>
      </c>
      <c r="L299">
        <v>44</v>
      </c>
      <c r="M299" t="str">
        <f t="shared" si="13"/>
        <v>Active</v>
      </c>
      <c r="N299">
        <v>0</v>
      </c>
      <c r="O299">
        <v>513</v>
      </c>
      <c r="P299">
        <v>14</v>
      </c>
      <c r="Q299">
        <v>154</v>
      </c>
      <c r="R299">
        <v>19</v>
      </c>
      <c r="S299">
        <v>0</v>
      </c>
      <c r="T299">
        <v>28</v>
      </c>
      <c r="U299">
        <v>728</v>
      </c>
      <c r="V299">
        <v>1</v>
      </c>
      <c r="W299">
        <v>9</v>
      </c>
      <c r="X299">
        <v>2</v>
      </c>
      <c r="Y299">
        <v>9</v>
      </c>
      <c r="Z299">
        <v>20</v>
      </c>
      <c r="AA299">
        <v>6</v>
      </c>
      <c r="AB299" t="str">
        <f t="shared" si="14"/>
        <v>Above average customer</v>
      </c>
    </row>
    <row r="300" spans="1:28" x14ac:dyDescent="0.35">
      <c r="A300">
        <v>10812</v>
      </c>
      <c r="B300">
        <v>1978</v>
      </c>
      <c r="C300" t="s">
        <v>31</v>
      </c>
      <c r="D300" t="s">
        <v>32</v>
      </c>
      <c r="E300" t="s">
        <v>33</v>
      </c>
      <c r="F300">
        <v>46377</v>
      </c>
      <c r="G300" t="str">
        <f t="shared" si="12"/>
        <v>Mid-low</v>
      </c>
      <c r="H300">
        <v>1</v>
      </c>
      <c r="I300">
        <v>0</v>
      </c>
      <c r="J300">
        <v>1</v>
      </c>
      <c r="K300" s="1">
        <v>41699</v>
      </c>
      <c r="L300">
        <v>89</v>
      </c>
      <c r="M300" t="str">
        <f t="shared" si="13"/>
        <v>Inactive</v>
      </c>
      <c r="N300">
        <v>0</v>
      </c>
      <c r="O300">
        <v>37</v>
      </c>
      <c r="P300">
        <v>0</v>
      </c>
      <c r="Q300">
        <v>46</v>
      </c>
      <c r="R300">
        <v>4</v>
      </c>
      <c r="S300">
        <v>3</v>
      </c>
      <c r="T300">
        <v>0</v>
      </c>
      <c r="U300">
        <v>90</v>
      </c>
      <c r="V300">
        <v>1</v>
      </c>
      <c r="W300">
        <v>2</v>
      </c>
      <c r="X300">
        <v>1</v>
      </c>
      <c r="Y300">
        <v>3</v>
      </c>
      <c r="Z300">
        <v>6</v>
      </c>
      <c r="AA300">
        <v>4</v>
      </c>
      <c r="AB300" t="str">
        <f t="shared" si="14"/>
        <v>Below average customer</v>
      </c>
    </row>
    <row r="301" spans="1:28" x14ac:dyDescent="0.35">
      <c r="A301">
        <v>1717</v>
      </c>
      <c r="B301">
        <v>1988</v>
      </c>
      <c r="C301" t="s">
        <v>30</v>
      </c>
      <c r="D301" t="s">
        <v>26</v>
      </c>
      <c r="E301" t="s">
        <v>27</v>
      </c>
      <c r="F301">
        <v>39747</v>
      </c>
      <c r="G301" t="str">
        <f t="shared" si="12"/>
        <v>Mid-low</v>
      </c>
      <c r="H301">
        <v>1</v>
      </c>
      <c r="I301">
        <v>0</v>
      </c>
      <c r="J301">
        <v>1</v>
      </c>
      <c r="K301" s="1">
        <v>41742</v>
      </c>
      <c r="L301">
        <v>43</v>
      </c>
      <c r="M301" t="str">
        <f t="shared" si="13"/>
        <v>Active</v>
      </c>
      <c r="N301">
        <v>0</v>
      </c>
      <c r="O301">
        <v>80</v>
      </c>
      <c r="P301">
        <v>15</v>
      </c>
      <c r="Q301">
        <v>93</v>
      </c>
      <c r="R301">
        <v>20</v>
      </c>
      <c r="S301">
        <v>13</v>
      </c>
      <c r="T301">
        <v>52</v>
      </c>
      <c r="U301">
        <v>273</v>
      </c>
      <c r="V301">
        <v>3</v>
      </c>
      <c r="W301">
        <v>5</v>
      </c>
      <c r="X301">
        <v>1</v>
      </c>
      <c r="Y301">
        <v>4</v>
      </c>
      <c r="Z301">
        <v>10</v>
      </c>
      <c r="AA301">
        <v>8</v>
      </c>
      <c r="AB301" t="str">
        <f t="shared" si="14"/>
        <v>Below average customer</v>
      </c>
    </row>
    <row r="302" spans="1:28" x14ac:dyDescent="0.35">
      <c r="A302">
        <v>9491</v>
      </c>
      <c r="B302">
        <v>1984</v>
      </c>
      <c r="C302" t="s">
        <v>30</v>
      </c>
      <c r="D302" t="s">
        <v>26</v>
      </c>
      <c r="E302" t="s">
        <v>29</v>
      </c>
      <c r="F302">
        <v>23976</v>
      </c>
      <c r="G302" t="str">
        <f t="shared" si="12"/>
        <v>Low</v>
      </c>
      <c r="H302">
        <v>1</v>
      </c>
      <c r="I302">
        <v>0</v>
      </c>
      <c r="J302">
        <v>1</v>
      </c>
      <c r="K302" s="1">
        <v>41635</v>
      </c>
      <c r="L302">
        <v>68</v>
      </c>
      <c r="M302" t="str">
        <f t="shared" si="13"/>
        <v>Inactive</v>
      </c>
      <c r="N302">
        <v>0</v>
      </c>
      <c r="O302">
        <v>14</v>
      </c>
      <c r="P302">
        <v>1</v>
      </c>
      <c r="Q302">
        <v>21</v>
      </c>
      <c r="R302">
        <v>2</v>
      </c>
      <c r="S302">
        <v>3</v>
      </c>
      <c r="T302">
        <v>25</v>
      </c>
      <c r="U302">
        <v>66</v>
      </c>
      <c r="V302">
        <v>3</v>
      </c>
      <c r="W302">
        <v>3</v>
      </c>
      <c r="X302">
        <v>1</v>
      </c>
      <c r="Y302">
        <v>3</v>
      </c>
      <c r="Z302">
        <v>7</v>
      </c>
      <c r="AA302">
        <v>7</v>
      </c>
      <c r="AB302" t="str">
        <f t="shared" si="14"/>
        <v>Below average customer</v>
      </c>
    </row>
    <row r="303" spans="1:28" x14ac:dyDescent="0.35">
      <c r="A303">
        <v>9274</v>
      </c>
      <c r="B303">
        <v>1961</v>
      </c>
      <c r="C303" t="s">
        <v>25</v>
      </c>
      <c r="D303" t="s">
        <v>34</v>
      </c>
      <c r="E303" t="s">
        <v>33</v>
      </c>
      <c r="F303">
        <v>80950</v>
      </c>
      <c r="G303" t="str">
        <f t="shared" si="12"/>
        <v>High</v>
      </c>
      <c r="H303">
        <v>0</v>
      </c>
      <c r="I303">
        <v>0</v>
      </c>
      <c r="J303">
        <v>0</v>
      </c>
      <c r="K303" s="1">
        <v>41361</v>
      </c>
      <c r="L303">
        <v>44</v>
      </c>
      <c r="M303" t="str">
        <f t="shared" si="13"/>
        <v>Active</v>
      </c>
      <c r="N303">
        <v>0</v>
      </c>
      <c r="O303">
        <v>525</v>
      </c>
      <c r="P303">
        <v>147</v>
      </c>
      <c r="Q303">
        <v>112</v>
      </c>
      <c r="R303">
        <v>219</v>
      </c>
      <c r="S303">
        <v>147</v>
      </c>
      <c r="T303">
        <v>63</v>
      </c>
      <c r="U303">
        <v>1213</v>
      </c>
      <c r="V303">
        <v>1</v>
      </c>
      <c r="W303">
        <v>6</v>
      </c>
      <c r="X303">
        <v>7</v>
      </c>
      <c r="Y303">
        <v>9</v>
      </c>
      <c r="Z303">
        <v>22</v>
      </c>
      <c r="AA303">
        <v>2</v>
      </c>
      <c r="AB303" t="str">
        <f t="shared" si="14"/>
        <v>Above average customer</v>
      </c>
    </row>
    <row r="304" spans="1:28" x14ac:dyDescent="0.35">
      <c r="A304">
        <v>6609</v>
      </c>
      <c r="B304">
        <v>1966</v>
      </c>
      <c r="C304" t="s">
        <v>28</v>
      </c>
      <c r="D304" t="s">
        <v>26</v>
      </c>
      <c r="E304" t="s">
        <v>38</v>
      </c>
      <c r="F304">
        <v>27038</v>
      </c>
      <c r="G304" t="str">
        <f t="shared" si="12"/>
        <v>Low</v>
      </c>
      <c r="H304">
        <v>0</v>
      </c>
      <c r="I304">
        <v>0</v>
      </c>
      <c r="J304">
        <v>0</v>
      </c>
      <c r="K304" s="1">
        <v>41170</v>
      </c>
      <c r="L304">
        <v>64</v>
      </c>
      <c r="M304" t="str">
        <f t="shared" si="13"/>
        <v>Inactive</v>
      </c>
      <c r="N304">
        <v>0</v>
      </c>
      <c r="O304">
        <v>1</v>
      </c>
      <c r="P304">
        <v>26</v>
      </c>
      <c r="Q304">
        <v>25</v>
      </c>
      <c r="R304">
        <v>17</v>
      </c>
      <c r="S304">
        <v>23</v>
      </c>
      <c r="T304">
        <v>15</v>
      </c>
      <c r="U304">
        <v>107</v>
      </c>
      <c r="V304">
        <v>1</v>
      </c>
      <c r="W304">
        <v>3</v>
      </c>
      <c r="X304">
        <v>0</v>
      </c>
      <c r="Y304">
        <v>3</v>
      </c>
      <c r="Z304">
        <v>6</v>
      </c>
      <c r="AA304">
        <v>9</v>
      </c>
      <c r="AB304" t="str">
        <f t="shared" si="14"/>
        <v>Below average customer</v>
      </c>
    </row>
    <row r="305" spans="1:28" x14ac:dyDescent="0.35">
      <c r="A305">
        <v>6963</v>
      </c>
      <c r="B305">
        <v>1947</v>
      </c>
      <c r="C305" t="s">
        <v>36</v>
      </c>
      <c r="D305" t="s">
        <v>26</v>
      </c>
      <c r="E305" t="s">
        <v>27</v>
      </c>
      <c r="F305">
        <v>77457</v>
      </c>
      <c r="G305" t="str">
        <f t="shared" si="12"/>
        <v>High</v>
      </c>
      <c r="H305">
        <v>0</v>
      </c>
      <c r="I305">
        <v>0</v>
      </c>
      <c r="J305">
        <v>0</v>
      </c>
      <c r="K305" s="1">
        <v>41703</v>
      </c>
      <c r="L305">
        <v>85</v>
      </c>
      <c r="M305" t="str">
        <f t="shared" si="13"/>
        <v>Inactive</v>
      </c>
      <c r="N305">
        <v>0</v>
      </c>
      <c r="O305">
        <v>675</v>
      </c>
      <c r="P305">
        <v>11</v>
      </c>
      <c r="Q305">
        <v>400</v>
      </c>
      <c r="R305">
        <v>15</v>
      </c>
      <c r="S305">
        <v>45</v>
      </c>
      <c r="T305">
        <v>11</v>
      </c>
      <c r="U305">
        <v>1157</v>
      </c>
      <c r="V305">
        <v>1</v>
      </c>
      <c r="W305">
        <v>2</v>
      </c>
      <c r="X305">
        <v>5</v>
      </c>
      <c r="Y305">
        <v>10</v>
      </c>
      <c r="Z305">
        <v>17</v>
      </c>
      <c r="AA305">
        <v>1</v>
      </c>
      <c r="AB305" t="str">
        <f t="shared" si="14"/>
        <v>Below average customer</v>
      </c>
    </row>
    <row r="306" spans="1:28" x14ac:dyDescent="0.35">
      <c r="A306">
        <v>4440</v>
      </c>
      <c r="B306">
        <v>1964</v>
      </c>
      <c r="C306" t="s">
        <v>28</v>
      </c>
      <c r="D306" t="s">
        <v>34</v>
      </c>
      <c r="E306" t="s">
        <v>33</v>
      </c>
      <c r="F306">
        <v>64100</v>
      </c>
      <c r="G306" t="str">
        <f t="shared" si="12"/>
        <v>Mid-high</v>
      </c>
      <c r="H306">
        <v>0</v>
      </c>
      <c r="I306">
        <v>1</v>
      </c>
      <c r="J306">
        <v>1</v>
      </c>
      <c r="K306" s="1">
        <v>41527</v>
      </c>
      <c r="L306">
        <v>93</v>
      </c>
      <c r="M306" t="str">
        <f t="shared" si="13"/>
        <v>Inactive</v>
      </c>
      <c r="N306">
        <v>0</v>
      </c>
      <c r="O306">
        <v>509</v>
      </c>
      <c r="P306">
        <v>0</v>
      </c>
      <c r="Q306">
        <v>27</v>
      </c>
      <c r="R306">
        <v>0</v>
      </c>
      <c r="S306">
        <v>0</v>
      </c>
      <c r="T306">
        <v>10</v>
      </c>
      <c r="U306">
        <v>546</v>
      </c>
      <c r="V306">
        <v>1</v>
      </c>
      <c r="W306">
        <v>8</v>
      </c>
      <c r="X306">
        <v>3</v>
      </c>
      <c r="Y306">
        <v>6</v>
      </c>
      <c r="Z306">
        <v>17</v>
      </c>
      <c r="AA306">
        <v>7</v>
      </c>
      <c r="AB306" t="str">
        <f t="shared" si="14"/>
        <v>Below average customer</v>
      </c>
    </row>
    <row r="307" spans="1:28" x14ac:dyDescent="0.35">
      <c r="A307">
        <v>1379</v>
      </c>
      <c r="B307">
        <v>1992</v>
      </c>
      <c r="C307" t="s">
        <v>30</v>
      </c>
      <c r="D307" t="s">
        <v>34</v>
      </c>
      <c r="E307" t="s">
        <v>29</v>
      </c>
      <c r="F307">
        <v>42670</v>
      </c>
      <c r="G307" t="str">
        <f t="shared" si="12"/>
        <v>Mid-low</v>
      </c>
      <c r="H307">
        <v>0</v>
      </c>
      <c r="I307">
        <v>0</v>
      </c>
      <c r="J307">
        <v>0</v>
      </c>
      <c r="K307" s="1">
        <v>41391</v>
      </c>
      <c r="L307">
        <v>12</v>
      </c>
      <c r="M307" t="str">
        <f t="shared" si="13"/>
        <v>Active</v>
      </c>
      <c r="N307">
        <v>0</v>
      </c>
      <c r="O307">
        <v>154</v>
      </c>
      <c r="P307">
        <v>2</v>
      </c>
      <c r="Q307">
        <v>46</v>
      </c>
      <c r="R307">
        <v>20</v>
      </c>
      <c r="S307">
        <v>4</v>
      </c>
      <c r="T307">
        <v>15</v>
      </c>
      <c r="U307">
        <v>241</v>
      </c>
      <c r="V307">
        <v>1</v>
      </c>
      <c r="W307">
        <v>4</v>
      </c>
      <c r="X307">
        <v>2</v>
      </c>
      <c r="Y307">
        <v>4</v>
      </c>
      <c r="Z307">
        <v>10</v>
      </c>
      <c r="AA307">
        <v>4</v>
      </c>
      <c r="AB307" t="str">
        <f t="shared" si="14"/>
        <v>Below average customer</v>
      </c>
    </row>
    <row r="308" spans="1:28" x14ac:dyDescent="0.35">
      <c r="A308">
        <v>10032</v>
      </c>
      <c r="B308">
        <v>1976</v>
      </c>
      <c r="C308" t="s">
        <v>31</v>
      </c>
      <c r="D308" t="s">
        <v>26</v>
      </c>
      <c r="E308" t="s">
        <v>35</v>
      </c>
      <c r="F308">
        <v>12571</v>
      </c>
      <c r="G308" t="str">
        <f t="shared" si="12"/>
        <v>Low</v>
      </c>
      <c r="H308">
        <v>1</v>
      </c>
      <c r="I308">
        <v>0</v>
      </c>
      <c r="J308">
        <v>1</v>
      </c>
      <c r="K308" s="1">
        <v>41657</v>
      </c>
      <c r="L308">
        <v>86</v>
      </c>
      <c r="M308" t="str">
        <f t="shared" si="13"/>
        <v>Inactive</v>
      </c>
      <c r="N308">
        <v>0</v>
      </c>
      <c r="O308">
        <v>3</v>
      </c>
      <c r="P308">
        <v>5</v>
      </c>
      <c r="Q308">
        <v>14</v>
      </c>
      <c r="R308">
        <v>2</v>
      </c>
      <c r="S308">
        <v>12</v>
      </c>
      <c r="T308">
        <v>17</v>
      </c>
      <c r="U308">
        <v>53</v>
      </c>
      <c r="V308">
        <v>4</v>
      </c>
      <c r="W308">
        <v>3</v>
      </c>
      <c r="X308">
        <v>1</v>
      </c>
      <c r="Y308">
        <v>3</v>
      </c>
      <c r="Z308">
        <v>7</v>
      </c>
      <c r="AA308">
        <v>6</v>
      </c>
      <c r="AB308" t="str">
        <f t="shared" si="14"/>
        <v>Below average customer</v>
      </c>
    </row>
    <row r="309" spans="1:28" x14ac:dyDescent="0.35">
      <c r="A309">
        <v>2826</v>
      </c>
      <c r="B309">
        <v>1967</v>
      </c>
      <c r="C309" t="s">
        <v>28</v>
      </c>
      <c r="D309" t="s">
        <v>26</v>
      </c>
      <c r="E309" t="s">
        <v>33</v>
      </c>
      <c r="F309">
        <v>22574</v>
      </c>
      <c r="G309" t="str">
        <f t="shared" si="12"/>
        <v>Low</v>
      </c>
      <c r="H309">
        <v>2</v>
      </c>
      <c r="I309">
        <v>1</v>
      </c>
      <c r="J309">
        <v>3</v>
      </c>
      <c r="K309" s="1">
        <v>41575</v>
      </c>
      <c r="L309">
        <v>28</v>
      </c>
      <c r="M309" t="str">
        <f t="shared" si="13"/>
        <v>Active</v>
      </c>
      <c r="N309">
        <v>0</v>
      </c>
      <c r="O309">
        <v>25</v>
      </c>
      <c r="P309">
        <v>0</v>
      </c>
      <c r="Q309">
        <v>8</v>
      </c>
      <c r="R309">
        <v>2</v>
      </c>
      <c r="S309">
        <v>0</v>
      </c>
      <c r="T309">
        <v>2</v>
      </c>
      <c r="U309">
        <v>37</v>
      </c>
      <c r="V309">
        <v>2</v>
      </c>
      <c r="W309">
        <v>2</v>
      </c>
      <c r="X309">
        <v>0</v>
      </c>
      <c r="Y309">
        <v>3</v>
      </c>
      <c r="Z309">
        <v>5</v>
      </c>
      <c r="AA309">
        <v>7</v>
      </c>
      <c r="AB309" t="str">
        <f t="shared" si="14"/>
        <v>Below average customer</v>
      </c>
    </row>
    <row r="310" spans="1:28" x14ac:dyDescent="0.35">
      <c r="A310">
        <v>2437</v>
      </c>
      <c r="B310">
        <v>1989</v>
      </c>
      <c r="C310" t="s">
        <v>30</v>
      </c>
      <c r="D310" t="s">
        <v>26</v>
      </c>
      <c r="E310" t="s">
        <v>33</v>
      </c>
      <c r="G310" t="str">
        <f t="shared" si="12"/>
        <v>Low</v>
      </c>
      <c r="H310">
        <v>0</v>
      </c>
      <c r="I310">
        <v>0</v>
      </c>
      <c r="J310">
        <v>0</v>
      </c>
      <c r="K310" s="1">
        <v>41428</v>
      </c>
      <c r="L310">
        <v>69</v>
      </c>
      <c r="M310" t="str">
        <f t="shared" si="13"/>
        <v>Inactive</v>
      </c>
      <c r="N310">
        <v>0</v>
      </c>
      <c r="O310">
        <v>861</v>
      </c>
      <c r="P310">
        <v>138</v>
      </c>
      <c r="Q310">
        <v>461</v>
      </c>
      <c r="R310">
        <v>60</v>
      </c>
      <c r="S310">
        <v>30</v>
      </c>
      <c r="T310">
        <v>61</v>
      </c>
      <c r="U310">
        <v>1611</v>
      </c>
      <c r="V310">
        <v>1</v>
      </c>
      <c r="W310">
        <v>6</v>
      </c>
      <c r="X310">
        <v>5</v>
      </c>
      <c r="Y310">
        <v>12</v>
      </c>
      <c r="Z310">
        <v>23</v>
      </c>
      <c r="AA310">
        <v>3</v>
      </c>
      <c r="AB310" t="str">
        <f t="shared" si="14"/>
        <v>Below average customer</v>
      </c>
    </row>
    <row r="311" spans="1:28" x14ac:dyDescent="0.35">
      <c r="A311">
        <v>6320</v>
      </c>
      <c r="B311">
        <v>1976</v>
      </c>
      <c r="C311" t="s">
        <v>31</v>
      </c>
      <c r="D311" t="s">
        <v>34</v>
      </c>
      <c r="E311" t="s">
        <v>27</v>
      </c>
      <c r="F311">
        <v>70893</v>
      </c>
      <c r="G311" t="str">
        <f t="shared" si="12"/>
        <v>High</v>
      </c>
      <c r="H311">
        <v>0</v>
      </c>
      <c r="I311">
        <v>0</v>
      </c>
      <c r="J311">
        <v>0</v>
      </c>
      <c r="K311" s="1">
        <v>41311</v>
      </c>
      <c r="L311">
        <v>42</v>
      </c>
      <c r="M311" t="str">
        <f t="shared" si="13"/>
        <v>Active</v>
      </c>
      <c r="N311">
        <v>0</v>
      </c>
      <c r="O311">
        <v>768</v>
      </c>
      <c r="P311">
        <v>44</v>
      </c>
      <c r="Q311">
        <v>561</v>
      </c>
      <c r="R311">
        <v>77</v>
      </c>
      <c r="S311">
        <v>44</v>
      </c>
      <c r="T311">
        <v>14</v>
      </c>
      <c r="U311">
        <v>1508</v>
      </c>
      <c r="V311">
        <v>1</v>
      </c>
      <c r="W311">
        <v>6</v>
      </c>
      <c r="X311">
        <v>6</v>
      </c>
      <c r="Y311">
        <v>10</v>
      </c>
      <c r="Z311">
        <v>22</v>
      </c>
      <c r="AA311">
        <v>3</v>
      </c>
      <c r="AB311" t="str">
        <f t="shared" si="14"/>
        <v>Above average customer</v>
      </c>
    </row>
    <row r="312" spans="1:28" x14ac:dyDescent="0.35">
      <c r="A312">
        <v>3050</v>
      </c>
      <c r="B312">
        <v>1966</v>
      </c>
      <c r="C312" t="s">
        <v>28</v>
      </c>
      <c r="D312" t="s">
        <v>26</v>
      </c>
      <c r="E312" t="s">
        <v>33</v>
      </c>
      <c r="F312">
        <v>54198</v>
      </c>
      <c r="G312" t="str">
        <f t="shared" si="12"/>
        <v>Mid-high</v>
      </c>
      <c r="H312">
        <v>1</v>
      </c>
      <c r="I312">
        <v>1</v>
      </c>
      <c r="J312">
        <v>2</v>
      </c>
      <c r="K312" s="1">
        <v>41625</v>
      </c>
      <c r="L312">
        <v>13</v>
      </c>
      <c r="M312" t="str">
        <f t="shared" si="13"/>
        <v>Active</v>
      </c>
      <c r="N312">
        <v>0</v>
      </c>
      <c r="O312">
        <v>185</v>
      </c>
      <c r="P312">
        <v>0</v>
      </c>
      <c r="Q312">
        <v>28</v>
      </c>
      <c r="R312">
        <v>3</v>
      </c>
      <c r="S312">
        <v>2</v>
      </c>
      <c r="T312">
        <v>17</v>
      </c>
      <c r="U312">
        <v>235</v>
      </c>
      <c r="V312">
        <v>6</v>
      </c>
      <c r="W312">
        <v>3</v>
      </c>
      <c r="X312">
        <v>1</v>
      </c>
      <c r="Y312">
        <v>6</v>
      </c>
      <c r="Z312">
        <v>10</v>
      </c>
      <c r="AA312">
        <v>4</v>
      </c>
      <c r="AB312" t="str">
        <f t="shared" si="14"/>
        <v>Below average customer</v>
      </c>
    </row>
    <row r="313" spans="1:28" x14ac:dyDescent="0.35">
      <c r="A313">
        <v>231</v>
      </c>
      <c r="B313">
        <v>1956</v>
      </c>
      <c r="C313" t="s">
        <v>25</v>
      </c>
      <c r="D313" t="s">
        <v>34</v>
      </c>
      <c r="E313" t="s">
        <v>29</v>
      </c>
      <c r="F313">
        <v>28839</v>
      </c>
      <c r="G313" t="str">
        <f t="shared" si="12"/>
        <v>Low</v>
      </c>
      <c r="H313">
        <v>1</v>
      </c>
      <c r="I313">
        <v>1</v>
      </c>
      <c r="J313">
        <v>2</v>
      </c>
      <c r="K313" s="1">
        <v>41709</v>
      </c>
      <c r="L313">
        <v>86</v>
      </c>
      <c r="M313" t="str">
        <f t="shared" si="13"/>
        <v>Inactive</v>
      </c>
      <c r="N313">
        <v>0</v>
      </c>
      <c r="O313">
        <v>24</v>
      </c>
      <c r="P313">
        <v>0</v>
      </c>
      <c r="Q313">
        <v>7</v>
      </c>
      <c r="R313">
        <v>0</v>
      </c>
      <c r="S313">
        <v>0</v>
      </c>
      <c r="T313">
        <v>1</v>
      </c>
      <c r="U313">
        <v>32</v>
      </c>
      <c r="V313">
        <v>2</v>
      </c>
      <c r="W313">
        <v>2</v>
      </c>
      <c r="X313">
        <v>0</v>
      </c>
      <c r="Y313">
        <v>3</v>
      </c>
      <c r="Z313">
        <v>5</v>
      </c>
      <c r="AA313">
        <v>5</v>
      </c>
      <c r="AB313" t="str">
        <f t="shared" si="14"/>
        <v>Below average customer</v>
      </c>
    </row>
    <row r="314" spans="1:28" x14ac:dyDescent="0.35">
      <c r="A314">
        <v>2392</v>
      </c>
      <c r="B314">
        <v>1972</v>
      </c>
      <c r="C314" t="s">
        <v>28</v>
      </c>
      <c r="D314" t="s">
        <v>26</v>
      </c>
      <c r="E314" t="s">
        <v>33</v>
      </c>
      <c r="F314">
        <v>40321</v>
      </c>
      <c r="G314" t="str">
        <f t="shared" si="12"/>
        <v>Mid-low</v>
      </c>
      <c r="H314">
        <v>1</v>
      </c>
      <c r="I314">
        <v>1</v>
      </c>
      <c r="J314">
        <v>2</v>
      </c>
      <c r="K314" s="1">
        <v>41484</v>
      </c>
      <c r="L314">
        <v>59</v>
      </c>
      <c r="M314" t="str">
        <f t="shared" si="13"/>
        <v>Inactive</v>
      </c>
      <c r="N314">
        <v>0</v>
      </c>
      <c r="O314">
        <v>44</v>
      </c>
      <c r="P314">
        <v>4</v>
      </c>
      <c r="Q314">
        <v>21</v>
      </c>
      <c r="R314">
        <v>6</v>
      </c>
      <c r="S314">
        <v>0</v>
      </c>
      <c r="T314">
        <v>27</v>
      </c>
      <c r="U314">
        <v>102</v>
      </c>
      <c r="V314">
        <v>2</v>
      </c>
      <c r="W314">
        <v>3</v>
      </c>
      <c r="X314">
        <v>0</v>
      </c>
      <c r="Y314">
        <v>3</v>
      </c>
      <c r="Z314">
        <v>6</v>
      </c>
      <c r="AA314">
        <v>7</v>
      </c>
      <c r="AB314" t="str">
        <f t="shared" si="14"/>
        <v>Below average customer</v>
      </c>
    </row>
    <row r="315" spans="1:28" x14ac:dyDescent="0.35">
      <c r="A315">
        <v>9478</v>
      </c>
      <c r="B315">
        <v>1985</v>
      </c>
      <c r="C315" t="s">
        <v>30</v>
      </c>
      <c r="D315" t="s">
        <v>26</v>
      </c>
      <c r="E315" t="s">
        <v>27</v>
      </c>
      <c r="F315">
        <v>66503</v>
      </c>
      <c r="G315" t="str">
        <f t="shared" si="12"/>
        <v>Mid-high</v>
      </c>
      <c r="H315">
        <v>1</v>
      </c>
      <c r="I315">
        <v>0</v>
      </c>
      <c r="J315">
        <v>1</v>
      </c>
      <c r="K315" s="1">
        <v>41135</v>
      </c>
      <c r="L315">
        <v>30</v>
      </c>
      <c r="M315" t="str">
        <f t="shared" si="13"/>
        <v>Active</v>
      </c>
      <c r="N315">
        <v>0</v>
      </c>
      <c r="O315">
        <v>91</v>
      </c>
      <c r="P315">
        <v>64</v>
      </c>
      <c r="Q315">
        <v>128</v>
      </c>
      <c r="R315">
        <v>65</v>
      </c>
      <c r="S315">
        <v>3</v>
      </c>
      <c r="T315">
        <v>50</v>
      </c>
      <c r="U315">
        <v>401</v>
      </c>
      <c r="V315">
        <v>2</v>
      </c>
      <c r="W315">
        <v>4</v>
      </c>
      <c r="X315">
        <v>3</v>
      </c>
      <c r="Y315">
        <v>6</v>
      </c>
      <c r="Z315">
        <v>13</v>
      </c>
      <c r="AA315">
        <v>3</v>
      </c>
      <c r="AB315" t="str">
        <f t="shared" si="14"/>
        <v>Below average customer</v>
      </c>
    </row>
    <row r="316" spans="1:28" x14ac:dyDescent="0.35">
      <c r="A316">
        <v>113</v>
      </c>
      <c r="B316">
        <v>1951</v>
      </c>
      <c r="C316" t="s">
        <v>36</v>
      </c>
      <c r="D316" t="s">
        <v>26</v>
      </c>
      <c r="E316" t="s">
        <v>33</v>
      </c>
      <c r="F316">
        <v>30833</v>
      </c>
      <c r="G316" t="str">
        <f t="shared" si="12"/>
        <v>Low</v>
      </c>
      <c r="H316">
        <v>1</v>
      </c>
      <c r="I316">
        <v>1</v>
      </c>
      <c r="J316">
        <v>2</v>
      </c>
      <c r="K316" s="1">
        <v>41471</v>
      </c>
      <c r="L316">
        <v>33</v>
      </c>
      <c r="M316" t="str">
        <f t="shared" si="13"/>
        <v>Active</v>
      </c>
      <c r="N316">
        <v>0</v>
      </c>
      <c r="O316">
        <v>11</v>
      </c>
      <c r="P316">
        <v>0</v>
      </c>
      <c r="Q316">
        <v>7</v>
      </c>
      <c r="R316">
        <v>3</v>
      </c>
      <c r="S316">
        <v>1</v>
      </c>
      <c r="T316">
        <v>6</v>
      </c>
      <c r="U316">
        <v>28</v>
      </c>
      <c r="V316">
        <v>2</v>
      </c>
      <c r="W316">
        <v>1</v>
      </c>
      <c r="X316">
        <v>0</v>
      </c>
      <c r="Y316">
        <v>3</v>
      </c>
      <c r="Z316">
        <v>4</v>
      </c>
      <c r="AA316">
        <v>5</v>
      </c>
      <c r="AB316" t="str">
        <f t="shared" si="14"/>
        <v>Below average customer</v>
      </c>
    </row>
    <row r="317" spans="1:28" x14ac:dyDescent="0.35">
      <c r="A317">
        <v>2863</v>
      </c>
      <c r="B317">
        <v>1970</v>
      </c>
      <c r="C317" t="s">
        <v>28</v>
      </c>
      <c r="D317" t="s">
        <v>26</v>
      </c>
      <c r="E317" t="s">
        <v>27</v>
      </c>
      <c r="G317" t="str">
        <f t="shared" si="12"/>
        <v>Low</v>
      </c>
      <c r="H317">
        <v>1</v>
      </c>
      <c r="I317">
        <v>2</v>
      </c>
      <c r="J317">
        <v>3</v>
      </c>
      <c r="K317" s="1">
        <v>41509</v>
      </c>
      <c r="L317">
        <v>67</v>
      </c>
      <c r="M317" t="str">
        <f t="shared" si="13"/>
        <v>Inactive</v>
      </c>
      <c r="N317">
        <v>0</v>
      </c>
      <c r="O317">
        <v>738</v>
      </c>
      <c r="P317">
        <v>20</v>
      </c>
      <c r="Q317">
        <v>172</v>
      </c>
      <c r="R317">
        <v>52</v>
      </c>
      <c r="S317">
        <v>50</v>
      </c>
      <c r="T317">
        <v>20</v>
      </c>
      <c r="U317">
        <v>1052</v>
      </c>
      <c r="V317">
        <v>6</v>
      </c>
      <c r="W317">
        <v>2</v>
      </c>
      <c r="X317">
        <v>3</v>
      </c>
      <c r="Y317">
        <v>10</v>
      </c>
      <c r="Z317">
        <v>15</v>
      </c>
      <c r="AA317">
        <v>7</v>
      </c>
      <c r="AB317" t="str">
        <f t="shared" si="14"/>
        <v>Below average customer</v>
      </c>
    </row>
    <row r="318" spans="1:28" x14ac:dyDescent="0.35">
      <c r="A318">
        <v>1802</v>
      </c>
      <c r="B318">
        <v>1971</v>
      </c>
      <c r="C318" t="s">
        <v>28</v>
      </c>
      <c r="D318" t="s">
        <v>26</v>
      </c>
      <c r="E318" t="s">
        <v>33</v>
      </c>
      <c r="F318">
        <v>64795</v>
      </c>
      <c r="G318" t="str">
        <f t="shared" si="12"/>
        <v>Mid-high</v>
      </c>
      <c r="H318">
        <v>0</v>
      </c>
      <c r="I318">
        <v>1</v>
      </c>
      <c r="J318">
        <v>1</v>
      </c>
      <c r="K318" s="1">
        <v>41291</v>
      </c>
      <c r="L318">
        <v>23</v>
      </c>
      <c r="M318" t="str">
        <f t="shared" si="13"/>
        <v>Active</v>
      </c>
      <c r="N318">
        <v>0</v>
      </c>
      <c r="O318">
        <v>412</v>
      </c>
      <c r="P318">
        <v>5</v>
      </c>
      <c r="Q318">
        <v>119</v>
      </c>
      <c r="R318">
        <v>38</v>
      </c>
      <c r="S318">
        <v>29</v>
      </c>
      <c r="T318">
        <v>77</v>
      </c>
      <c r="U318">
        <v>680</v>
      </c>
      <c r="V318">
        <v>3</v>
      </c>
      <c r="W318">
        <v>3</v>
      </c>
      <c r="X318">
        <v>3</v>
      </c>
      <c r="Y318">
        <v>12</v>
      </c>
      <c r="Z318">
        <v>18</v>
      </c>
      <c r="AA318">
        <v>2</v>
      </c>
      <c r="AB318" t="str">
        <f t="shared" si="14"/>
        <v>Above average customer</v>
      </c>
    </row>
    <row r="319" spans="1:28" x14ac:dyDescent="0.35">
      <c r="A319">
        <v>520</v>
      </c>
      <c r="B319">
        <v>1974</v>
      </c>
      <c r="C319" t="s">
        <v>31</v>
      </c>
      <c r="D319" t="s">
        <v>26</v>
      </c>
      <c r="E319" t="s">
        <v>33</v>
      </c>
      <c r="F319">
        <v>34421</v>
      </c>
      <c r="G319" t="str">
        <f t="shared" si="12"/>
        <v>Low</v>
      </c>
      <c r="H319">
        <v>1</v>
      </c>
      <c r="I319">
        <v>0</v>
      </c>
      <c r="J319">
        <v>1</v>
      </c>
      <c r="K319" s="1">
        <v>41456</v>
      </c>
      <c r="L319">
        <v>81</v>
      </c>
      <c r="M319" t="str">
        <f t="shared" si="13"/>
        <v>Inactive</v>
      </c>
      <c r="N319">
        <v>0</v>
      </c>
      <c r="O319">
        <v>3</v>
      </c>
      <c r="P319">
        <v>3</v>
      </c>
      <c r="Q319">
        <v>7</v>
      </c>
      <c r="R319">
        <v>6</v>
      </c>
      <c r="S319">
        <v>2</v>
      </c>
      <c r="T319">
        <v>9</v>
      </c>
      <c r="U319">
        <v>30</v>
      </c>
      <c r="V319">
        <v>1</v>
      </c>
      <c r="W319">
        <v>1</v>
      </c>
      <c r="X319">
        <v>0</v>
      </c>
      <c r="Y319">
        <v>2</v>
      </c>
      <c r="Z319">
        <v>3</v>
      </c>
      <c r="AA319">
        <v>7</v>
      </c>
      <c r="AB319" t="str">
        <f t="shared" si="14"/>
        <v>Below average customer</v>
      </c>
    </row>
    <row r="320" spans="1:28" x14ac:dyDescent="0.35">
      <c r="A320">
        <v>8275</v>
      </c>
      <c r="B320">
        <v>1965</v>
      </c>
      <c r="C320" t="s">
        <v>28</v>
      </c>
      <c r="D320" t="s">
        <v>32</v>
      </c>
      <c r="E320" t="s">
        <v>35</v>
      </c>
      <c r="F320">
        <v>47025</v>
      </c>
      <c r="G320" t="str">
        <f t="shared" si="12"/>
        <v>Mid-low</v>
      </c>
      <c r="H320">
        <v>1</v>
      </c>
      <c r="I320">
        <v>1</v>
      </c>
      <c r="J320">
        <v>2</v>
      </c>
      <c r="K320" s="1">
        <v>41679</v>
      </c>
      <c r="L320">
        <v>6</v>
      </c>
      <c r="M320" t="str">
        <f t="shared" si="13"/>
        <v>Active</v>
      </c>
      <c r="N320">
        <v>0</v>
      </c>
      <c r="O320">
        <v>16</v>
      </c>
      <c r="P320">
        <v>0</v>
      </c>
      <c r="Q320">
        <v>3</v>
      </c>
      <c r="R320">
        <v>0</v>
      </c>
      <c r="S320">
        <v>0</v>
      </c>
      <c r="T320">
        <v>1</v>
      </c>
      <c r="U320">
        <v>20</v>
      </c>
      <c r="V320">
        <v>1</v>
      </c>
      <c r="W320">
        <v>1</v>
      </c>
      <c r="X320">
        <v>0</v>
      </c>
      <c r="Y320">
        <v>2</v>
      </c>
      <c r="Z320">
        <v>3</v>
      </c>
      <c r="AA320">
        <v>7</v>
      </c>
      <c r="AB320" t="str">
        <f t="shared" si="14"/>
        <v>Below average customer</v>
      </c>
    </row>
    <row r="321" spans="1:28" x14ac:dyDescent="0.35">
      <c r="A321">
        <v>9750</v>
      </c>
      <c r="B321">
        <v>1961</v>
      </c>
      <c r="C321" t="s">
        <v>25</v>
      </c>
      <c r="D321" t="s">
        <v>32</v>
      </c>
      <c r="E321" t="s">
        <v>35</v>
      </c>
      <c r="F321">
        <v>64325</v>
      </c>
      <c r="G321" t="str">
        <f t="shared" si="12"/>
        <v>Mid-high</v>
      </c>
      <c r="H321">
        <v>0</v>
      </c>
      <c r="I321">
        <v>1</v>
      </c>
      <c r="J321">
        <v>1</v>
      </c>
      <c r="K321" s="1">
        <v>41312</v>
      </c>
      <c r="L321">
        <v>41</v>
      </c>
      <c r="M321" t="str">
        <f t="shared" si="13"/>
        <v>Active</v>
      </c>
      <c r="N321">
        <v>0</v>
      </c>
      <c r="O321">
        <v>731</v>
      </c>
      <c r="P321">
        <v>60</v>
      </c>
      <c r="Q321">
        <v>353</v>
      </c>
      <c r="R321">
        <v>78</v>
      </c>
      <c r="S321">
        <v>12</v>
      </c>
      <c r="T321">
        <v>73</v>
      </c>
      <c r="U321">
        <v>1307</v>
      </c>
      <c r="V321">
        <v>5</v>
      </c>
      <c r="W321">
        <v>10</v>
      </c>
      <c r="X321">
        <v>3</v>
      </c>
      <c r="Y321">
        <v>5</v>
      </c>
      <c r="Z321">
        <v>18</v>
      </c>
      <c r="AA321">
        <v>7</v>
      </c>
      <c r="AB321" t="str">
        <f t="shared" si="14"/>
        <v>Above average customer</v>
      </c>
    </row>
    <row r="322" spans="1:28" x14ac:dyDescent="0.35">
      <c r="A322">
        <v>2607</v>
      </c>
      <c r="B322">
        <v>1953</v>
      </c>
      <c r="C322" t="s">
        <v>25</v>
      </c>
      <c r="D322" t="s">
        <v>26</v>
      </c>
      <c r="E322" t="s">
        <v>27</v>
      </c>
      <c r="F322">
        <v>40464</v>
      </c>
      <c r="G322" t="str">
        <f t="shared" ref="G322:G385" si="15">IF(F322&lt;=_xlfn.PERCENTILE.INC($F$2:$F$2056,0.25),"Low",IF(F322&lt;=_xlfn.PERCENTILE.INC($F$2:$F$2056,0.5),"Mid-low",IF(F322&lt;=_xlfn.PERCENTILE.INC($F$2:$F$2056,0.75),"Mid-high","High")))</f>
        <v>Mid-low</v>
      </c>
      <c r="H322">
        <v>0</v>
      </c>
      <c r="I322">
        <v>1</v>
      </c>
      <c r="J322">
        <v>1</v>
      </c>
      <c r="K322" s="1">
        <v>41285</v>
      </c>
      <c r="L322">
        <v>78</v>
      </c>
      <c r="M322" t="str">
        <f t="shared" ref="M322:M385" si="16">IF(L322&gt;AVERAGE($L$2:$L$2056),"Inactive","Active")</f>
        <v>Inactive</v>
      </c>
      <c r="N322">
        <v>0</v>
      </c>
      <c r="O322">
        <v>424</v>
      </c>
      <c r="P322">
        <v>17</v>
      </c>
      <c r="Q322">
        <v>118</v>
      </c>
      <c r="R322">
        <v>7</v>
      </c>
      <c r="S322">
        <v>23</v>
      </c>
      <c r="T322">
        <v>41</v>
      </c>
      <c r="U322">
        <v>630</v>
      </c>
      <c r="V322">
        <v>6</v>
      </c>
      <c r="W322">
        <v>8</v>
      </c>
      <c r="X322">
        <v>2</v>
      </c>
      <c r="Y322">
        <v>8</v>
      </c>
      <c r="Z322">
        <v>18</v>
      </c>
      <c r="AA322">
        <v>8</v>
      </c>
      <c r="AB322" t="str">
        <f t="shared" ref="AB322:AB385" si="17">IF(AND(Z322&gt;AVERAGE($Z$2:$Z$2056),U322&gt;AVERAGE($U$2:$U$2056),N322=0,L322&lt;AVERAGE($L$2:$L$2056),F322&gt;AVERAGE($F$2:$F$2240)),"Above average customer","Below average customer")</f>
        <v>Below average customer</v>
      </c>
    </row>
    <row r="323" spans="1:28" x14ac:dyDescent="0.35">
      <c r="A323">
        <v>7214</v>
      </c>
      <c r="B323">
        <v>1957</v>
      </c>
      <c r="C323" t="s">
        <v>25</v>
      </c>
      <c r="D323" t="s">
        <v>26</v>
      </c>
      <c r="E323" t="s">
        <v>33</v>
      </c>
      <c r="F323">
        <v>62187</v>
      </c>
      <c r="G323" t="str">
        <f t="shared" si="15"/>
        <v>Mid-high</v>
      </c>
      <c r="H323">
        <v>0</v>
      </c>
      <c r="I323">
        <v>0</v>
      </c>
      <c r="J323">
        <v>0</v>
      </c>
      <c r="K323" s="1">
        <v>41460</v>
      </c>
      <c r="L323">
        <v>49</v>
      </c>
      <c r="M323" t="str">
        <f t="shared" si="16"/>
        <v>Inactive</v>
      </c>
      <c r="N323">
        <v>0</v>
      </c>
      <c r="O323">
        <v>792</v>
      </c>
      <c r="P323">
        <v>0</v>
      </c>
      <c r="Q323">
        <v>275</v>
      </c>
      <c r="R323">
        <v>45</v>
      </c>
      <c r="S323">
        <v>45</v>
      </c>
      <c r="T323">
        <v>126</v>
      </c>
      <c r="U323">
        <v>1283</v>
      </c>
      <c r="V323">
        <v>1</v>
      </c>
      <c r="W323">
        <v>4</v>
      </c>
      <c r="X323">
        <v>8</v>
      </c>
      <c r="Y323">
        <v>5</v>
      </c>
      <c r="Z323">
        <v>17</v>
      </c>
      <c r="AA323">
        <v>3</v>
      </c>
      <c r="AB323" t="str">
        <f t="shared" si="17"/>
        <v>Below average customer</v>
      </c>
    </row>
    <row r="324" spans="1:28" x14ac:dyDescent="0.35">
      <c r="A324">
        <v>5835</v>
      </c>
      <c r="B324">
        <v>1976</v>
      </c>
      <c r="C324" t="s">
        <v>31</v>
      </c>
      <c r="D324" t="s">
        <v>32</v>
      </c>
      <c r="E324" t="s">
        <v>35</v>
      </c>
      <c r="F324">
        <v>14849</v>
      </c>
      <c r="G324" t="str">
        <f t="shared" si="15"/>
        <v>Low</v>
      </c>
      <c r="H324">
        <v>1</v>
      </c>
      <c r="I324">
        <v>0</v>
      </c>
      <c r="J324">
        <v>1</v>
      </c>
      <c r="K324" s="1">
        <v>41457</v>
      </c>
      <c r="L324">
        <v>39</v>
      </c>
      <c r="M324" t="str">
        <f t="shared" si="16"/>
        <v>Active</v>
      </c>
      <c r="N324">
        <v>0</v>
      </c>
      <c r="O324">
        <v>21</v>
      </c>
      <c r="P324">
        <v>2</v>
      </c>
      <c r="Q324">
        <v>28</v>
      </c>
      <c r="R324">
        <v>3</v>
      </c>
      <c r="S324">
        <v>2</v>
      </c>
      <c r="T324">
        <v>9</v>
      </c>
      <c r="U324">
        <v>65</v>
      </c>
      <c r="V324">
        <v>3</v>
      </c>
      <c r="W324">
        <v>2</v>
      </c>
      <c r="X324">
        <v>0</v>
      </c>
      <c r="Y324">
        <v>4</v>
      </c>
      <c r="Z324">
        <v>6</v>
      </c>
      <c r="AA324">
        <v>8</v>
      </c>
      <c r="AB324" t="str">
        <f t="shared" si="17"/>
        <v>Below average customer</v>
      </c>
    </row>
    <row r="325" spans="1:28" x14ac:dyDescent="0.35">
      <c r="A325">
        <v>3896</v>
      </c>
      <c r="B325">
        <v>1984</v>
      </c>
      <c r="C325" t="s">
        <v>30</v>
      </c>
      <c r="D325" t="s">
        <v>26</v>
      </c>
      <c r="E325" t="s">
        <v>33</v>
      </c>
      <c r="F325">
        <v>27255</v>
      </c>
      <c r="G325" t="str">
        <f t="shared" si="15"/>
        <v>Low</v>
      </c>
      <c r="H325">
        <v>1</v>
      </c>
      <c r="I325">
        <v>0</v>
      </c>
      <c r="J325">
        <v>1</v>
      </c>
      <c r="K325" s="1">
        <v>41585</v>
      </c>
      <c r="L325">
        <v>3</v>
      </c>
      <c r="M325" t="str">
        <f t="shared" si="16"/>
        <v>Active</v>
      </c>
      <c r="N325">
        <v>0</v>
      </c>
      <c r="O325">
        <v>22</v>
      </c>
      <c r="P325">
        <v>1</v>
      </c>
      <c r="Q325">
        <v>11</v>
      </c>
      <c r="R325">
        <v>0</v>
      </c>
      <c r="S325">
        <v>1</v>
      </c>
      <c r="T325">
        <v>2</v>
      </c>
      <c r="U325">
        <v>37</v>
      </c>
      <c r="V325">
        <v>1</v>
      </c>
      <c r="W325">
        <v>1</v>
      </c>
      <c r="X325">
        <v>0</v>
      </c>
      <c r="Y325">
        <v>3</v>
      </c>
      <c r="Z325">
        <v>4</v>
      </c>
      <c r="AA325">
        <v>7</v>
      </c>
      <c r="AB325" t="str">
        <f t="shared" si="17"/>
        <v>Below average customer</v>
      </c>
    </row>
    <row r="326" spans="1:28" x14ac:dyDescent="0.35">
      <c r="A326">
        <v>10350</v>
      </c>
      <c r="B326">
        <v>1950</v>
      </c>
      <c r="C326" t="s">
        <v>36</v>
      </c>
      <c r="D326" t="s">
        <v>32</v>
      </c>
      <c r="E326" t="s">
        <v>33</v>
      </c>
      <c r="F326">
        <v>54432</v>
      </c>
      <c r="G326" t="str">
        <f t="shared" si="15"/>
        <v>Mid-high</v>
      </c>
      <c r="H326">
        <v>2</v>
      </c>
      <c r="I326">
        <v>1</v>
      </c>
      <c r="J326">
        <v>3</v>
      </c>
      <c r="K326" s="1">
        <v>41403</v>
      </c>
      <c r="L326">
        <v>37</v>
      </c>
      <c r="M326" t="str">
        <f t="shared" si="16"/>
        <v>Active</v>
      </c>
      <c r="N326">
        <v>0</v>
      </c>
      <c r="O326">
        <v>33</v>
      </c>
      <c r="P326">
        <v>0</v>
      </c>
      <c r="Q326">
        <v>5</v>
      </c>
      <c r="R326">
        <v>0</v>
      </c>
      <c r="S326">
        <v>0</v>
      </c>
      <c r="T326">
        <v>0</v>
      </c>
      <c r="U326">
        <v>38</v>
      </c>
      <c r="V326">
        <v>1</v>
      </c>
      <c r="W326">
        <v>1</v>
      </c>
      <c r="X326">
        <v>0</v>
      </c>
      <c r="Y326">
        <v>3</v>
      </c>
      <c r="Z326">
        <v>4</v>
      </c>
      <c r="AA326">
        <v>4</v>
      </c>
      <c r="AB326" t="str">
        <f t="shared" si="17"/>
        <v>Below average customer</v>
      </c>
    </row>
    <row r="327" spans="1:28" x14ac:dyDescent="0.35">
      <c r="A327">
        <v>7786</v>
      </c>
      <c r="B327">
        <v>1986</v>
      </c>
      <c r="C327" t="s">
        <v>30</v>
      </c>
      <c r="D327" t="s">
        <v>32</v>
      </c>
      <c r="E327" t="s">
        <v>27</v>
      </c>
      <c r="F327">
        <v>29999</v>
      </c>
      <c r="G327" t="str">
        <f t="shared" si="15"/>
        <v>Low</v>
      </c>
      <c r="H327">
        <v>1</v>
      </c>
      <c r="I327">
        <v>0</v>
      </c>
      <c r="J327">
        <v>1</v>
      </c>
      <c r="K327" s="1">
        <v>41318</v>
      </c>
      <c r="L327">
        <v>22</v>
      </c>
      <c r="M327" t="str">
        <f t="shared" si="16"/>
        <v>Active</v>
      </c>
      <c r="N327">
        <v>0</v>
      </c>
      <c r="O327">
        <v>68</v>
      </c>
      <c r="P327">
        <v>7</v>
      </c>
      <c r="Q327">
        <v>59</v>
      </c>
      <c r="R327">
        <v>10</v>
      </c>
      <c r="S327">
        <v>5</v>
      </c>
      <c r="T327">
        <v>11</v>
      </c>
      <c r="U327">
        <v>160</v>
      </c>
      <c r="V327">
        <v>4</v>
      </c>
      <c r="W327">
        <v>3</v>
      </c>
      <c r="X327">
        <v>1</v>
      </c>
      <c r="Y327">
        <v>4</v>
      </c>
      <c r="Z327">
        <v>8</v>
      </c>
      <c r="AA327">
        <v>8</v>
      </c>
      <c r="AB327" t="str">
        <f t="shared" si="17"/>
        <v>Below average customer</v>
      </c>
    </row>
    <row r="328" spans="1:28" x14ac:dyDescent="0.35">
      <c r="A328">
        <v>2861</v>
      </c>
      <c r="B328">
        <v>1983</v>
      </c>
      <c r="C328" t="s">
        <v>30</v>
      </c>
      <c r="D328" t="s">
        <v>26</v>
      </c>
      <c r="E328" t="s">
        <v>27</v>
      </c>
      <c r="F328">
        <v>24072</v>
      </c>
      <c r="G328" t="str">
        <f t="shared" si="15"/>
        <v>Low</v>
      </c>
      <c r="H328">
        <v>1</v>
      </c>
      <c r="I328">
        <v>0</v>
      </c>
      <c r="J328">
        <v>1</v>
      </c>
      <c r="K328" s="1">
        <v>41380</v>
      </c>
      <c r="L328">
        <v>79</v>
      </c>
      <c r="M328" t="str">
        <f t="shared" si="16"/>
        <v>Inactive</v>
      </c>
      <c r="N328">
        <v>0</v>
      </c>
      <c r="O328">
        <v>9</v>
      </c>
      <c r="P328">
        <v>1</v>
      </c>
      <c r="Q328">
        <v>6</v>
      </c>
      <c r="R328">
        <v>3</v>
      </c>
      <c r="S328">
        <v>0</v>
      </c>
      <c r="T328">
        <v>4</v>
      </c>
      <c r="U328">
        <v>23</v>
      </c>
      <c r="V328">
        <v>1</v>
      </c>
      <c r="W328">
        <v>1</v>
      </c>
      <c r="X328">
        <v>0</v>
      </c>
      <c r="Y328">
        <v>2</v>
      </c>
      <c r="Z328">
        <v>3</v>
      </c>
      <c r="AA328">
        <v>8</v>
      </c>
      <c r="AB328" t="str">
        <f t="shared" si="17"/>
        <v>Below average customer</v>
      </c>
    </row>
    <row r="329" spans="1:28" x14ac:dyDescent="0.35">
      <c r="A329">
        <v>663</v>
      </c>
      <c r="B329">
        <v>1989</v>
      </c>
      <c r="C329" t="s">
        <v>30</v>
      </c>
      <c r="D329" t="s">
        <v>32</v>
      </c>
      <c r="E329" t="s">
        <v>27</v>
      </c>
      <c r="F329">
        <v>33996</v>
      </c>
      <c r="G329" t="str">
        <f t="shared" si="15"/>
        <v>Low</v>
      </c>
      <c r="H329">
        <v>0</v>
      </c>
      <c r="I329">
        <v>0</v>
      </c>
      <c r="J329">
        <v>0</v>
      </c>
      <c r="K329" s="1">
        <v>41528</v>
      </c>
      <c r="L329">
        <v>46</v>
      </c>
      <c r="M329" t="str">
        <f t="shared" si="16"/>
        <v>Active</v>
      </c>
      <c r="N329">
        <v>0</v>
      </c>
      <c r="O329">
        <v>40</v>
      </c>
      <c r="P329">
        <v>2</v>
      </c>
      <c r="Q329">
        <v>15</v>
      </c>
      <c r="R329">
        <v>8</v>
      </c>
      <c r="S329">
        <v>0</v>
      </c>
      <c r="T329">
        <v>6</v>
      </c>
      <c r="U329">
        <v>71</v>
      </c>
      <c r="V329">
        <v>1</v>
      </c>
      <c r="W329">
        <v>1</v>
      </c>
      <c r="X329">
        <v>1</v>
      </c>
      <c r="Y329">
        <v>3</v>
      </c>
      <c r="Z329">
        <v>5</v>
      </c>
      <c r="AA329">
        <v>4</v>
      </c>
      <c r="AB329" t="str">
        <f t="shared" si="17"/>
        <v>Below average customer</v>
      </c>
    </row>
    <row r="330" spans="1:28" x14ac:dyDescent="0.35">
      <c r="A330">
        <v>10675</v>
      </c>
      <c r="B330">
        <v>1956</v>
      </c>
      <c r="C330" t="s">
        <v>25</v>
      </c>
      <c r="D330" t="s">
        <v>32</v>
      </c>
      <c r="E330" t="s">
        <v>33</v>
      </c>
      <c r="F330">
        <v>66334</v>
      </c>
      <c r="G330" t="str">
        <f t="shared" si="15"/>
        <v>Mid-high</v>
      </c>
      <c r="H330">
        <v>0</v>
      </c>
      <c r="I330">
        <v>1</v>
      </c>
      <c r="J330">
        <v>1</v>
      </c>
      <c r="K330" s="1">
        <v>41367</v>
      </c>
      <c r="L330">
        <v>82</v>
      </c>
      <c r="M330" t="str">
        <f t="shared" si="16"/>
        <v>Inactive</v>
      </c>
      <c r="N330">
        <v>0</v>
      </c>
      <c r="O330">
        <v>909</v>
      </c>
      <c r="P330">
        <v>11</v>
      </c>
      <c r="Q330">
        <v>218</v>
      </c>
      <c r="R330">
        <v>0</v>
      </c>
      <c r="S330">
        <v>0</v>
      </c>
      <c r="T330">
        <v>23</v>
      </c>
      <c r="U330">
        <v>1161</v>
      </c>
      <c r="V330">
        <v>2</v>
      </c>
      <c r="W330">
        <v>9</v>
      </c>
      <c r="X330">
        <v>3</v>
      </c>
      <c r="Y330">
        <v>5</v>
      </c>
      <c r="Z330">
        <v>17</v>
      </c>
      <c r="AA330">
        <v>5</v>
      </c>
      <c r="AB330" t="str">
        <f t="shared" si="17"/>
        <v>Below average customer</v>
      </c>
    </row>
    <row r="331" spans="1:28" x14ac:dyDescent="0.35">
      <c r="A331">
        <v>2521</v>
      </c>
      <c r="B331">
        <v>1971</v>
      </c>
      <c r="C331" t="s">
        <v>28</v>
      </c>
      <c r="D331" t="s">
        <v>34</v>
      </c>
      <c r="E331" t="s">
        <v>33</v>
      </c>
      <c r="F331">
        <v>35178</v>
      </c>
      <c r="G331" t="str">
        <f t="shared" si="15"/>
        <v>Low</v>
      </c>
      <c r="H331">
        <v>1</v>
      </c>
      <c r="I331">
        <v>0</v>
      </c>
      <c r="J331">
        <v>1</v>
      </c>
      <c r="K331" s="1">
        <v>41284</v>
      </c>
      <c r="L331">
        <v>10</v>
      </c>
      <c r="M331" t="str">
        <f t="shared" si="16"/>
        <v>Active</v>
      </c>
      <c r="N331">
        <v>0</v>
      </c>
      <c r="O331">
        <v>23</v>
      </c>
      <c r="P331">
        <v>1</v>
      </c>
      <c r="Q331">
        <v>13</v>
      </c>
      <c r="R331">
        <v>2</v>
      </c>
      <c r="S331">
        <v>2</v>
      </c>
      <c r="T331">
        <v>18</v>
      </c>
      <c r="U331">
        <v>59</v>
      </c>
      <c r="V331">
        <v>1</v>
      </c>
      <c r="W331">
        <v>1</v>
      </c>
      <c r="X331">
        <v>1</v>
      </c>
      <c r="Y331">
        <v>2</v>
      </c>
      <c r="Z331">
        <v>4</v>
      </c>
      <c r="AA331">
        <v>7</v>
      </c>
      <c r="AB331" t="str">
        <f t="shared" si="17"/>
        <v>Below average customer</v>
      </c>
    </row>
    <row r="332" spans="1:28" x14ac:dyDescent="0.35">
      <c r="A332">
        <v>9592</v>
      </c>
      <c r="B332">
        <v>1983</v>
      </c>
      <c r="C332" t="s">
        <v>30</v>
      </c>
      <c r="D332" t="s">
        <v>26</v>
      </c>
      <c r="E332" t="s">
        <v>29</v>
      </c>
      <c r="F332">
        <v>22010</v>
      </c>
      <c r="G332" t="str">
        <f t="shared" si="15"/>
        <v>Low</v>
      </c>
      <c r="H332">
        <v>1</v>
      </c>
      <c r="I332">
        <v>0</v>
      </c>
      <c r="J332">
        <v>1</v>
      </c>
      <c r="K332" s="1">
        <v>41455</v>
      </c>
      <c r="L332">
        <v>51</v>
      </c>
      <c r="M332" t="str">
        <f t="shared" si="16"/>
        <v>Inactive</v>
      </c>
      <c r="N332">
        <v>0</v>
      </c>
      <c r="O332">
        <v>11</v>
      </c>
      <c r="P332">
        <v>2</v>
      </c>
      <c r="Q332">
        <v>9</v>
      </c>
      <c r="R332">
        <v>3</v>
      </c>
      <c r="S332">
        <v>0</v>
      </c>
      <c r="T332">
        <v>8</v>
      </c>
      <c r="U332">
        <v>33</v>
      </c>
      <c r="V332">
        <v>2</v>
      </c>
      <c r="W332">
        <v>2</v>
      </c>
      <c r="X332">
        <v>0</v>
      </c>
      <c r="Y332">
        <v>3</v>
      </c>
      <c r="Z332">
        <v>5</v>
      </c>
      <c r="AA332">
        <v>8</v>
      </c>
      <c r="AB332" t="str">
        <f t="shared" si="17"/>
        <v>Below average customer</v>
      </c>
    </row>
    <row r="333" spans="1:28" x14ac:dyDescent="0.35">
      <c r="A333">
        <v>10151</v>
      </c>
      <c r="B333">
        <v>1960</v>
      </c>
      <c r="C333" t="s">
        <v>25</v>
      </c>
      <c r="D333" t="s">
        <v>26</v>
      </c>
      <c r="E333" t="s">
        <v>35</v>
      </c>
      <c r="F333">
        <v>62204</v>
      </c>
      <c r="G333" t="str">
        <f t="shared" si="15"/>
        <v>Mid-high</v>
      </c>
      <c r="H333">
        <v>0</v>
      </c>
      <c r="I333">
        <v>2</v>
      </c>
      <c r="J333">
        <v>2</v>
      </c>
      <c r="K333" s="1">
        <v>41164</v>
      </c>
      <c r="L333">
        <v>38</v>
      </c>
      <c r="M333" t="str">
        <f t="shared" si="16"/>
        <v>Active</v>
      </c>
      <c r="N333">
        <v>0</v>
      </c>
      <c r="O333">
        <v>317</v>
      </c>
      <c r="P333">
        <v>46</v>
      </c>
      <c r="Q333">
        <v>247</v>
      </c>
      <c r="R333">
        <v>151</v>
      </c>
      <c r="S333">
        <v>46</v>
      </c>
      <c r="T333">
        <v>139</v>
      </c>
      <c r="U333">
        <v>946</v>
      </c>
      <c r="V333">
        <v>1</v>
      </c>
      <c r="W333">
        <v>4</v>
      </c>
      <c r="X333">
        <v>5</v>
      </c>
      <c r="Y333">
        <v>12</v>
      </c>
      <c r="Z333">
        <v>21</v>
      </c>
      <c r="AA333">
        <v>3</v>
      </c>
      <c r="AB333" t="str">
        <f t="shared" si="17"/>
        <v>Above average customer</v>
      </c>
    </row>
    <row r="334" spans="1:28" x14ac:dyDescent="0.35">
      <c r="A334">
        <v>7381</v>
      </c>
      <c r="B334">
        <v>1968</v>
      </c>
      <c r="C334" t="s">
        <v>28</v>
      </c>
      <c r="D334" t="s">
        <v>26</v>
      </c>
      <c r="E334" t="s">
        <v>35</v>
      </c>
      <c r="F334">
        <v>75693</v>
      </c>
      <c r="G334" t="str">
        <f t="shared" si="15"/>
        <v>High</v>
      </c>
      <c r="H334">
        <v>0</v>
      </c>
      <c r="I334">
        <v>0</v>
      </c>
      <c r="J334">
        <v>0</v>
      </c>
      <c r="K334" s="1">
        <v>41249</v>
      </c>
      <c r="L334">
        <v>10</v>
      </c>
      <c r="M334" t="str">
        <f t="shared" si="16"/>
        <v>Active</v>
      </c>
      <c r="N334">
        <v>0</v>
      </c>
      <c r="O334">
        <v>797</v>
      </c>
      <c r="P334">
        <v>153</v>
      </c>
      <c r="Q334">
        <v>293</v>
      </c>
      <c r="R334">
        <v>72</v>
      </c>
      <c r="S334">
        <v>97</v>
      </c>
      <c r="T334">
        <v>30</v>
      </c>
      <c r="U334">
        <v>1442</v>
      </c>
      <c r="V334">
        <v>1</v>
      </c>
      <c r="W334">
        <v>11</v>
      </c>
      <c r="X334">
        <v>4</v>
      </c>
      <c r="Y334">
        <v>6</v>
      </c>
      <c r="Z334">
        <v>21</v>
      </c>
      <c r="AA334">
        <v>4</v>
      </c>
      <c r="AB334" t="str">
        <f t="shared" si="17"/>
        <v>Above average customer</v>
      </c>
    </row>
    <row r="335" spans="1:28" x14ac:dyDescent="0.35">
      <c r="A335">
        <v>4099</v>
      </c>
      <c r="B335">
        <v>1972</v>
      </c>
      <c r="C335" t="s">
        <v>28</v>
      </c>
      <c r="D335" t="s">
        <v>26</v>
      </c>
      <c r="E335" t="s">
        <v>33</v>
      </c>
      <c r="F335">
        <v>30675</v>
      </c>
      <c r="G335" t="str">
        <f t="shared" si="15"/>
        <v>Low</v>
      </c>
      <c r="H335">
        <v>1</v>
      </c>
      <c r="I335">
        <v>0</v>
      </c>
      <c r="J335">
        <v>1</v>
      </c>
      <c r="K335" s="1">
        <v>41225</v>
      </c>
      <c r="L335">
        <v>14</v>
      </c>
      <c r="M335" t="str">
        <f t="shared" si="16"/>
        <v>Active</v>
      </c>
      <c r="N335">
        <v>0</v>
      </c>
      <c r="O335">
        <v>10</v>
      </c>
      <c r="P335">
        <v>2</v>
      </c>
      <c r="Q335">
        <v>16</v>
      </c>
      <c r="R335">
        <v>11</v>
      </c>
      <c r="S335">
        <v>2</v>
      </c>
      <c r="T335">
        <v>21</v>
      </c>
      <c r="U335">
        <v>62</v>
      </c>
      <c r="V335">
        <v>1</v>
      </c>
      <c r="W335">
        <v>1</v>
      </c>
      <c r="X335">
        <v>0</v>
      </c>
      <c r="Y335">
        <v>3</v>
      </c>
      <c r="Z335">
        <v>4</v>
      </c>
      <c r="AA335">
        <v>8</v>
      </c>
      <c r="AB335" t="str">
        <f t="shared" si="17"/>
        <v>Below average customer</v>
      </c>
    </row>
    <row r="336" spans="1:28" x14ac:dyDescent="0.35">
      <c r="A336">
        <v>9560</v>
      </c>
      <c r="B336">
        <v>1965</v>
      </c>
      <c r="C336" t="s">
        <v>28</v>
      </c>
      <c r="D336" t="s">
        <v>26</v>
      </c>
      <c r="E336" t="s">
        <v>29</v>
      </c>
      <c r="F336">
        <v>83003</v>
      </c>
      <c r="G336" t="str">
        <f t="shared" si="15"/>
        <v>High</v>
      </c>
      <c r="H336">
        <v>0</v>
      </c>
      <c r="I336">
        <v>0</v>
      </c>
      <c r="J336">
        <v>0</v>
      </c>
      <c r="K336" s="1">
        <v>41336</v>
      </c>
      <c r="L336">
        <v>18</v>
      </c>
      <c r="M336" t="str">
        <f t="shared" si="16"/>
        <v>Active</v>
      </c>
      <c r="N336">
        <v>0</v>
      </c>
      <c r="O336">
        <v>856</v>
      </c>
      <c r="P336">
        <v>61</v>
      </c>
      <c r="Q336">
        <v>570</v>
      </c>
      <c r="R336">
        <v>40</v>
      </c>
      <c r="S336">
        <v>25</v>
      </c>
      <c r="T336">
        <v>122</v>
      </c>
      <c r="U336">
        <v>1674</v>
      </c>
      <c r="V336">
        <v>1</v>
      </c>
      <c r="W336">
        <v>7</v>
      </c>
      <c r="X336">
        <v>6</v>
      </c>
      <c r="Y336">
        <v>8</v>
      </c>
      <c r="Z336">
        <v>21</v>
      </c>
      <c r="AA336">
        <v>3</v>
      </c>
      <c r="AB336" t="str">
        <f t="shared" si="17"/>
        <v>Above average customer</v>
      </c>
    </row>
    <row r="337" spans="1:28" x14ac:dyDescent="0.35">
      <c r="A337">
        <v>1150</v>
      </c>
      <c r="B337">
        <v>1899</v>
      </c>
      <c r="C337" t="s">
        <v>25</v>
      </c>
      <c r="D337" t="s">
        <v>32</v>
      </c>
      <c r="E337" t="s">
        <v>29</v>
      </c>
      <c r="F337">
        <v>83532</v>
      </c>
      <c r="G337" t="str">
        <f t="shared" si="15"/>
        <v>High</v>
      </c>
      <c r="H337">
        <v>0</v>
      </c>
      <c r="I337">
        <v>0</v>
      </c>
      <c r="J337">
        <v>0</v>
      </c>
      <c r="K337" s="1">
        <v>41543</v>
      </c>
      <c r="L337">
        <v>36</v>
      </c>
      <c r="M337" t="str">
        <f t="shared" si="16"/>
        <v>Active</v>
      </c>
      <c r="N337">
        <v>0</v>
      </c>
      <c r="O337">
        <v>755</v>
      </c>
      <c r="P337">
        <v>144</v>
      </c>
      <c r="Q337">
        <v>562</v>
      </c>
      <c r="R337">
        <v>104</v>
      </c>
      <c r="S337">
        <v>64</v>
      </c>
      <c r="T337">
        <v>224</v>
      </c>
      <c r="U337">
        <v>1853</v>
      </c>
      <c r="V337">
        <v>1</v>
      </c>
      <c r="W337">
        <v>4</v>
      </c>
      <c r="X337">
        <v>6</v>
      </c>
      <c r="Y337">
        <v>4</v>
      </c>
      <c r="Z337">
        <v>14</v>
      </c>
      <c r="AA337">
        <v>1</v>
      </c>
      <c r="AB337" t="str">
        <f t="shared" si="17"/>
        <v>Above average customer</v>
      </c>
    </row>
    <row r="338" spans="1:28" x14ac:dyDescent="0.35">
      <c r="A338">
        <v>10172</v>
      </c>
      <c r="B338">
        <v>1988</v>
      </c>
      <c r="C338" t="s">
        <v>30</v>
      </c>
      <c r="D338" t="s">
        <v>26</v>
      </c>
      <c r="E338" t="s">
        <v>27</v>
      </c>
      <c r="F338">
        <v>68655</v>
      </c>
      <c r="G338" t="str">
        <f t="shared" si="15"/>
        <v>High</v>
      </c>
      <c r="H338">
        <v>0</v>
      </c>
      <c r="I338">
        <v>0</v>
      </c>
      <c r="J338">
        <v>0</v>
      </c>
      <c r="K338" s="1">
        <v>41131</v>
      </c>
      <c r="L338">
        <v>95</v>
      </c>
      <c r="M338" t="str">
        <f t="shared" si="16"/>
        <v>Inactive</v>
      </c>
      <c r="N338">
        <v>0</v>
      </c>
      <c r="O338">
        <v>456</v>
      </c>
      <c r="P338">
        <v>19</v>
      </c>
      <c r="Q338">
        <v>832</v>
      </c>
      <c r="R338">
        <v>75</v>
      </c>
      <c r="S338">
        <v>118</v>
      </c>
      <c r="T338">
        <v>38</v>
      </c>
      <c r="U338">
        <v>1538</v>
      </c>
      <c r="V338">
        <v>1</v>
      </c>
      <c r="W338">
        <v>4</v>
      </c>
      <c r="X338">
        <v>5</v>
      </c>
      <c r="Y338">
        <v>11</v>
      </c>
      <c r="Z338">
        <v>20</v>
      </c>
      <c r="AA338">
        <v>3</v>
      </c>
      <c r="AB338" t="str">
        <f t="shared" si="17"/>
        <v>Below average customer</v>
      </c>
    </row>
    <row r="339" spans="1:28" x14ac:dyDescent="0.35">
      <c r="A339">
        <v>11191</v>
      </c>
      <c r="B339">
        <v>1986</v>
      </c>
      <c r="C339" t="s">
        <v>30</v>
      </c>
      <c r="D339" t="s">
        <v>26</v>
      </c>
      <c r="E339" t="s">
        <v>35</v>
      </c>
      <c r="F339">
        <v>41411</v>
      </c>
      <c r="G339" t="str">
        <f t="shared" si="15"/>
        <v>Mid-low</v>
      </c>
      <c r="H339">
        <v>0</v>
      </c>
      <c r="I339">
        <v>0</v>
      </c>
      <c r="J339">
        <v>0</v>
      </c>
      <c r="K339" s="1">
        <v>41615</v>
      </c>
      <c r="L339">
        <v>11</v>
      </c>
      <c r="M339" t="str">
        <f t="shared" si="16"/>
        <v>Active</v>
      </c>
      <c r="N339">
        <v>0</v>
      </c>
      <c r="O339">
        <v>37</v>
      </c>
      <c r="P339">
        <v>32</v>
      </c>
      <c r="Q339">
        <v>38</v>
      </c>
      <c r="R339">
        <v>11</v>
      </c>
      <c r="S339">
        <v>3</v>
      </c>
      <c r="T339">
        <v>18</v>
      </c>
      <c r="U339">
        <v>139</v>
      </c>
      <c r="V339">
        <v>1</v>
      </c>
      <c r="W339">
        <v>2</v>
      </c>
      <c r="X339">
        <v>1</v>
      </c>
      <c r="Y339">
        <v>4</v>
      </c>
      <c r="Z339">
        <v>7</v>
      </c>
      <c r="AA339">
        <v>6</v>
      </c>
      <c r="AB339" t="str">
        <f t="shared" si="17"/>
        <v>Below average customer</v>
      </c>
    </row>
    <row r="340" spans="1:28" x14ac:dyDescent="0.35">
      <c r="A340">
        <v>9707</v>
      </c>
      <c r="B340">
        <v>1969</v>
      </c>
      <c r="C340" t="s">
        <v>28</v>
      </c>
      <c r="D340" t="s">
        <v>32</v>
      </c>
      <c r="E340" t="s">
        <v>33</v>
      </c>
      <c r="F340">
        <v>55212</v>
      </c>
      <c r="G340" t="str">
        <f t="shared" si="15"/>
        <v>Mid-high</v>
      </c>
      <c r="H340">
        <v>0</v>
      </c>
      <c r="I340">
        <v>1</v>
      </c>
      <c r="J340">
        <v>1</v>
      </c>
      <c r="K340" s="1">
        <v>41236</v>
      </c>
      <c r="L340">
        <v>65</v>
      </c>
      <c r="M340" t="str">
        <f t="shared" si="16"/>
        <v>Inactive</v>
      </c>
      <c r="N340">
        <v>0</v>
      </c>
      <c r="O340">
        <v>1103</v>
      </c>
      <c r="P340">
        <v>0</v>
      </c>
      <c r="Q340">
        <v>45</v>
      </c>
      <c r="R340">
        <v>0</v>
      </c>
      <c r="S340">
        <v>0</v>
      </c>
      <c r="T340">
        <v>34</v>
      </c>
      <c r="U340">
        <v>1182</v>
      </c>
      <c r="V340">
        <v>3</v>
      </c>
      <c r="W340">
        <v>4</v>
      </c>
      <c r="X340">
        <v>2</v>
      </c>
      <c r="Y340">
        <v>11</v>
      </c>
      <c r="Z340">
        <v>17</v>
      </c>
      <c r="AA340">
        <v>8</v>
      </c>
      <c r="AB340" t="str">
        <f t="shared" si="17"/>
        <v>Below average customer</v>
      </c>
    </row>
    <row r="341" spans="1:28" x14ac:dyDescent="0.35">
      <c r="A341">
        <v>6245</v>
      </c>
      <c r="B341">
        <v>1950</v>
      </c>
      <c r="C341" t="s">
        <v>36</v>
      </c>
      <c r="D341" t="s">
        <v>32</v>
      </c>
      <c r="E341" t="s">
        <v>29</v>
      </c>
      <c r="F341">
        <v>59292</v>
      </c>
      <c r="G341" t="str">
        <f t="shared" si="15"/>
        <v>Mid-high</v>
      </c>
      <c r="H341">
        <v>0</v>
      </c>
      <c r="I341">
        <v>1</v>
      </c>
      <c r="J341">
        <v>1</v>
      </c>
      <c r="K341" s="1">
        <v>41438</v>
      </c>
      <c r="L341">
        <v>71</v>
      </c>
      <c r="M341" t="str">
        <f t="shared" si="16"/>
        <v>Inactive</v>
      </c>
      <c r="N341">
        <v>0</v>
      </c>
      <c r="O341">
        <v>378</v>
      </c>
      <c r="P341">
        <v>14</v>
      </c>
      <c r="Q341">
        <v>68</v>
      </c>
      <c r="R341">
        <v>19</v>
      </c>
      <c r="S341">
        <v>14</v>
      </c>
      <c r="T341">
        <v>14</v>
      </c>
      <c r="U341">
        <v>507</v>
      </c>
      <c r="V341">
        <v>2</v>
      </c>
      <c r="W341">
        <v>3</v>
      </c>
      <c r="X341">
        <v>5</v>
      </c>
      <c r="Y341">
        <v>8</v>
      </c>
      <c r="Z341">
        <v>16</v>
      </c>
      <c r="AA341">
        <v>3</v>
      </c>
      <c r="AB341" t="str">
        <f t="shared" si="17"/>
        <v>Below average customer</v>
      </c>
    </row>
    <row r="342" spans="1:28" x14ac:dyDescent="0.35">
      <c r="A342">
        <v>8234</v>
      </c>
      <c r="B342">
        <v>1973</v>
      </c>
      <c r="C342" t="s">
        <v>31</v>
      </c>
      <c r="D342" t="s">
        <v>37</v>
      </c>
      <c r="E342" t="s">
        <v>29</v>
      </c>
      <c r="F342">
        <v>27190</v>
      </c>
      <c r="G342" t="str">
        <f t="shared" si="15"/>
        <v>Low</v>
      </c>
      <c r="H342">
        <v>1</v>
      </c>
      <c r="I342">
        <v>0</v>
      </c>
      <c r="J342">
        <v>1</v>
      </c>
      <c r="K342" s="1">
        <v>41501</v>
      </c>
      <c r="L342">
        <v>13</v>
      </c>
      <c r="M342" t="str">
        <f t="shared" si="16"/>
        <v>Active</v>
      </c>
      <c r="N342">
        <v>0</v>
      </c>
      <c r="O342">
        <v>1</v>
      </c>
      <c r="P342">
        <v>6</v>
      </c>
      <c r="Q342">
        <v>7</v>
      </c>
      <c r="R342">
        <v>0</v>
      </c>
      <c r="S342">
        <v>1</v>
      </c>
      <c r="T342">
        <v>3</v>
      </c>
      <c r="U342">
        <v>18</v>
      </c>
      <c r="V342">
        <v>1</v>
      </c>
      <c r="W342">
        <v>1</v>
      </c>
      <c r="X342">
        <v>0</v>
      </c>
      <c r="Y342">
        <v>2</v>
      </c>
      <c r="Z342">
        <v>3</v>
      </c>
      <c r="AA342">
        <v>8</v>
      </c>
      <c r="AB342" t="str">
        <f t="shared" si="17"/>
        <v>Below average customer</v>
      </c>
    </row>
    <row r="343" spans="1:28" x14ac:dyDescent="0.35">
      <c r="A343">
        <v>1411</v>
      </c>
      <c r="B343">
        <v>1952</v>
      </c>
      <c r="C343" t="s">
        <v>36</v>
      </c>
      <c r="D343" t="s">
        <v>26</v>
      </c>
      <c r="E343" t="s">
        <v>35</v>
      </c>
      <c r="F343">
        <v>82623</v>
      </c>
      <c r="G343" t="str">
        <f t="shared" si="15"/>
        <v>High</v>
      </c>
      <c r="H343">
        <v>0</v>
      </c>
      <c r="I343">
        <v>0</v>
      </c>
      <c r="J343">
        <v>0</v>
      </c>
      <c r="K343" s="1">
        <v>41588</v>
      </c>
      <c r="L343">
        <v>58</v>
      </c>
      <c r="M343" t="str">
        <f t="shared" si="16"/>
        <v>Inactive</v>
      </c>
      <c r="N343">
        <v>0</v>
      </c>
      <c r="O343">
        <v>204</v>
      </c>
      <c r="P343">
        <v>34</v>
      </c>
      <c r="Q343">
        <v>204</v>
      </c>
      <c r="R343">
        <v>172</v>
      </c>
      <c r="S343">
        <v>153</v>
      </c>
      <c r="T343">
        <v>173</v>
      </c>
      <c r="U343">
        <v>940</v>
      </c>
      <c r="V343">
        <v>1</v>
      </c>
      <c r="W343">
        <v>2</v>
      </c>
      <c r="X343">
        <v>9</v>
      </c>
      <c r="Y343">
        <v>4</v>
      </c>
      <c r="Z343">
        <v>15</v>
      </c>
      <c r="AA343">
        <v>1</v>
      </c>
      <c r="AB343" t="str">
        <f t="shared" si="17"/>
        <v>Below average customer</v>
      </c>
    </row>
    <row r="344" spans="1:28" x14ac:dyDescent="0.35">
      <c r="A344">
        <v>8553</v>
      </c>
      <c r="B344">
        <v>1965</v>
      </c>
      <c r="C344" t="s">
        <v>28</v>
      </c>
      <c r="D344" t="s">
        <v>26</v>
      </c>
      <c r="E344" t="s">
        <v>33</v>
      </c>
      <c r="F344">
        <v>44300</v>
      </c>
      <c r="G344" t="str">
        <f t="shared" si="15"/>
        <v>Mid-low</v>
      </c>
      <c r="H344">
        <v>1</v>
      </c>
      <c r="I344">
        <v>1</v>
      </c>
      <c r="J344">
        <v>2</v>
      </c>
      <c r="K344" s="1">
        <v>41448</v>
      </c>
      <c r="L344">
        <v>65</v>
      </c>
      <c r="M344" t="str">
        <f t="shared" si="16"/>
        <v>Inactive</v>
      </c>
      <c r="N344">
        <v>0</v>
      </c>
      <c r="O344">
        <v>30</v>
      </c>
      <c r="P344">
        <v>0</v>
      </c>
      <c r="Q344">
        <v>9</v>
      </c>
      <c r="R344">
        <v>0</v>
      </c>
      <c r="S344">
        <v>0</v>
      </c>
      <c r="T344">
        <v>3</v>
      </c>
      <c r="U344">
        <v>42</v>
      </c>
      <c r="V344">
        <v>2</v>
      </c>
      <c r="W344">
        <v>1</v>
      </c>
      <c r="X344">
        <v>0</v>
      </c>
      <c r="Y344">
        <v>3</v>
      </c>
      <c r="Z344">
        <v>4</v>
      </c>
      <c r="AA344">
        <v>6</v>
      </c>
      <c r="AB344" t="str">
        <f t="shared" si="17"/>
        <v>Below average customer</v>
      </c>
    </row>
    <row r="345" spans="1:28" x14ac:dyDescent="0.35">
      <c r="A345">
        <v>1826</v>
      </c>
      <c r="B345">
        <v>1970</v>
      </c>
      <c r="C345" t="s">
        <v>28</v>
      </c>
      <c r="D345" t="s">
        <v>26</v>
      </c>
      <c r="E345" t="s">
        <v>35</v>
      </c>
      <c r="F345">
        <v>84835</v>
      </c>
      <c r="G345" t="str">
        <f t="shared" si="15"/>
        <v>High</v>
      </c>
      <c r="H345">
        <v>0</v>
      </c>
      <c r="I345">
        <v>0</v>
      </c>
      <c r="J345">
        <v>0</v>
      </c>
      <c r="K345" s="1">
        <v>41806</v>
      </c>
      <c r="L345">
        <v>0</v>
      </c>
      <c r="M345" t="str">
        <f t="shared" si="16"/>
        <v>Active</v>
      </c>
      <c r="N345">
        <v>0</v>
      </c>
      <c r="O345">
        <v>189</v>
      </c>
      <c r="P345">
        <v>104</v>
      </c>
      <c r="Q345">
        <v>379</v>
      </c>
      <c r="R345">
        <v>111</v>
      </c>
      <c r="S345">
        <v>189</v>
      </c>
      <c r="T345">
        <v>218</v>
      </c>
      <c r="U345">
        <v>1190</v>
      </c>
      <c r="V345">
        <v>1</v>
      </c>
      <c r="W345">
        <v>4</v>
      </c>
      <c r="X345">
        <v>4</v>
      </c>
      <c r="Y345">
        <v>6</v>
      </c>
      <c r="Z345">
        <v>14</v>
      </c>
      <c r="AA345">
        <v>1</v>
      </c>
      <c r="AB345" t="str">
        <f t="shared" si="17"/>
        <v>Above average customer</v>
      </c>
    </row>
    <row r="346" spans="1:28" x14ac:dyDescent="0.35">
      <c r="A346">
        <v>8842</v>
      </c>
      <c r="B346">
        <v>1971</v>
      </c>
      <c r="C346" t="s">
        <v>28</v>
      </c>
      <c r="D346" t="s">
        <v>26</v>
      </c>
      <c r="E346" t="s">
        <v>38</v>
      </c>
      <c r="F346">
        <v>30372</v>
      </c>
      <c r="G346" t="str">
        <f t="shared" si="15"/>
        <v>Low</v>
      </c>
      <c r="H346">
        <v>1</v>
      </c>
      <c r="I346">
        <v>1</v>
      </c>
      <c r="J346">
        <v>2</v>
      </c>
      <c r="K346" s="1">
        <v>41268</v>
      </c>
      <c r="L346">
        <v>33</v>
      </c>
      <c r="M346" t="str">
        <f t="shared" si="16"/>
        <v>Active</v>
      </c>
      <c r="N346">
        <v>0</v>
      </c>
      <c r="O346">
        <v>15</v>
      </c>
      <c r="P346">
        <v>0</v>
      </c>
      <c r="Q346">
        <v>12</v>
      </c>
      <c r="R346">
        <v>7</v>
      </c>
      <c r="S346">
        <v>3</v>
      </c>
      <c r="T346">
        <v>7</v>
      </c>
      <c r="U346">
        <v>44</v>
      </c>
      <c r="V346">
        <v>3</v>
      </c>
      <c r="W346">
        <v>2</v>
      </c>
      <c r="X346">
        <v>0</v>
      </c>
      <c r="Y346">
        <v>3</v>
      </c>
      <c r="Z346">
        <v>5</v>
      </c>
      <c r="AA346">
        <v>7</v>
      </c>
      <c r="AB346" t="str">
        <f t="shared" si="17"/>
        <v>Below average customer</v>
      </c>
    </row>
    <row r="347" spans="1:28" x14ac:dyDescent="0.35">
      <c r="A347">
        <v>11030</v>
      </c>
      <c r="B347">
        <v>1976</v>
      </c>
      <c r="C347" t="s">
        <v>31</v>
      </c>
      <c r="D347" t="s">
        <v>34</v>
      </c>
      <c r="E347" t="s">
        <v>33</v>
      </c>
      <c r="F347">
        <v>33181</v>
      </c>
      <c r="G347" t="str">
        <f t="shared" si="15"/>
        <v>Low</v>
      </c>
      <c r="H347">
        <v>1</v>
      </c>
      <c r="I347">
        <v>0</v>
      </c>
      <c r="J347">
        <v>1</v>
      </c>
      <c r="K347" s="1">
        <v>41642</v>
      </c>
      <c r="L347">
        <v>90</v>
      </c>
      <c r="M347" t="str">
        <f t="shared" si="16"/>
        <v>Inactive</v>
      </c>
      <c r="N347">
        <v>0</v>
      </c>
      <c r="O347">
        <v>9</v>
      </c>
      <c r="P347">
        <v>0</v>
      </c>
      <c r="Q347">
        <v>3</v>
      </c>
      <c r="R347">
        <v>0</v>
      </c>
      <c r="S347">
        <v>0</v>
      </c>
      <c r="T347">
        <v>4</v>
      </c>
      <c r="U347">
        <v>16</v>
      </c>
      <c r="V347">
        <v>1</v>
      </c>
      <c r="W347">
        <v>1</v>
      </c>
      <c r="X347">
        <v>0</v>
      </c>
      <c r="Y347">
        <v>2</v>
      </c>
      <c r="Z347">
        <v>3</v>
      </c>
      <c r="AA347">
        <v>6</v>
      </c>
      <c r="AB347" t="str">
        <f t="shared" si="17"/>
        <v>Below average customer</v>
      </c>
    </row>
    <row r="348" spans="1:28" x14ac:dyDescent="0.35">
      <c r="A348">
        <v>2579</v>
      </c>
      <c r="B348">
        <v>1957</v>
      </c>
      <c r="C348" t="s">
        <v>25</v>
      </c>
      <c r="D348" t="s">
        <v>26</v>
      </c>
      <c r="E348" t="s">
        <v>33</v>
      </c>
      <c r="F348">
        <v>71113</v>
      </c>
      <c r="G348" t="str">
        <f t="shared" si="15"/>
        <v>High</v>
      </c>
      <c r="H348">
        <v>0</v>
      </c>
      <c r="I348">
        <v>1</v>
      </c>
      <c r="J348">
        <v>1</v>
      </c>
      <c r="K348" s="1">
        <v>41625</v>
      </c>
      <c r="L348">
        <v>95</v>
      </c>
      <c r="M348" t="str">
        <f t="shared" si="16"/>
        <v>Inactive</v>
      </c>
      <c r="N348">
        <v>0</v>
      </c>
      <c r="O348">
        <v>495</v>
      </c>
      <c r="P348">
        <v>33</v>
      </c>
      <c r="Q348">
        <v>255</v>
      </c>
      <c r="R348">
        <v>11</v>
      </c>
      <c r="S348">
        <v>33</v>
      </c>
      <c r="T348">
        <v>8</v>
      </c>
      <c r="U348">
        <v>835</v>
      </c>
      <c r="V348">
        <v>4</v>
      </c>
      <c r="W348">
        <v>6</v>
      </c>
      <c r="X348">
        <v>7</v>
      </c>
      <c r="Y348">
        <v>9</v>
      </c>
      <c r="Z348">
        <v>22</v>
      </c>
      <c r="AA348">
        <v>4</v>
      </c>
      <c r="AB348" t="str">
        <f t="shared" si="17"/>
        <v>Below average customer</v>
      </c>
    </row>
    <row r="349" spans="1:28" x14ac:dyDescent="0.35">
      <c r="A349">
        <v>175</v>
      </c>
      <c r="B349">
        <v>1986</v>
      </c>
      <c r="C349" t="s">
        <v>30</v>
      </c>
      <c r="D349" t="s">
        <v>26</v>
      </c>
      <c r="E349" t="s">
        <v>33</v>
      </c>
      <c r="F349">
        <v>71952</v>
      </c>
      <c r="G349" t="str">
        <f t="shared" si="15"/>
        <v>High</v>
      </c>
      <c r="H349">
        <v>1</v>
      </c>
      <c r="I349">
        <v>0</v>
      </c>
      <c r="J349">
        <v>1</v>
      </c>
      <c r="K349" s="1">
        <v>41284</v>
      </c>
      <c r="L349">
        <v>93</v>
      </c>
      <c r="M349" t="str">
        <f t="shared" si="16"/>
        <v>Inactive</v>
      </c>
      <c r="N349">
        <v>0</v>
      </c>
      <c r="O349">
        <v>656</v>
      </c>
      <c r="P349">
        <v>80</v>
      </c>
      <c r="Q349">
        <v>455</v>
      </c>
      <c r="R349">
        <v>52</v>
      </c>
      <c r="S349">
        <v>107</v>
      </c>
      <c r="T349">
        <v>93</v>
      </c>
      <c r="U349">
        <v>1443</v>
      </c>
      <c r="V349">
        <v>2</v>
      </c>
      <c r="W349">
        <v>8</v>
      </c>
      <c r="X349">
        <v>4</v>
      </c>
      <c r="Y349">
        <v>8</v>
      </c>
      <c r="Z349">
        <v>20</v>
      </c>
      <c r="AA349">
        <v>4</v>
      </c>
      <c r="AB349" t="str">
        <f t="shared" si="17"/>
        <v>Below average customer</v>
      </c>
    </row>
    <row r="350" spans="1:28" x14ac:dyDescent="0.35">
      <c r="A350">
        <v>9185</v>
      </c>
      <c r="B350">
        <v>1966</v>
      </c>
      <c r="C350" t="s">
        <v>28</v>
      </c>
      <c r="D350" t="s">
        <v>32</v>
      </c>
      <c r="E350" t="s">
        <v>27</v>
      </c>
      <c r="F350">
        <v>69759</v>
      </c>
      <c r="G350" t="str">
        <f t="shared" si="15"/>
        <v>High</v>
      </c>
      <c r="H350">
        <v>0</v>
      </c>
      <c r="I350">
        <v>0</v>
      </c>
      <c r="J350">
        <v>0</v>
      </c>
      <c r="K350" s="1">
        <v>41575</v>
      </c>
      <c r="L350">
        <v>38</v>
      </c>
      <c r="M350" t="str">
        <f t="shared" si="16"/>
        <v>Active</v>
      </c>
      <c r="N350">
        <v>0</v>
      </c>
      <c r="O350">
        <v>452</v>
      </c>
      <c r="P350">
        <v>20</v>
      </c>
      <c r="Q350">
        <v>514</v>
      </c>
      <c r="R350">
        <v>13</v>
      </c>
      <c r="S350">
        <v>30</v>
      </c>
      <c r="T350">
        <v>0</v>
      </c>
      <c r="U350">
        <v>1029</v>
      </c>
      <c r="V350">
        <v>3</v>
      </c>
      <c r="W350">
        <v>4</v>
      </c>
      <c r="X350">
        <v>6</v>
      </c>
      <c r="Y350">
        <v>5</v>
      </c>
      <c r="Z350">
        <v>15</v>
      </c>
      <c r="AA350">
        <v>3</v>
      </c>
      <c r="AB350" t="str">
        <f t="shared" si="17"/>
        <v>Above average customer</v>
      </c>
    </row>
    <row r="351" spans="1:28" x14ac:dyDescent="0.35">
      <c r="A351">
        <v>11056</v>
      </c>
      <c r="B351">
        <v>1974</v>
      </c>
      <c r="C351" t="s">
        <v>31</v>
      </c>
      <c r="D351" t="s">
        <v>26</v>
      </c>
      <c r="E351" t="s">
        <v>33</v>
      </c>
      <c r="F351">
        <v>72099</v>
      </c>
      <c r="G351" t="str">
        <f t="shared" si="15"/>
        <v>High</v>
      </c>
      <c r="H351">
        <v>0</v>
      </c>
      <c r="I351">
        <v>0</v>
      </c>
      <c r="J351">
        <v>0</v>
      </c>
      <c r="K351" s="1">
        <v>41209</v>
      </c>
      <c r="L351">
        <v>18</v>
      </c>
      <c r="M351" t="str">
        <f t="shared" si="16"/>
        <v>Active</v>
      </c>
      <c r="N351">
        <v>0</v>
      </c>
      <c r="O351">
        <v>546</v>
      </c>
      <c r="P351">
        <v>91</v>
      </c>
      <c r="Q351">
        <v>410</v>
      </c>
      <c r="R351">
        <v>119</v>
      </c>
      <c r="S351">
        <v>0</v>
      </c>
      <c r="T351">
        <v>22</v>
      </c>
      <c r="U351">
        <v>1188</v>
      </c>
      <c r="V351">
        <v>1</v>
      </c>
      <c r="W351">
        <v>3</v>
      </c>
      <c r="X351">
        <v>4</v>
      </c>
      <c r="Y351">
        <v>10</v>
      </c>
      <c r="Z351">
        <v>17</v>
      </c>
      <c r="AA351">
        <v>1</v>
      </c>
      <c r="AB351" t="str">
        <f t="shared" si="17"/>
        <v>Above average customer</v>
      </c>
    </row>
    <row r="352" spans="1:28" x14ac:dyDescent="0.35">
      <c r="A352">
        <v>9365</v>
      </c>
      <c r="B352">
        <v>1976</v>
      </c>
      <c r="C352" t="s">
        <v>31</v>
      </c>
      <c r="D352" t="s">
        <v>32</v>
      </c>
      <c r="E352" t="s">
        <v>27</v>
      </c>
      <c r="F352">
        <v>60000</v>
      </c>
      <c r="G352" t="str">
        <f t="shared" si="15"/>
        <v>Mid-high</v>
      </c>
      <c r="H352">
        <v>0</v>
      </c>
      <c r="I352">
        <v>1</v>
      </c>
      <c r="J352">
        <v>1</v>
      </c>
      <c r="K352" s="1">
        <v>41265</v>
      </c>
      <c r="L352">
        <v>57</v>
      </c>
      <c r="M352" t="str">
        <f t="shared" si="16"/>
        <v>Inactive</v>
      </c>
      <c r="N352">
        <v>0</v>
      </c>
      <c r="O352">
        <v>1048</v>
      </c>
      <c r="P352">
        <v>0</v>
      </c>
      <c r="Q352">
        <v>217</v>
      </c>
      <c r="R352">
        <v>0</v>
      </c>
      <c r="S352">
        <v>0</v>
      </c>
      <c r="T352">
        <v>12</v>
      </c>
      <c r="U352">
        <v>1277</v>
      </c>
      <c r="V352">
        <v>5</v>
      </c>
      <c r="W352">
        <v>11</v>
      </c>
      <c r="X352">
        <v>3</v>
      </c>
      <c r="Y352">
        <v>5</v>
      </c>
      <c r="Z352">
        <v>19</v>
      </c>
      <c r="AA352">
        <v>6</v>
      </c>
      <c r="AB352" t="str">
        <f t="shared" si="17"/>
        <v>Below average customer</v>
      </c>
    </row>
    <row r="353" spans="1:28" x14ac:dyDescent="0.35">
      <c r="A353">
        <v>6201</v>
      </c>
      <c r="B353">
        <v>1978</v>
      </c>
      <c r="C353" t="s">
        <v>31</v>
      </c>
      <c r="D353" t="s">
        <v>26</v>
      </c>
      <c r="E353" t="s">
        <v>27</v>
      </c>
      <c r="F353">
        <v>38643</v>
      </c>
      <c r="G353" t="str">
        <f t="shared" si="15"/>
        <v>Mid-low</v>
      </c>
      <c r="H353">
        <v>1</v>
      </c>
      <c r="I353">
        <v>1</v>
      </c>
      <c r="J353">
        <v>2</v>
      </c>
      <c r="K353" s="1">
        <v>41607</v>
      </c>
      <c r="L353">
        <v>45</v>
      </c>
      <c r="M353" t="str">
        <f t="shared" si="16"/>
        <v>Active</v>
      </c>
      <c r="N353">
        <v>1</v>
      </c>
      <c r="O353">
        <v>22</v>
      </c>
      <c r="P353">
        <v>2</v>
      </c>
      <c r="Q353">
        <v>14</v>
      </c>
      <c r="R353">
        <v>0</v>
      </c>
      <c r="S353">
        <v>1</v>
      </c>
      <c r="T353">
        <v>10</v>
      </c>
      <c r="U353">
        <v>49</v>
      </c>
      <c r="V353">
        <v>2</v>
      </c>
      <c r="W353">
        <v>2</v>
      </c>
      <c r="X353">
        <v>0</v>
      </c>
      <c r="Y353">
        <v>3</v>
      </c>
      <c r="Z353">
        <v>5</v>
      </c>
      <c r="AA353">
        <v>7</v>
      </c>
      <c r="AB353" t="str">
        <f t="shared" si="17"/>
        <v>Below average customer</v>
      </c>
    </row>
    <row r="354" spans="1:28" x14ac:dyDescent="0.35">
      <c r="A354">
        <v>2061</v>
      </c>
      <c r="B354">
        <v>1955</v>
      </c>
      <c r="C354" t="s">
        <v>25</v>
      </c>
      <c r="D354" t="s">
        <v>26</v>
      </c>
      <c r="E354" t="s">
        <v>33</v>
      </c>
      <c r="F354">
        <v>50737</v>
      </c>
      <c r="G354" t="str">
        <f t="shared" si="15"/>
        <v>Mid-low</v>
      </c>
      <c r="H354">
        <v>0</v>
      </c>
      <c r="I354">
        <v>1</v>
      </c>
      <c r="J354">
        <v>1</v>
      </c>
      <c r="K354" s="1">
        <v>41405</v>
      </c>
      <c r="L354">
        <v>61</v>
      </c>
      <c r="M354" t="str">
        <f t="shared" si="16"/>
        <v>Inactive</v>
      </c>
      <c r="N354">
        <v>0</v>
      </c>
      <c r="O354">
        <v>78</v>
      </c>
      <c r="P354">
        <v>0</v>
      </c>
      <c r="Q354">
        <v>11</v>
      </c>
      <c r="R354">
        <v>0</v>
      </c>
      <c r="S354">
        <v>0</v>
      </c>
      <c r="T354">
        <v>10</v>
      </c>
      <c r="U354">
        <v>99</v>
      </c>
      <c r="V354">
        <v>1</v>
      </c>
      <c r="W354">
        <v>2</v>
      </c>
      <c r="X354">
        <v>0</v>
      </c>
      <c r="Y354">
        <v>4</v>
      </c>
      <c r="Z354">
        <v>6</v>
      </c>
      <c r="AA354">
        <v>6</v>
      </c>
      <c r="AB354" t="str">
        <f t="shared" si="17"/>
        <v>Below average customer</v>
      </c>
    </row>
    <row r="355" spans="1:28" x14ac:dyDescent="0.35">
      <c r="A355">
        <v>6184</v>
      </c>
      <c r="B355">
        <v>1969</v>
      </c>
      <c r="C355" t="s">
        <v>28</v>
      </c>
      <c r="D355" t="s">
        <v>32</v>
      </c>
      <c r="E355" t="s">
        <v>33</v>
      </c>
      <c r="F355">
        <v>68462</v>
      </c>
      <c r="G355" t="str">
        <f t="shared" si="15"/>
        <v>Mid-high</v>
      </c>
      <c r="H355">
        <v>0</v>
      </c>
      <c r="I355">
        <v>0</v>
      </c>
      <c r="J355">
        <v>0</v>
      </c>
      <c r="K355" s="1">
        <v>41255</v>
      </c>
      <c r="L355">
        <v>6</v>
      </c>
      <c r="M355" t="str">
        <f t="shared" si="16"/>
        <v>Active</v>
      </c>
      <c r="N355">
        <v>0</v>
      </c>
      <c r="O355">
        <v>561</v>
      </c>
      <c r="P355">
        <v>64</v>
      </c>
      <c r="Q355">
        <v>785</v>
      </c>
      <c r="R355">
        <v>84</v>
      </c>
      <c r="S355">
        <v>128</v>
      </c>
      <c r="T355">
        <v>48</v>
      </c>
      <c r="U355">
        <v>1670</v>
      </c>
      <c r="V355">
        <v>1</v>
      </c>
      <c r="W355">
        <v>3</v>
      </c>
      <c r="X355">
        <v>3</v>
      </c>
      <c r="Y355">
        <v>8</v>
      </c>
      <c r="Z355">
        <v>14</v>
      </c>
      <c r="AA355">
        <v>1</v>
      </c>
      <c r="AB355" t="str">
        <f t="shared" si="17"/>
        <v>Above average customer</v>
      </c>
    </row>
    <row r="356" spans="1:28" x14ac:dyDescent="0.35">
      <c r="A356">
        <v>6142</v>
      </c>
      <c r="B356">
        <v>1943</v>
      </c>
      <c r="C356" t="s">
        <v>36</v>
      </c>
      <c r="D356" t="s">
        <v>34</v>
      </c>
      <c r="E356" t="s">
        <v>33</v>
      </c>
      <c r="F356">
        <v>65073</v>
      </c>
      <c r="G356" t="str">
        <f t="shared" si="15"/>
        <v>Mid-high</v>
      </c>
      <c r="H356">
        <v>0</v>
      </c>
      <c r="I356">
        <v>0</v>
      </c>
      <c r="J356">
        <v>0</v>
      </c>
      <c r="K356" s="1">
        <v>41506</v>
      </c>
      <c r="L356">
        <v>65</v>
      </c>
      <c r="M356" t="str">
        <f t="shared" si="16"/>
        <v>Inactive</v>
      </c>
      <c r="N356">
        <v>1</v>
      </c>
      <c r="O356">
        <v>629</v>
      </c>
      <c r="P356">
        <v>17</v>
      </c>
      <c r="Q356">
        <v>177</v>
      </c>
      <c r="R356">
        <v>69</v>
      </c>
      <c r="S356">
        <v>0</v>
      </c>
      <c r="T356">
        <v>8</v>
      </c>
      <c r="U356">
        <v>900</v>
      </c>
      <c r="V356">
        <v>1</v>
      </c>
      <c r="W356">
        <v>5</v>
      </c>
      <c r="X356">
        <v>3</v>
      </c>
      <c r="Y356">
        <v>5</v>
      </c>
      <c r="Z356">
        <v>13</v>
      </c>
      <c r="AA356">
        <v>2</v>
      </c>
      <c r="AB356" t="str">
        <f t="shared" si="17"/>
        <v>Below average customer</v>
      </c>
    </row>
    <row r="357" spans="1:28" x14ac:dyDescent="0.35">
      <c r="A357">
        <v>4107</v>
      </c>
      <c r="B357">
        <v>1948</v>
      </c>
      <c r="C357" t="s">
        <v>36</v>
      </c>
      <c r="D357" t="s">
        <v>32</v>
      </c>
      <c r="E357" t="s">
        <v>29</v>
      </c>
      <c r="F357">
        <v>46681</v>
      </c>
      <c r="G357" t="str">
        <f t="shared" si="15"/>
        <v>Mid-low</v>
      </c>
      <c r="H357">
        <v>0</v>
      </c>
      <c r="I357">
        <v>2</v>
      </c>
      <c r="J357">
        <v>2</v>
      </c>
      <c r="K357" s="1">
        <v>41555</v>
      </c>
      <c r="L357">
        <v>52</v>
      </c>
      <c r="M357" t="str">
        <f t="shared" si="16"/>
        <v>Inactive</v>
      </c>
      <c r="N357">
        <v>0</v>
      </c>
      <c r="O357">
        <v>269</v>
      </c>
      <c r="P357">
        <v>15</v>
      </c>
      <c r="Q357">
        <v>69</v>
      </c>
      <c r="R357">
        <v>15</v>
      </c>
      <c r="S357">
        <v>19</v>
      </c>
      <c r="T357">
        <v>38</v>
      </c>
      <c r="U357">
        <v>425</v>
      </c>
      <c r="V357">
        <v>2</v>
      </c>
      <c r="W357">
        <v>4</v>
      </c>
      <c r="X357">
        <v>6</v>
      </c>
      <c r="Y357">
        <v>4</v>
      </c>
      <c r="Z357">
        <v>14</v>
      </c>
      <c r="AA357">
        <v>5</v>
      </c>
      <c r="AB357" t="str">
        <f t="shared" si="17"/>
        <v>Below average customer</v>
      </c>
    </row>
    <row r="358" spans="1:28" x14ac:dyDescent="0.35">
      <c r="A358">
        <v>7274</v>
      </c>
      <c r="B358">
        <v>1957</v>
      </c>
      <c r="C358" t="s">
        <v>25</v>
      </c>
      <c r="D358" t="s">
        <v>26</v>
      </c>
      <c r="E358" t="s">
        <v>33</v>
      </c>
      <c r="F358">
        <v>78618</v>
      </c>
      <c r="G358" t="str">
        <f t="shared" si="15"/>
        <v>High</v>
      </c>
      <c r="H358">
        <v>0</v>
      </c>
      <c r="I358">
        <v>0</v>
      </c>
      <c r="J358">
        <v>0</v>
      </c>
      <c r="K358" s="1">
        <v>41180</v>
      </c>
      <c r="L358">
        <v>87</v>
      </c>
      <c r="M358" t="str">
        <f t="shared" si="16"/>
        <v>Inactive</v>
      </c>
      <c r="N358">
        <v>0</v>
      </c>
      <c r="O358">
        <v>736</v>
      </c>
      <c r="P358">
        <v>163</v>
      </c>
      <c r="Q358">
        <v>818</v>
      </c>
      <c r="R358">
        <v>212</v>
      </c>
      <c r="S358">
        <v>163</v>
      </c>
      <c r="T358">
        <v>61</v>
      </c>
      <c r="U358">
        <v>2153</v>
      </c>
      <c r="V358">
        <v>1</v>
      </c>
      <c r="W358">
        <v>4</v>
      </c>
      <c r="X358">
        <v>7</v>
      </c>
      <c r="Y358">
        <v>10</v>
      </c>
      <c r="Z358">
        <v>21</v>
      </c>
      <c r="AA358">
        <v>2</v>
      </c>
      <c r="AB358" t="str">
        <f t="shared" si="17"/>
        <v>Below average customer</v>
      </c>
    </row>
    <row r="359" spans="1:28" x14ac:dyDescent="0.35">
      <c r="A359">
        <v>9336</v>
      </c>
      <c r="B359">
        <v>1969</v>
      </c>
      <c r="C359" t="s">
        <v>28</v>
      </c>
      <c r="D359" t="s">
        <v>32</v>
      </c>
      <c r="E359" t="s">
        <v>38</v>
      </c>
      <c r="F359">
        <v>62187</v>
      </c>
      <c r="G359" t="str">
        <f t="shared" si="15"/>
        <v>Mid-high</v>
      </c>
      <c r="H359">
        <v>0</v>
      </c>
      <c r="I359">
        <v>1</v>
      </c>
      <c r="J359">
        <v>1</v>
      </c>
      <c r="K359" s="1">
        <v>41720</v>
      </c>
      <c r="L359">
        <v>38</v>
      </c>
      <c r="M359" t="str">
        <f t="shared" si="16"/>
        <v>Active</v>
      </c>
      <c r="N359">
        <v>0</v>
      </c>
      <c r="O359">
        <v>512</v>
      </c>
      <c r="P359">
        <v>0</v>
      </c>
      <c r="Q359">
        <v>83</v>
      </c>
      <c r="R359">
        <v>0</v>
      </c>
      <c r="S359">
        <v>0</v>
      </c>
      <c r="T359">
        <v>41</v>
      </c>
      <c r="U359">
        <v>636</v>
      </c>
      <c r="V359">
        <v>3</v>
      </c>
      <c r="W359">
        <v>6</v>
      </c>
      <c r="X359">
        <v>2</v>
      </c>
      <c r="Y359">
        <v>10</v>
      </c>
      <c r="Z359">
        <v>18</v>
      </c>
      <c r="AA359">
        <v>4</v>
      </c>
      <c r="AB359" t="str">
        <f t="shared" si="17"/>
        <v>Above average customer</v>
      </c>
    </row>
    <row r="360" spans="1:28" x14ac:dyDescent="0.35">
      <c r="A360">
        <v>2958</v>
      </c>
      <c r="B360">
        <v>1978</v>
      </c>
      <c r="C360" t="s">
        <v>31</v>
      </c>
      <c r="D360" t="s">
        <v>26</v>
      </c>
      <c r="E360" t="s">
        <v>33</v>
      </c>
      <c r="F360">
        <v>28442</v>
      </c>
      <c r="G360" t="str">
        <f t="shared" si="15"/>
        <v>Low</v>
      </c>
      <c r="H360">
        <v>2</v>
      </c>
      <c r="I360">
        <v>0</v>
      </c>
      <c r="J360">
        <v>2</v>
      </c>
      <c r="K360" s="1">
        <v>41694</v>
      </c>
      <c r="L360">
        <v>53</v>
      </c>
      <c r="M360" t="str">
        <f t="shared" si="16"/>
        <v>Inactive</v>
      </c>
      <c r="N360">
        <v>0</v>
      </c>
      <c r="O360">
        <v>19</v>
      </c>
      <c r="P360">
        <v>3</v>
      </c>
      <c r="Q360">
        <v>10</v>
      </c>
      <c r="R360">
        <v>11</v>
      </c>
      <c r="S360">
        <v>8</v>
      </c>
      <c r="T360">
        <v>6</v>
      </c>
      <c r="U360">
        <v>57</v>
      </c>
      <c r="V360">
        <v>3</v>
      </c>
      <c r="W360">
        <v>2</v>
      </c>
      <c r="X360">
        <v>1</v>
      </c>
      <c r="Y360">
        <v>4</v>
      </c>
      <c r="Z360">
        <v>7</v>
      </c>
      <c r="AA360">
        <v>4</v>
      </c>
      <c r="AB360" t="str">
        <f t="shared" si="17"/>
        <v>Below average customer</v>
      </c>
    </row>
    <row r="361" spans="1:28" x14ac:dyDescent="0.35">
      <c r="A361">
        <v>5837</v>
      </c>
      <c r="B361">
        <v>1967</v>
      </c>
      <c r="C361" t="s">
        <v>28</v>
      </c>
      <c r="D361" t="s">
        <v>26</v>
      </c>
      <c r="E361" t="s">
        <v>33</v>
      </c>
      <c r="F361">
        <v>51479</v>
      </c>
      <c r="G361" t="str">
        <f t="shared" si="15"/>
        <v>Mid-low</v>
      </c>
      <c r="H361">
        <v>1</v>
      </c>
      <c r="I361">
        <v>1</v>
      </c>
      <c r="J361">
        <v>2</v>
      </c>
      <c r="K361" s="1">
        <v>41271</v>
      </c>
      <c r="L361">
        <v>67</v>
      </c>
      <c r="M361" t="str">
        <f t="shared" si="16"/>
        <v>Inactive</v>
      </c>
      <c r="N361">
        <v>0</v>
      </c>
      <c r="O361">
        <v>247</v>
      </c>
      <c r="P361">
        <v>8</v>
      </c>
      <c r="Q361">
        <v>160</v>
      </c>
      <c r="R361">
        <v>6</v>
      </c>
      <c r="S361">
        <v>8</v>
      </c>
      <c r="T361">
        <v>65</v>
      </c>
      <c r="U361">
        <v>494</v>
      </c>
      <c r="V361">
        <v>7</v>
      </c>
      <c r="W361">
        <v>6</v>
      </c>
      <c r="X361">
        <v>3</v>
      </c>
      <c r="Y361">
        <v>6</v>
      </c>
      <c r="Z361">
        <v>15</v>
      </c>
      <c r="AA361">
        <v>7</v>
      </c>
      <c r="AB361" t="str">
        <f t="shared" si="17"/>
        <v>Below average customer</v>
      </c>
    </row>
    <row r="362" spans="1:28" x14ac:dyDescent="0.35">
      <c r="A362">
        <v>10704</v>
      </c>
      <c r="B362">
        <v>1969</v>
      </c>
      <c r="C362" t="s">
        <v>28</v>
      </c>
      <c r="D362" t="s">
        <v>26</v>
      </c>
      <c r="E362" t="s">
        <v>27</v>
      </c>
      <c r="F362">
        <v>54803</v>
      </c>
      <c r="G362" t="str">
        <f t="shared" si="15"/>
        <v>Mid-high</v>
      </c>
      <c r="H362">
        <v>0</v>
      </c>
      <c r="I362">
        <v>1</v>
      </c>
      <c r="J362">
        <v>1</v>
      </c>
      <c r="K362" s="1">
        <v>41142</v>
      </c>
      <c r="L362">
        <v>65</v>
      </c>
      <c r="M362" t="str">
        <f t="shared" si="16"/>
        <v>Inactive</v>
      </c>
      <c r="N362">
        <v>0</v>
      </c>
      <c r="O362">
        <v>404</v>
      </c>
      <c r="P362">
        <v>0</v>
      </c>
      <c r="Q362">
        <v>92</v>
      </c>
      <c r="R362">
        <v>28</v>
      </c>
      <c r="S362">
        <v>27</v>
      </c>
      <c r="T362">
        <v>142</v>
      </c>
      <c r="U362">
        <v>693</v>
      </c>
      <c r="V362">
        <v>2</v>
      </c>
      <c r="W362">
        <v>6</v>
      </c>
      <c r="X362">
        <v>2</v>
      </c>
      <c r="Y362">
        <v>9</v>
      </c>
      <c r="Z362">
        <v>17</v>
      </c>
      <c r="AA362">
        <v>4</v>
      </c>
      <c r="AB362" t="str">
        <f t="shared" si="17"/>
        <v>Below average customer</v>
      </c>
    </row>
    <row r="363" spans="1:28" x14ac:dyDescent="0.35">
      <c r="A363">
        <v>5125</v>
      </c>
      <c r="B363">
        <v>1960</v>
      </c>
      <c r="C363" t="s">
        <v>25</v>
      </c>
      <c r="D363" t="s">
        <v>26</v>
      </c>
      <c r="E363" t="s">
        <v>33</v>
      </c>
      <c r="F363">
        <v>79530</v>
      </c>
      <c r="G363" t="str">
        <f t="shared" si="15"/>
        <v>High</v>
      </c>
      <c r="H363">
        <v>0</v>
      </c>
      <c r="I363">
        <v>0</v>
      </c>
      <c r="J363">
        <v>0</v>
      </c>
      <c r="K363" s="1">
        <v>41411</v>
      </c>
      <c r="L363">
        <v>64</v>
      </c>
      <c r="M363" t="str">
        <f t="shared" si="16"/>
        <v>Inactive</v>
      </c>
      <c r="N363">
        <v>0</v>
      </c>
      <c r="O363">
        <v>333</v>
      </c>
      <c r="P363">
        <v>0</v>
      </c>
      <c r="Q363">
        <v>815</v>
      </c>
      <c r="R363">
        <v>129</v>
      </c>
      <c r="S363">
        <v>42</v>
      </c>
      <c r="T363">
        <v>29</v>
      </c>
      <c r="U363">
        <v>1348</v>
      </c>
      <c r="V363">
        <v>1</v>
      </c>
      <c r="W363">
        <v>4</v>
      </c>
      <c r="X363">
        <v>10</v>
      </c>
      <c r="Y363">
        <v>11</v>
      </c>
      <c r="Z363">
        <v>25</v>
      </c>
      <c r="AA363">
        <v>2</v>
      </c>
      <c r="AB363" t="str">
        <f t="shared" si="17"/>
        <v>Below average customer</v>
      </c>
    </row>
    <row r="364" spans="1:28" x14ac:dyDescent="0.35">
      <c r="A364">
        <v>4432</v>
      </c>
      <c r="B364">
        <v>1976</v>
      </c>
      <c r="C364" t="s">
        <v>31</v>
      </c>
      <c r="D364" t="s">
        <v>26</v>
      </c>
      <c r="E364" t="s">
        <v>35</v>
      </c>
      <c r="F364">
        <v>31615</v>
      </c>
      <c r="G364" t="str">
        <f t="shared" si="15"/>
        <v>Low</v>
      </c>
      <c r="H364">
        <v>1</v>
      </c>
      <c r="I364">
        <v>0</v>
      </c>
      <c r="J364">
        <v>1</v>
      </c>
      <c r="K364" s="1">
        <v>41349</v>
      </c>
      <c r="L364">
        <v>82</v>
      </c>
      <c r="M364" t="str">
        <f t="shared" si="16"/>
        <v>Inactive</v>
      </c>
      <c r="N364">
        <v>0</v>
      </c>
      <c r="O364">
        <v>2</v>
      </c>
      <c r="P364">
        <v>3</v>
      </c>
      <c r="Q364">
        <v>20</v>
      </c>
      <c r="R364">
        <v>6</v>
      </c>
      <c r="S364">
        <v>11</v>
      </c>
      <c r="T364">
        <v>9</v>
      </c>
      <c r="U364">
        <v>51</v>
      </c>
      <c r="V364">
        <v>2</v>
      </c>
      <c r="W364">
        <v>2</v>
      </c>
      <c r="X364">
        <v>0</v>
      </c>
      <c r="Y364">
        <v>3</v>
      </c>
      <c r="Z364">
        <v>5</v>
      </c>
      <c r="AA364">
        <v>7</v>
      </c>
      <c r="AB364" t="str">
        <f t="shared" si="17"/>
        <v>Below average customer</v>
      </c>
    </row>
    <row r="365" spans="1:28" x14ac:dyDescent="0.35">
      <c r="A365">
        <v>5955</v>
      </c>
      <c r="B365">
        <v>1962</v>
      </c>
      <c r="C365" t="s">
        <v>25</v>
      </c>
      <c r="D365" t="s">
        <v>26</v>
      </c>
      <c r="E365" t="s">
        <v>29</v>
      </c>
      <c r="F365">
        <v>72025</v>
      </c>
      <c r="G365" t="str">
        <f t="shared" si="15"/>
        <v>High</v>
      </c>
      <c r="H365">
        <v>0</v>
      </c>
      <c r="I365">
        <v>0</v>
      </c>
      <c r="J365">
        <v>0</v>
      </c>
      <c r="K365" s="1">
        <v>41230</v>
      </c>
      <c r="L365">
        <v>27</v>
      </c>
      <c r="M365" t="str">
        <f t="shared" si="16"/>
        <v>Active</v>
      </c>
      <c r="N365">
        <v>0</v>
      </c>
      <c r="O365">
        <v>833</v>
      </c>
      <c r="P365">
        <v>33</v>
      </c>
      <c r="Q365">
        <v>549</v>
      </c>
      <c r="R365">
        <v>151</v>
      </c>
      <c r="S365">
        <v>133</v>
      </c>
      <c r="T365">
        <v>233</v>
      </c>
      <c r="U365">
        <v>1932</v>
      </c>
      <c r="V365">
        <v>1</v>
      </c>
      <c r="W365">
        <v>4</v>
      </c>
      <c r="X365">
        <v>3</v>
      </c>
      <c r="Y365">
        <v>8</v>
      </c>
      <c r="Z365">
        <v>15</v>
      </c>
      <c r="AA365">
        <v>3</v>
      </c>
      <c r="AB365" t="str">
        <f t="shared" si="17"/>
        <v>Above average customer</v>
      </c>
    </row>
    <row r="366" spans="1:28" x14ac:dyDescent="0.35">
      <c r="A366">
        <v>2928</v>
      </c>
      <c r="B366">
        <v>1975</v>
      </c>
      <c r="C366" t="s">
        <v>31</v>
      </c>
      <c r="D366" t="s">
        <v>32</v>
      </c>
      <c r="E366" t="s">
        <v>27</v>
      </c>
      <c r="F366">
        <v>52614</v>
      </c>
      <c r="G366" t="str">
        <f t="shared" si="15"/>
        <v>Mid-high</v>
      </c>
      <c r="H366">
        <v>0</v>
      </c>
      <c r="I366">
        <v>1</v>
      </c>
      <c r="J366">
        <v>1</v>
      </c>
      <c r="K366" s="1">
        <v>41244</v>
      </c>
      <c r="L366">
        <v>63</v>
      </c>
      <c r="M366" t="str">
        <f t="shared" si="16"/>
        <v>Inactive</v>
      </c>
      <c r="N366">
        <v>0</v>
      </c>
      <c r="O366">
        <v>789</v>
      </c>
      <c r="P366">
        <v>0</v>
      </c>
      <c r="Q366">
        <v>142</v>
      </c>
      <c r="R366">
        <v>12</v>
      </c>
      <c r="S366">
        <v>9</v>
      </c>
      <c r="T366">
        <v>38</v>
      </c>
      <c r="U366">
        <v>990</v>
      </c>
      <c r="V366">
        <v>2</v>
      </c>
      <c r="W366">
        <v>2</v>
      </c>
      <c r="X366">
        <v>4</v>
      </c>
      <c r="Y366">
        <v>8</v>
      </c>
      <c r="Z366">
        <v>14</v>
      </c>
      <c r="AA366">
        <v>8</v>
      </c>
      <c r="AB366" t="str">
        <f t="shared" si="17"/>
        <v>Below average customer</v>
      </c>
    </row>
    <row r="367" spans="1:28" x14ac:dyDescent="0.35">
      <c r="A367">
        <v>5680</v>
      </c>
      <c r="B367">
        <v>1984</v>
      </c>
      <c r="C367" t="s">
        <v>30</v>
      </c>
      <c r="D367" t="s">
        <v>34</v>
      </c>
      <c r="E367" t="s">
        <v>33</v>
      </c>
      <c r="F367">
        <v>35684</v>
      </c>
      <c r="G367" t="str">
        <f t="shared" si="15"/>
        <v>Mid-low</v>
      </c>
      <c r="H367">
        <v>1</v>
      </c>
      <c r="I367">
        <v>0</v>
      </c>
      <c r="J367">
        <v>1</v>
      </c>
      <c r="K367" s="1">
        <v>41751</v>
      </c>
      <c r="L367">
        <v>66</v>
      </c>
      <c r="M367" t="str">
        <f t="shared" si="16"/>
        <v>Inactive</v>
      </c>
      <c r="N367">
        <v>0</v>
      </c>
      <c r="O367">
        <v>10</v>
      </c>
      <c r="P367">
        <v>4</v>
      </c>
      <c r="Q367">
        <v>7</v>
      </c>
      <c r="R367">
        <v>0</v>
      </c>
      <c r="S367">
        <v>6</v>
      </c>
      <c r="T367">
        <v>3</v>
      </c>
      <c r="U367">
        <v>30</v>
      </c>
      <c r="V367">
        <v>1</v>
      </c>
      <c r="W367">
        <v>1</v>
      </c>
      <c r="X367">
        <v>0</v>
      </c>
      <c r="Y367">
        <v>3</v>
      </c>
      <c r="Z367">
        <v>4</v>
      </c>
      <c r="AA367">
        <v>6</v>
      </c>
      <c r="AB367" t="str">
        <f t="shared" si="17"/>
        <v>Below average customer</v>
      </c>
    </row>
    <row r="368" spans="1:28" x14ac:dyDescent="0.35">
      <c r="A368">
        <v>10313</v>
      </c>
      <c r="B368">
        <v>1975</v>
      </c>
      <c r="C368" t="s">
        <v>31</v>
      </c>
      <c r="D368" t="s">
        <v>26</v>
      </c>
      <c r="E368" t="s">
        <v>33</v>
      </c>
      <c r="F368">
        <v>48178</v>
      </c>
      <c r="G368" t="str">
        <f t="shared" si="15"/>
        <v>Mid-low</v>
      </c>
      <c r="H368">
        <v>1</v>
      </c>
      <c r="I368">
        <v>1</v>
      </c>
      <c r="J368">
        <v>2</v>
      </c>
      <c r="K368" s="1">
        <v>41210</v>
      </c>
      <c r="L368">
        <v>69</v>
      </c>
      <c r="M368" t="str">
        <f t="shared" si="16"/>
        <v>Inactive</v>
      </c>
      <c r="N368">
        <v>0</v>
      </c>
      <c r="O368">
        <v>159</v>
      </c>
      <c r="P368">
        <v>4</v>
      </c>
      <c r="Q368">
        <v>45</v>
      </c>
      <c r="R368">
        <v>6</v>
      </c>
      <c r="S368">
        <v>2</v>
      </c>
      <c r="T368">
        <v>38</v>
      </c>
      <c r="U368">
        <v>254</v>
      </c>
      <c r="V368">
        <v>6</v>
      </c>
      <c r="W368">
        <v>5</v>
      </c>
      <c r="X368">
        <v>1</v>
      </c>
      <c r="Y368">
        <v>4</v>
      </c>
      <c r="Z368">
        <v>10</v>
      </c>
      <c r="AA368">
        <v>8</v>
      </c>
      <c r="AB368" t="str">
        <f t="shared" si="17"/>
        <v>Below average customer</v>
      </c>
    </row>
    <row r="369" spans="1:28" x14ac:dyDescent="0.35">
      <c r="A369">
        <v>2557</v>
      </c>
      <c r="B369">
        <v>1970</v>
      </c>
      <c r="C369" t="s">
        <v>28</v>
      </c>
      <c r="D369" t="s">
        <v>34</v>
      </c>
      <c r="E369" t="s">
        <v>27</v>
      </c>
      <c r="F369">
        <v>29548</v>
      </c>
      <c r="G369" t="str">
        <f t="shared" si="15"/>
        <v>Low</v>
      </c>
      <c r="H369">
        <v>1</v>
      </c>
      <c r="I369">
        <v>0</v>
      </c>
      <c r="J369">
        <v>1</v>
      </c>
      <c r="K369" s="1">
        <v>41515</v>
      </c>
      <c r="L369">
        <v>52</v>
      </c>
      <c r="M369" t="str">
        <f t="shared" si="16"/>
        <v>Inactive</v>
      </c>
      <c r="N369">
        <v>0</v>
      </c>
      <c r="O369">
        <v>7</v>
      </c>
      <c r="P369">
        <v>1</v>
      </c>
      <c r="Q369">
        <v>6</v>
      </c>
      <c r="R369">
        <v>3</v>
      </c>
      <c r="S369">
        <v>1</v>
      </c>
      <c r="T369">
        <v>11</v>
      </c>
      <c r="U369">
        <v>29</v>
      </c>
      <c r="V369">
        <v>1</v>
      </c>
      <c r="W369">
        <v>1</v>
      </c>
      <c r="X369">
        <v>1</v>
      </c>
      <c r="Y369">
        <v>2</v>
      </c>
      <c r="Z369">
        <v>4</v>
      </c>
      <c r="AA369">
        <v>4</v>
      </c>
      <c r="AB369" t="str">
        <f t="shared" si="17"/>
        <v>Below average customer</v>
      </c>
    </row>
    <row r="370" spans="1:28" x14ac:dyDescent="0.35">
      <c r="A370">
        <v>1245</v>
      </c>
      <c r="B370">
        <v>1966</v>
      </c>
      <c r="C370" t="s">
        <v>28</v>
      </c>
      <c r="D370" t="s">
        <v>26</v>
      </c>
      <c r="E370" t="s">
        <v>27</v>
      </c>
      <c r="F370">
        <v>63810</v>
      </c>
      <c r="G370" t="str">
        <f t="shared" si="15"/>
        <v>Mid-high</v>
      </c>
      <c r="H370">
        <v>0</v>
      </c>
      <c r="I370">
        <v>1</v>
      </c>
      <c r="J370">
        <v>1</v>
      </c>
      <c r="K370" s="1">
        <v>41224</v>
      </c>
      <c r="L370">
        <v>45</v>
      </c>
      <c r="M370" t="str">
        <f t="shared" si="16"/>
        <v>Active</v>
      </c>
      <c r="N370">
        <v>0</v>
      </c>
      <c r="O370">
        <v>977</v>
      </c>
      <c r="P370">
        <v>12</v>
      </c>
      <c r="Q370">
        <v>253</v>
      </c>
      <c r="R370">
        <v>16</v>
      </c>
      <c r="S370">
        <v>12</v>
      </c>
      <c r="T370">
        <v>101</v>
      </c>
      <c r="U370">
        <v>1371</v>
      </c>
      <c r="V370">
        <v>4</v>
      </c>
      <c r="W370">
        <v>4</v>
      </c>
      <c r="X370">
        <v>3</v>
      </c>
      <c r="Y370">
        <v>12</v>
      </c>
      <c r="Z370">
        <v>19</v>
      </c>
      <c r="AA370">
        <v>8</v>
      </c>
      <c r="AB370" t="str">
        <f t="shared" si="17"/>
        <v>Above average customer</v>
      </c>
    </row>
    <row r="371" spans="1:28" x14ac:dyDescent="0.35">
      <c r="A371">
        <v>1519</v>
      </c>
      <c r="B371">
        <v>1972</v>
      </c>
      <c r="C371" t="s">
        <v>28</v>
      </c>
      <c r="D371" t="s">
        <v>32</v>
      </c>
      <c r="E371" t="s">
        <v>27</v>
      </c>
      <c r="F371">
        <v>38578</v>
      </c>
      <c r="G371" t="str">
        <f t="shared" si="15"/>
        <v>Mid-low</v>
      </c>
      <c r="H371">
        <v>1</v>
      </c>
      <c r="I371">
        <v>1</v>
      </c>
      <c r="J371">
        <v>2</v>
      </c>
      <c r="K371" s="1">
        <v>41447</v>
      </c>
      <c r="L371">
        <v>2</v>
      </c>
      <c r="M371" t="str">
        <f t="shared" si="16"/>
        <v>Active</v>
      </c>
      <c r="N371">
        <v>0</v>
      </c>
      <c r="O371">
        <v>38</v>
      </c>
      <c r="P371">
        <v>4</v>
      </c>
      <c r="Q371">
        <v>22</v>
      </c>
      <c r="R371">
        <v>3</v>
      </c>
      <c r="S371">
        <v>3</v>
      </c>
      <c r="T371">
        <v>3</v>
      </c>
      <c r="U371">
        <v>73</v>
      </c>
      <c r="V371">
        <v>3</v>
      </c>
      <c r="W371">
        <v>3</v>
      </c>
      <c r="X371">
        <v>0</v>
      </c>
      <c r="Y371">
        <v>3</v>
      </c>
      <c r="Z371">
        <v>6</v>
      </c>
      <c r="AA371">
        <v>8</v>
      </c>
      <c r="AB371" t="str">
        <f t="shared" si="17"/>
        <v>Below average customer</v>
      </c>
    </row>
    <row r="372" spans="1:28" x14ac:dyDescent="0.35">
      <c r="A372">
        <v>10703</v>
      </c>
      <c r="B372">
        <v>1975</v>
      </c>
      <c r="C372" t="s">
        <v>31</v>
      </c>
      <c r="D372" t="s">
        <v>34</v>
      </c>
      <c r="E372" t="s">
        <v>27</v>
      </c>
      <c r="F372">
        <v>46098</v>
      </c>
      <c r="G372" t="str">
        <f t="shared" si="15"/>
        <v>Mid-low</v>
      </c>
      <c r="H372">
        <v>1</v>
      </c>
      <c r="I372">
        <v>1</v>
      </c>
      <c r="J372">
        <v>2</v>
      </c>
      <c r="K372" s="1">
        <v>41139</v>
      </c>
      <c r="L372">
        <v>86</v>
      </c>
      <c r="M372" t="str">
        <f t="shared" si="16"/>
        <v>Inactive</v>
      </c>
      <c r="N372">
        <v>0</v>
      </c>
      <c r="O372">
        <v>57</v>
      </c>
      <c r="P372">
        <v>0</v>
      </c>
      <c r="Q372">
        <v>27</v>
      </c>
      <c r="R372">
        <v>0</v>
      </c>
      <c r="S372">
        <v>0</v>
      </c>
      <c r="T372">
        <v>36</v>
      </c>
      <c r="U372">
        <v>120</v>
      </c>
      <c r="V372">
        <v>4</v>
      </c>
      <c r="W372">
        <v>3</v>
      </c>
      <c r="X372">
        <v>2</v>
      </c>
      <c r="Y372">
        <v>2</v>
      </c>
      <c r="Z372">
        <v>7</v>
      </c>
      <c r="AA372">
        <v>8</v>
      </c>
      <c r="AB372" t="str">
        <f t="shared" si="17"/>
        <v>Below average customer</v>
      </c>
    </row>
    <row r="373" spans="1:28" x14ac:dyDescent="0.35">
      <c r="A373">
        <v>1726</v>
      </c>
      <c r="B373">
        <v>1970</v>
      </c>
      <c r="C373" t="s">
        <v>28</v>
      </c>
      <c r="D373" t="s">
        <v>26</v>
      </c>
      <c r="E373" t="s">
        <v>27</v>
      </c>
      <c r="F373">
        <v>22585</v>
      </c>
      <c r="G373" t="str">
        <f t="shared" si="15"/>
        <v>Low</v>
      </c>
      <c r="H373">
        <v>0</v>
      </c>
      <c r="I373">
        <v>0</v>
      </c>
      <c r="J373">
        <v>0</v>
      </c>
      <c r="K373" s="1">
        <v>41351</v>
      </c>
      <c r="L373">
        <v>23</v>
      </c>
      <c r="M373" t="str">
        <f t="shared" si="16"/>
        <v>Active</v>
      </c>
      <c r="N373">
        <v>0</v>
      </c>
      <c r="O373">
        <v>3</v>
      </c>
      <c r="P373">
        <v>9</v>
      </c>
      <c r="Q373">
        <v>15</v>
      </c>
      <c r="R373">
        <v>13</v>
      </c>
      <c r="S373">
        <v>2</v>
      </c>
      <c r="T373">
        <v>39</v>
      </c>
      <c r="U373">
        <v>81</v>
      </c>
      <c r="V373">
        <v>1</v>
      </c>
      <c r="W373">
        <v>1</v>
      </c>
      <c r="X373">
        <v>1</v>
      </c>
      <c r="Y373">
        <v>2</v>
      </c>
      <c r="Z373">
        <v>4</v>
      </c>
      <c r="AA373">
        <v>9</v>
      </c>
      <c r="AB373" t="str">
        <f t="shared" si="17"/>
        <v>Below average customer</v>
      </c>
    </row>
    <row r="374" spans="1:28" x14ac:dyDescent="0.35">
      <c r="A374">
        <v>4459</v>
      </c>
      <c r="B374">
        <v>1989</v>
      </c>
      <c r="C374" t="s">
        <v>30</v>
      </c>
      <c r="D374" t="s">
        <v>26</v>
      </c>
      <c r="E374" t="s">
        <v>27</v>
      </c>
      <c r="F374">
        <v>30279</v>
      </c>
      <c r="G374" t="str">
        <f t="shared" si="15"/>
        <v>Low</v>
      </c>
      <c r="H374">
        <v>1</v>
      </c>
      <c r="I374">
        <v>0</v>
      </c>
      <c r="J374">
        <v>1</v>
      </c>
      <c r="K374" s="1">
        <v>41273</v>
      </c>
      <c r="L374">
        <v>13</v>
      </c>
      <c r="M374" t="str">
        <f t="shared" si="16"/>
        <v>Active</v>
      </c>
      <c r="N374">
        <v>0</v>
      </c>
      <c r="O374">
        <v>10</v>
      </c>
      <c r="P374">
        <v>4</v>
      </c>
      <c r="Q374">
        <v>14</v>
      </c>
      <c r="R374">
        <v>4</v>
      </c>
      <c r="S374">
        <v>4</v>
      </c>
      <c r="T374">
        <v>1</v>
      </c>
      <c r="U374">
        <v>37</v>
      </c>
      <c r="V374">
        <v>1</v>
      </c>
      <c r="W374">
        <v>1</v>
      </c>
      <c r="X374">
        <v>0</v>
      </c>
      <c r="Y374">
        <v>3</v>
      </c>
      <c r="Z374">
        <v>4</v>
      </c>
      <c r="AA374">
        <v>8</v>
      </c>
      <c r="AB374" t="str">
        <f t="shared" si="17"/>
        <v>Below average customer</v>
      </c>
    </row>
    <row r="375" spans="1:28" x14ac:dyDescent="0.35">
      <c r="A375">
        <v>1729</v>
      </c>
      <c r="B375">
        <v>1961</v>
      </c>
      <c r="C375" t="s">
        <v>25</v>
      </c>
      <c r="D375" t="s">
        <v>32</v>
      </c>
      <c r="E375" t="s">
        <v>29</v>
      </c>
      <c r="F375">
        <v>66426</v>
      </c>
      <c r="G375" t="str">
        <f t="shared" si="15"/>
        <v>Mid-high</v>
      </c>
      <c r="H375">
        <v>0</v>
      </c>
      <c r="I375">
        <v>1</v>
      </c>
      <c r="J375">
        <v>1</v>
      </c>
      <c r="K375" s="1">
        <v>41549</v>
      </c>
      <c r="L375">
        <v>14</v>
      </c>
      <c r="M375" t="str">
        <f t="shared" si="16"/>
        <v>Active</v>
      </c>
      <c r="N375">
        <v>0</v>
      </c>
      <c r="O375">
        <v>1043</v>
      </c>
      <c r="P375">
        <v>24</v>
      </c>
      <c r="Q375">
        <v>97</v>
      </c>
      <c r="R375">
        <v>32</v>
      </c>
      <c r="S375">
        <v>24</v>
      </c>
      <c r="T375">
        <v>157</v>
      </c>
      <c r="U375">
        <v>1377</v>
      </c>
      <c r="V375">
        <v>2</v>
      </c>
      <c r="W375">
        <v>3</v>
      </c>
      <c r="X375">
        <v>5</v>
      </c>
      <c r="Y375">
        <v>10</v>
      </c>
      <c r="Z375">
        <v>18</v>
      </c>
      <c r="AA375">
        <v>6</v>
      </c>
      <c r="AB375" t="str">
        <f t="shared" si="17"/>
        <v>Above average customer</v>
      </c>
    </row>
    <row r="376" spans="1:28" x14ac:dyDescent="0.35">
      <c r="A376">
        <v>1517</v>
      </c>
      <c r="B376">
        <v>1969</v>
      </c>
      <c r="C376" t="s">
        <v>28</v>
      </c>
      <c r="D376" t="s">
        <v>26</v>
      </c>
      <c r="E376" t="s">
        <v>27</v>
      </c>
      <c r="F376">
        <v>30822</v>
      </c>
      <c r="G376" t="str">
        <f t="shared" si="15"/>
        <v>Low</v>
      </c>
      <c r="H376">
        <v>1</v>
      </c>
      <c r="I376">
        <v>0</v>
      </c>
      <c r="J376">
        <v>1</v>
      </c>
      <c r="K376" s="1">
        <v>41439</v>
      </c>
      <c r="L376">
        <v>92</v>
      </c>
      <c r="M376" t="str">
        <f t="shared" si="16"/>
        <v>Inactive</v>
      </c>
      <c r="N376">
        <v>0</v>
      </c>
      <c r="O376">
        <v>3</v>
      </c>
      <c r="P376">
        <v>9</v>
      </c>
      <c r="Q376">
        <v>13</v>
      </c>
      <c r="R376">
        <v>2</v>
      </c>
      <c r="S376">
        <v>12</v>
      </c>
      <c r="T376">
        <v>12</v>
      </c>
      <c r="U376">
        <v>51</v>
      </c>
      <c r="V376">
        <v>1</v>
      </c>
      <c r="W376">
        <v>1</v>
      </c>
      <c r="X376">
        <v>0</v>
      </c>
      <c r="Y376">
        <v>3</v>
      </c>
      <c r="Z376">
        <v>4</v>
      </c>
      <c r="AA376">
        <v>7</v>
      </c>
      <c r="AB376" t="str">
        <f t="shared" si="17"/>
        <v>Below average customer</v>
      </c>
    </row>
    <row r="377" spans="1:28" x14ac:dyDescent="0.35">
      <c r="A377">
        <v>2098</v>
      </c>
      <c r="B377">
        <v>1969</v>
      </c>
      <c r="C377" t="s">
        <v>28</v>
      </c>
      <c r="D377" t="s">
        <v>32</v>
      </c>
      <c r="E377" t="s">
        <v>33</v>
      </c>
      <c r="F377">
        <v>33581</v>
      </c>
      <c r="G377" t="str">
        <f t="shared" si="15"/>
        <v>Low</v>
      </c>
      <c r="H377">
        <v>2</v>
      </c>
      <c r="I377">
        <v>0</v>
      </c>
      <c r="J377">
        <v>2</v>
      </c>
      <c r="K377" s="1">
        <v>41282</v>
      </c>
      <c r="L377">
        <v>38</v>
      </c>
      <c r="M377" t="str">
        <f t="shared" si="16"/>
        <v>Active</v>
      </c>
      <c r="N377">
        <v>0</v>
      </c>
      <c r="O377">
        <v>11</v>
      </c>
      <c r="P377">
        <v>0</v>
      </c>
      <c r="Q377">
        <v>5</v>
      </c>
      <c r="R377">
        <v>0</v>
      </c>
      <c r="S377">
        <v>0</v>
      </c>
      <c r="T377">
        <v>1</v>
      </c>
      <c r="U377">
        <v>17</v>
      </c>
      <c r="V377">
        <v>1</v>
      </c>
      <c r="W377">
        <v>1</v>
      </c>
      <c r="X377">
        <v>0</v>
      </c>
      <c r="Y377">
        <v>2</v>
      </c>
      <c r="Z377">
        <v>3</v>
      </c>
      <c r="AA377">
        <v>8</v>
      </c>
      <c r="AB377" t="str">
        <f t="shared" si="17"/>
        <v>Below average customer</v>
      </c>
    </row>
    <row r="378" spans="1:28" x14ac:dyDescent="0.35">
      <c r="A378">
        <v>9543</v>
      </c>
      <c r="B378">
        <v>1985</v>
      </c>
      <c r="C378" t="s">
        <v>30</v>
      </c>
      <c r="D378" t="s">
        <v>26</v>
      </c>
      <c r="E378" t="s">
        <v>33</v>
      </c>
      <c r="F378">
        <v>19986</v>
      </c>
      <c r="G378" t="str">
        <f t="shared" si="15"/>
        <v>Low</v>
      </c>
      <c r="H378">
        <v>1</v>
      </c>
      <c r="I378">
        <v>0</v>
      </c>
      <c r="J378">
        <v>1</v>
      </c>
      <c r="K378" s="1">
        <v>41592</v>
      </c>
      <c r="L378">
        <v>74</v>
      </c>
      <c r="M378" t="str">
        <f t="shared" si="16"/>
        <v>Inactive</v>
      </c>
      <c r="N378">
        <v>0</v>
      </c>
      <c r="O378">
        <v>3</v>
      </c>
      <c r="P378">
        <v>6</v>
      </c>
      <c r="Q378">
        <v>5</v>
      </c>
      <c r="R378">
        <v>0</v>
      </c>
      <c r="S378">
        <v>2</v>
      </c>
      <c r="T378">
        <v>6</v>
      </c>
      <c r="U378">
        <v>22</v>
      </c>
      <c r="V378">
        <v>1</v>
      </c>
      <c r="W378">
        <v>0</v>
      </c>
      <c r="X378">
        <v>0</v>
      </c>
      <c r="Y378">
        <v>3</v>
      </c>
      <c r="Z378">
        <v>3</v>
      </c>
      <c r="AA378">
        <v>7</v>
      </c>
      <c r="AB378" t="str">
        <f t="shared" si="17"/>
        <v>Below average customer</v>
      </c>
    </row>
    <row r="379" spans="1:28" x14ac:dyDescent="0.35">
      <c r="A379">
        <v>6878</v>
      </c>
      <c r="B379">
        <v>1954</v>
      </c>
      <c r="C379" t="s">
        <v>25</v>
      </c>
      <c r="D379" t="s">
        <v>26</v>
      </c>
      <c r="E379" t="s">
        <v>38</v>
      </c>
      <c r="F379">
        <v>27421</v>
      </c>
      <c r="G379" t="str">
        <f t="shared" si="15"/>
        <v>Low</v>
      </c>
      <c r="H379">
        <v>0</v>
      </c>
      <c r="I379">
        <v>0</v>
      </c>
      <c r="J379">
        <v>0</v>
      </c>
      <c r="K379" s="1">
        <v>41255</v>
      </c>
      <c r="L379">
        <v>14</v>
      </c>
      <c r="M379" t="str">
        <f t="shared" si="16"/>
        <v>Active</v>
      </c>
      <c r="N379">
        <v>0</v>
      </c>
      <c r="O379">
        <v>43</v>
      </c>
      <c r="P379">
        <v>12</v>
      </c>
      <c r="Q379">
        <v>96</v>
      </c>
      <c r="R379">
        <v>78</v>
      </c>
      <c r="S379">
        <v>40</v>
      </c>
      <c r="T379">
        <v>55</v>
      </c>
      <c r="U379">
        <v>324</v>
      </c>
      <c r="V379">
        <v>3</v>
      </c>
      <c r="W379">
        <v>4</v>
      </c>
      <c r="X379">
        <v>1</v>
      </c>
      <c r="Y379">
        <v>6</v>
      </c>
      <c r="Z379">
        <v>11</v>
      </c>
      <c r="AA379">
        <v>7</v>
      </c>
      <c r="AB379" t="str">
        <f t="shared" si="17"/>
        <v>Below average customer</v>
      </c>
    </row>
    <row r="380" spans="1:28" x14ac:dyDescent="0.35">
      <c r="A380">
        <v>2724</v>
      </c>
      <c r="B380">
        <v>1981</v>
      </c>
      <c r="C380" t="s">
        <v>31</v>
      </c>
      <c r="D380" t="s">
        <v>34</v>
      </c>
      <c r="E380" t="s">
        <v>27</v>
      </c>
      <c r="F380">
        <v>36143</v>
      </c>
      <c r="G380" t="str">
        <f t="shared" si="15"/>
        <v>Mid-low</v>
      </c>
      <c r="H380">
        <v>1</v>
      </c>
      <c r="I380">
        <v>0</v>
      </c>
      <c r="J380">
        <v>1</v>
      </c>
      <c r="K380" s="1">
        <v>41728</v>
      </c>
      <c r="L380">
        <v>33</v>
      </c>
      <c r="M380" t="str">
        <f t="shared" si="16"/>
        <v>Active</v>
      </c>
      <c r="N380">
        <v>0</v>
      </c>
      <c r="O380">
        <v>12</v>
      </c>
      <c r="P380">
        <v>0</v>
      </c>
      <c r="Q380">
        <v>1</v>
      </c>
      <c r="R380">
        <v>0</v>
      </c>
      <c r="S380">
        <v>0</v>
      </c>
      <c r="T380">
        <v>6</v>
      </c>
      <c r="U380">
        <v>19</v>
      </c>
      <c r="V380">
        <v>1</v>
      </c>
      <c r="W380">
        <v>0</v>
      </c>
      <c r="X380">
        <v>1</v>
      </c>
      <c r="Y380">
        <v>2</v>
      </c>
      <c r="Z380">
        <v>3</v>
      </c>
      <c r="AA380">
        <v>3</v>
      </c>
      <c r="AB380" t="str">
        <f t="shared" si="17"/>
        <v>Below average customer</v>
      </c>
    </row>
    <row r="381" spans="1:28" x14ac:dyDescent="0.35">
      <c r="A381">
        <v>948</v>
      </c>
      <c r="B381">
        <v>1971</v>
      </c>
      <c r="C381" t="s">
        <v>28</v>
      </c>
      <c r="D381" t="s">
        <v>26</v>
      </c>
      <c r="E381" t="s">
        <v>27</v>
      </c>
      <c r="F381">
        <v>10245</v>
      </c>
      <c r="G381" t="str">
        <f t="shared" si="15"/>
        <v>Low</v>
      </c>
      <c r="H381">
        <v>1</v>
      </c>
      <c r="I381">
        <v>0</v>
      </c>
      <c r="J381">
        <v>1</v>
      </c>
      <c r="K381" s="1">
        <v>41409</v>
      </c>
      <c r="L381">
        <v>32</v>
      </c>
      <c r="M381" t="str">
        <f t="shared" si="16"/>
        <v>Active</v>
      </c>
      <c r="N381">
        <v>0</v>
      </c>
      <c r="O381">
        <v>4</v>
      </c>
      <c r="P381">
        <v>7</v>
      </c>
      <c r="Q381">
        <v>7</v>
      </c>
      <c r="R381">
        <v>6</v>
      </c>
      <c r="S381">
        <v>4</v>
      </c>
      <c r="T381">
        <v>13</v>
      </c>
      <c r="U381">
        <v>41</v>
      </c>
      <c r="V381">
        <v>3</v>
      </c>
      <c r="W381">
        <v>1</v>
      </c>
      <c r="X381">
        <v>2</v>
      </c>
      <c r="Y381">
        <v>2</v>
      </c>
      <c r="Z381">
        <v>5</v>
      </c>
      <c r="AA381">
        <v>5</v>
      </c>
      <c r="AB381" t="str">
        <f t="shared" si="17"/>
        <v>Below average customer</v>
      </c>
    </row>
    <row r="382" spans="1:28" x14ac:dyDescent="0.35">
      <c r="A382">
        <v>6720</v>
      </c>
      <c r="B382">
        <v>1968</v>
      </c>
      <c r="C382" t="s">
        <v>28</v>
      </c>
      <c r="D382" t="s">
        <v>34</v>
      </c>
      <c r="E382" t="s">
        <v>29</v>
      </c>
      <c r="F382">
        <v>43795</v>
      </c>
      <c r="G382" t="str">
        <f t="shared" si="15"/>
        <v>Mid-low</v>
      </c>
      <c r="H382">
        <v>0</v>
      </c>
      <c r="I382">
        <v>1</v>
      </c>
      <c r="J382">
        <v>1</v>
      </c>
      <c r="K382" s="1">
        <v>41563</v>
      </c>
      <c r="L382">
        <v>11</v>
      </c>
      <c r="M382" t="str">
        <f t="shared" si="16"/>
        <v>Active</v>
      </c>
      <c r="N382">
        <v>0</v>
      </c>
      <c r="O382">
        <v>314</v>
      </c>
      <c r="P382">
        <v>11</v>
      </c>
      <c r="Q382">
        <v>53</v>
      </c>
      <c r="R382">
        <v>4</v>
      </c>
      <c r="S382">
        <v>3</v>
      </c>
      <c r="T382">
        <v>107</v>
      </c>
      <c r="U382">
        <v>492</v>
      </c>
      <c r="V382">
        <v>3</v>
      </c>
      <c r="W382">
        <v>7</v>
      </c>
      <c r="X382">
        <v>3</v>
      </c>
      <c r="Y382">
        <v>4</v>
      </c>
      <c r="Z382">
        <v>14</v>
      </c>
      <c r="AA382">
        <v>7</v>
      </c>
      <c r="AB382" t="str">
        <f t="shared" si="17"/>
        <v>Below average customer</v>
      </c>
    </row>
    <row r="383" spans="1:28" x14ac:dyDescent="0.35">
      <c r="A383">
        <v>6202</v>
      </c>
      <c r="B383">
        <v>1960</v>
      </c>
      <c r="C383" t="s">
        <v>25</v>
      </c>
      <c r="D383" t="s">
        <v>26</v>
      </c>
      <c r="E383" t="s">
        <v>29</v>
      </c>
      <c r="F383">
        <v>63381</v>
      </c>
      <c r="G383" t="str">
        <f t="shared" si="15"/>
        <v>Mid-high</v>
      </c>
      <c r="H383">
        <v>0</v>
      </c>
      <c r="I383">
        <v>1</v>
      </c>
      <c r="J383">
        <v>1</v>
      </c>
      <c r="K383" s="1">
        <v>41187</v>
      </c>
      <c r="L383">
        <v>78</v>
      </c>
      <c r="M383" t="str">
        <f t="shared" si="16"/>
        <v>Inactive</v>
      </c>
      <c r="N383">
        <v>0</v>
      </c>
      <c r="O383">
        <v>571</v>
      </c>
      <c r="P383">
        <v>50</v>
      </c>
      <c r="Q383">
        <v>142</v>
      </c>
      <c r="R383">
        <v>33</v>
      </c>
      <c r="S383">
        <v>50</v>
      </c>
      <c r="T383">
        <v>159</v>
      </c>
      <c r="U383">
        <v>1005</v>
      </c>
      <c r="V383">
        <v>4</v>
      </c>
      <c r="W383">
        <v>4</v>
      </c>
      <c r="X383">
        <v>5</v>
      </c>
      <c r="Y383">
        <v>13</v>
      </c>
      <c r="Z383">
        <v>22</v>
      </c>
      <c r="AA383">
        <v>2</v>
      </c>
      <c r="AB383" t="str">
        <f t="shared" si="17"/>
        <v>Below average customer</v>
      </c>
    </row>
    <row r="384" spans="1:28" x14ac:dyDescent="0.35">
      <c r="A384">
        <v>2066</v>
      </c>
      <c r="B384">
        <v>1949</v>
      </c>
      <c r="C384" t="s">
        <v>36</v>
      </c>
      <c r="D384" t="s">
        <v>26</v>
      </c>
      <c r="E384" t="s">
        <v>29</v>
      </c>
      <c r="F384">
        <v>38823</v>
      </c>
      <c r="G384" t="str">
        <f t="shared" si="15"/>
        <v>Mid-low</v>
      </c>
      <c r="H384">
        <v>0</v>
      </c>
      <c r="I384">
        <v>1</v>
      </c>
      <c r="J384">
        <v>1</v>
      </c>
      <c r="K384" s="1">
        <v>41151</v>
      </c>
      <c r="L384">
        <v>56</v>
      </c>
      <c r="M384" t="str">
        <f t="shared" si="16"/>
        <v>Inactive</v>
      </c>
      <c r="N384">
        <v>0</v>
      </c>
      <c r="O384">
        <v>70</v>
      </c>
      <c r="P384">
        <v>0</v>
      </c>
      <c r="Q384">
        <v>11</v>
      </c>
      <c r="R384">
        <v>2</v>
      </c>
      <c r="S384">
        <v>8</v>
      </c>
      <c r="T384">
        <v>23</v>
      </c>
      <c r="U384">
        <v>114</v>
      </c>
      <c r="V384">
        <v>1</v>
      </c>
      <c r="W384">
        <v>2</v>
      </c>
      <c r="X384">
        <v>1</v>
      </c>
      <c r="Y384">
        <v>3</v>
      </c>
      <c r="Z384">
        <v>6</v>
      </c>
      <c r="AA384">
        <v>6</v>
      </c>
      <c r="AB384" t="str">
        <f t="shared" si="17"/>
        <v>Below average customer</v>
      </c>
    </row>
    <row r="385" spans="1:28" x14ac:dyDescent="0.35">
      <c r="A385">
        <v>9799</v>
      </c>
      <c r="B385">
        <v>1968</v>
      </c>
      <c r="C385" t="s">
        <v>28</v>
      </c>
      <c r="D385" t="s">
        <v>32</v>
      </c>
      <c r="E385" t="s">
        <v>35</v>
      </c>
      <c r="F385">
        <v>83664</v>
      </c>
      <c r="G385" t="str">
        <f t="shared" si="15"/>
        <v>High</v>
      </c>
      <c r="H385">
        <v>1</v>
      </c>
      <c r="I385">
        <v>1</v>
      </c>
      <c r="J385">
        <v>2</v>
      </c>
      <c r="K385" s="1">
        <v>41402</v>
      </c>
      <c r="L385">
        <v>57</v>
      </c>
      <c r="M385" t="str">
        <f t="shared" si="16"/>
        <v>Inactive</v>
      </c>
      <c r="N385">
        <v>0</v>
      </c>
      <c r="O385">
        <v>866</v>
      </c>
      <c r="P385">
        <v>21</v>
      </c>
      <c r="Q385">
        <v>151</v>
      </c>
      <c r="R385">
        <v>28</v>
      </c>
      <c r="S385">
        <v>21</v>
      </c>
      <c r="T385">
        <v>86</v>
      </c>
      <c r="U385">
        <v>1173</v>
      </c>
      <c r="V385">
        <v>3</v>
      </c>
      <c r="W385">
        <v>2</v>
      </c>
      <c r="X385">
        <v>2</v>
      </c>
      <c r="Y385">
        <v>12</v>
      </c>
      <c r="Z385">
        <v>16</v>
      </c>
      <c r="AA385">
        <v>5</v>
      </c>
      <c r="AB385" t="str">
        <f t="shared" si="17"/>
        <v>Below average customer</v>
      </c>
    </row>
    <row r="386" spans="1:28" x14ac:dyDescent="0.35">
      <c r="A386">
        <v>8318</v>
      </c>
      <c r="B386">
        <v>1979</v>
      </c>
      <c r="C386" t="s">
        <v>31</v>
      </c>
      <c r="D386" t="s">
        <v>26</v>
      </c>
      <c r="E386" t="s">
        <v>29</v>
      </c>
      <c r="F386">
        <v>90300</v>
      </c>
      <c r="G386" t="str">
        <f t="shared" ref="G386:G449" si="18">IF(F386&lt;=_xlfn.PERCENTILE.INC($F$2:$F$2056,0.25),"Low",IF(F386&lt;=_xlfn.PERCENTILE.INC($F$2:$F$2056,0.5),"Mid-low",IF(F386&lt;=_xlfn.PERCENTILE.INC($F$2:$F$2056,0.75),"Mid-high","High")))</f>
        <v>High</v>
      </c>
      <c r="H386">
        <v>0</v>
      </c>
      <c r="I386">
        <v>0</v>
      </c>
      <c r="J386">
        <v>0</v>
      </c>
      <c r="K386" s="1">
        <v>41642</v>
      </c>
      <c r="L386">
        <v>7</v>
      </c>
      <c r="M386" t="str">
        <f t="shared" ref="M386:M449" si="19">IF(L386&gt;AVERAGE($L$2:$L$2056),"Inactive","Active")</f>
        <v>Active</v>
      </c>
      <c r="N386">
        <v>0</v>
      </c>
      <c r="O386">
        <v>594</v>
      </c>
      <c r="P386">
        <v>134</v>
      </c>
      <c r="Q386">
        <v>786</v>
      </c>
      <c r="R386">
        <v>33</v>
      </c>
      <c r="S386">
        <v>134</v>
      </c>
      <c r="T386">
        <v>57</v>
      </c>
      <c r="U386">
        <v>1738</v>
      </c>
      <c r="V386">
        <v>0</v>
      </c>
      <c r="W386">
        <v>5</v>
      </c>
      <c r="X386">
        <v>6</v>
      </c>
      <c r="Y386">
        <v>8</v>
      </c>
      <c r="Z386">
        <v>19</v>
      </c>
      <c r="AA386">
        <v>1</v>
      </c>
      <c r="AB386" t="str">
        <f t="shared" ref="AB386:AB449" si="20">IF(AND(Z386&gt;AVERAGE($Z$2:$Z$2056),U386&gt;AVERAGE($U$2:$U$2056),N386=0,L386&lt;AVERAGE($L$2:$L$2056),F386&gt;AVERAGE($F$2:$F$2240)),"Above average customer","Below average customer")</f>
        <v>Above average customer</v>
      </c>
    </row>
    <row r="387" spans="1:28" x14ac:dyDescent="0.35">
      <c r="A387">
        <v>5642</v>
      </c>
      <c r="B387">
        <v>1979</v>
      </c>
      <c r="C387" t="s">
        <v>31</v>
      </c>
      <c r="D387" t="s">
        <v>34</v>
      </c>
      <c r="E387" t="s">
        <v>29</v>
      </c>
      <c r="F387">
        <v>62499</v>
      </c>
      <c r="G387" t="str">
        <f t="shared" si="18"/>
        <v>Mid-high</v>
      </c>
      <c r="H387">
        <v>1</v>
      </c>
      <c r="I387">
        <v>0</v>
      </c>
      <c r="J387">
        <v>1</v>
      </c>
      <c r="K387" s="1">
        <v>41617</v>
      </c>
      <c r="L387">
        <v>0</v>
      </c>
      <c r="M387" t="str">
        <f t="shared" si="19"/>
        <v>Active</v>
      </c>
      <c r="N387">
        <v>0</v>
      </c>
      <c r="O387">
        <v>140</v>
      </c>
      <c r="P387">
        <v>4</v>
      </c>
      <c r="Q387">
        <v>61</v>
      </c>
      <c r="R387">
        <v>0</v>
      </c>
      <c r="S387">
        <v>13</v>
      </c>
      <c r="T387">
        <v>4</v>
      </c>
      <c r="U387">
        <v>222</v>
      </c>
      <c r="V387">
        <v>2</v>
      </c>
      <c r="W387">
        <v>3</v>
      </c>
      <c r="X387">
        <v>1</v>
      </c>
      <c r="Y387">
        <v>6</v>
      </c>
      <c r="Z387">
        <v>10</v>
      </c>
      <c r="AA387">
        <v>4</v>
      </c>
      <c r="AB387" t="str">
        <f t="shared" si="20"/>
        <v>Below average customer</v>
      </c>
    </row>
    <row r="388" spans="1:28" x14ac:dyDescent="0.35">
      <c r="A388">
        <v>2669</v>
      </c>
      <c r="B388">
        <v>1993</v>
      </c>
      <c r="C388" t="s">
        <v>30</v>
      </c>
      <c r="D388" t="s">
        <v>26</v>
      </c>
      <c r="E388" t="s">
        <v>27</v>
      </c>
      <c r="F388">
        <v>74293</v>
      </c>
      <c r="G388" t="str">
        <f t="shared" si="18"/>
        <v>High</v>
      </c>
      <c r="H388">
        <v>0</v>
      </c>
      <c r="I388">
        <v>0</v>
      </c>
      <c r="J388">
        <v>0</v>
      </c>
      <c r="K388" s="1">
        <v>41763</v>
      </c>
      <c r="L388">
        <v>66</v>
      </c>
      <c r="M388" t="str">
        <f t="shared" si="19"/>
        <v>Inactive</v>
      </c>
      <c r="N388">
        <v>0</v>
      </c>
      <c r="O388">
        <v>375</v>
      </c>
      <c r="P388">
        <v>152</v>
      </c>
      <c r="Q388">
        <v>335</v>
      </c>
      <c r="R388">
        <v>93</v>
      </c>
      <c r="S388">
        <v>91</v>
      </c>
      <c r="T388">
        <v>81</v>
      </c>
      <c r="U388">
        <v>1127</v>
      </c>
      <c r="V388">
        <v>1</v>
      </c>
      <c r="W388">
        <v>5</v>
      </c>
      <c r="X388">
        <v>4</v>
      </c>
      <c r="Y388">
        <v>6</v>
      </c>
      <c r="Z388">
        <v>15</v>
      </c>
      <c r="AA388">
        <v>2</v>
      </c>
      <c r="AB388" t="str">
        <f t="shared" si="20"/>
        <v>Below average customer</v>
      </c>
    </row>
    <row r="389" spans="1:28" x14ac:dyDescent="0.35">
      <c r="A389">
        <v>455</v>
      </c>
      <c r="B389">
        <v>1946</v>
      </c>
      <c r="C389" t="s">
        <v>36</v>
      </c>
      <c r="D389" t="s">
        <v>32</v>
      </c>
      <c r="E389" t="s">
        <v>33</v>
      </c>
      <c r="F389">
        <v>51012</v>
      </c>
      <c r="G389" t="str">
        <f t="shared" si="18"/>
        <v>Mid-low</v>
      </c>
      <c r="H389">
        <v>0</v>
      </c>
      <c r="I389">
        <v>0</v>
      </c>
      <c r="J389">
        <v>0</v>
      </c>
      <c r="K389" s="1">
        <v>41382</v>
      </c>
      <c r="L389">
        <v>86</v>
      </c>
      <c r="M389" t="str">
        <f t="shared" si="19"/>
        <v>Inactive</v>
      </c>
      <c r="N389">
        <v>0</v>
      </c>
      <c r="O389">
        <v>102</v>
      </c>
      <c r="P389">
        <v>9</v>
      </c>
      <c r="Q389">
        <v>63</v>
      </c>
      <c r="R389">
        <v>2</v>
      </c>
      <c r="S389">
        <v>9</v>
      </c>
      <c r="T389">
        <v>24</v>
      </c>
      <c r="U389">
        <v>209</v>
      </c>
      <c r="V389">
        <v>1</v>
      </c>
      <c r="W389">
        <v>4</v>
      </c>
      <c r="X389">
        <v>1</v>
      </c>
      <c r="Y389">
        <v>4</v>
      </c>
      <c r="Z389">
        <v>9</v>
      </c>
      <c r="AA389">
        <v>6</v>
      </c>
      <c r="AB389" t="str">
        <f t="shared" si="20"/>
        <v>Below average customer</v>
      </c>
    </row>
    <row r="390" spans="1:28" x14ac:dyDescent="0.35">
      <c r="A390">
        <v>7683</v>
      </c>
      <c r="B390">
        <v>1968</v>
      </c>
      <c r="C390" t="s">
        <v>28</v>
      </c>
      <c r="D390" t="s">
        <v>34</v>
      </c>
      <c r="E390" t="s">
        <v>33</v>
      </c>
      <c r="F390">
        <v>70777</v>
      </c>
      <c r="G390" t="str">
        <f t="shared" si="18"/>
        <v>High</v>
      </c>
      <c r="H390">
        <v>0</v>
      </c>
      <c r="I390">
        <v>1</v>
      </c>
      <c r="J390">
        <v>1</v>
      </c>
      <c r="K390" s="1">
        <v>41695</v>
      </c>
      <c r="L390">
        <v>80</v>
      </c>
      <c r="M390" t="str">
        <f t="shared" si="19"/>
        <v>Inactive</v>
      </c>
      <c r="N390">
        <v>0</v>
      </c>
      <c r="O390">
        <v>554</v>
      </c>
      <c r="P390">
        <v>35</v>
      </c>
      <c r="Q390">
        <v>113</v>
      </c>
      <c r="R390">
        <v>0</v>
      </c>
      <c r="S390">
        <v>7</v>
      </c>
      <c r="T390">
        <v>78</v>
      </c>
      <c r="U390">
        <v>787</v>
      </c>
      <c r="V390">
        <v>3</v>
      </c>
      <c r="W390">
        <v>5</v>
      </c>
      <c r="X390">
        <v>3</v>
      </c>
      <c r="Y390">
        <v>12</v>
      </c>
      <c r="Z390">
        <v>20</v>
      </c>
      <c r="AA390">
        <v>3</v>
      </c>
      <c r="AB390" t="str">
        <f t="shared" si="20"/>
        <v>Below average customer</v>
      </c>
    </row>
    <row r="391" spans="1:28" x14ac:dyDescent="0.35">
      <c r="A391">
        <v>3428</v>
      </c>
      <c r="B391">
        <v>1991</v>
      </c>
      <c r="C391" t="s">
        <v>30</v>
      </c>
      <c r="D391" t="s">
        <v>32</v>
      </c>
      <c r="E391" t="s">
        <v>29</v>
      </c>
      <c r="F391">
        <v>68682</v>
      </c>
      <c r="G391" t="str">
        <f t="shared" si="18"/>
        <v>High</v>
      </c>
      <c r="H391">
        <v>0</v>
      </c>
      <c r="I391">
        <v>0</v>
      </c>
      <c r="J391">
        <v>0</v>
      </c>
      <c r="K391" s="1">
        <v>41553</v>
      </c>
      <c r="L391">
        <v>56</v>
      </c>
      <c r="M391" t="str">
        <f t="shared" si="19"/>
        <v>Inactive</v>
      </c>
      <c r="N391">
        <v>0</v>
      </c>
      <c r="O391">
        <v>919</v>
      </c>
      <c r="P391">
        <v>0</v>
      </c>
      <c r="Q391">
        <v>505</v>
      </c>
      <c r="R391">
        <v>99</v>
      </c>
      <c r="S391">
        <v>30</v>
      </c>
      <c r="T391">
        <v>45</v>
      </c>
      <c r="U391">
        <v>1598</v>
      </c>
      <c r="V391">
        <v>1</v>
      </c>
      <c r="W391">
        <v>4</v>
      </c>
      <c r="X391">
        <v>9</v>
      </c>
      <c r="Y391">
        <v>10</v>
      </c>
      <c r="Z391">
        <v>23</v>
      </c>
      <c r="AA391">
        <v>2</v>
      </c>
      <c r="AB391" t="str">
        <f t="shared" si="20"/>
        <v>Below average customer</v>
      </c>
    </row>
    <row r="392" spans="1:28" x14ac:dyDescent="0.35">
      <c r="A392">
        <v>7414</v>
      </c>
      <c r="B392">
        <v>1971</v>
      </c>
      <c r="C392" t="s">
        <v>28</v>
      </c>
      <c r="D392" t="s">
        <v>26</v>
      </c>
      <c r="E392" t="s">
        <v>33</v>
      </c>
      <c r="F392">
        <v>43824</v>
      </c>
      <c r="G392" t="str">
        <f t="shared" si="18"/>
        <v>Mid-low</v>
      </c>
      <c r="H392">
        <v>1</v>
      </c>
      <c r="I392">
        <v>1</v>
      </c>
      <c r="J392">
        <v>2</v>
      </c>
      <c r="K392" s="1">
        <v>41167</v>
      </c>
      <c r="L392">
        <v>18</v>
      </c>
      <c r="M392" t="str">
        <f t="shared" si="19"/>
        <v>Active</v>
      </c>
      <c r="N392">
        <v>0</v>
      </c>
      <c r="O392">
        <v>96</v>
      </c>
      <c r="P392">
        <v>1</v>
      </c>
      <c r="Q392">
        <v>42</v>
      </c>
      <c r="R392">
        <v>12</v>
      </c>
      <c r="S392">
        <v>3</v>
      </c>
      <c r="T392">
        <v>32</v>
      </c>
      <c r="U392">
        <v>186</v>
      </c>
      <c r="V392">
        <v>4</v>
      </c>
      <c r="W392">
        <v>3</v>
      </c>
      <c r="X392">
        <v>1</v>
      </c>
      <c r="Y392">
        <v>4</v>
      </c>
      <c r="Z392">
        <v>8</v>
      </c>
      <c r="AA392">
        <v>8</v>
      </c>
      <c r="AB392" t="str">
        <f t="shared" si="20"/>
        <v>Below average customer</v>
      </c>
    </row>
    <row r="393" spans="1:28" x14ac:dyDescent="0.35">
      <c r="A393">
        <v>6354</v>
      </c>
      <c r="B393">
        <v>1984</v>
      </c>
      <c r="C393" t="s">
        <v>30</v>
      </c>
      <c r="D393" t="s">
        <v>26</v>
      </c>
      <c r="E393" t="s">
        <v>29</v>
      </c>
      <c r="F393">
        <v>15345</v>
      </c>
      <c r="G393" t="str">
        <f t="shared" si="18"/>
        <v>Low</v>
      </c>
      <c r="H393">
        <v>1</v>
      </c>
      <c r="I393">
        <v>0</v>
      </c>
      <c r="J393">
        <v>1</v>
      </c>
      <c r="K393" s="1">
        <v>41152</v>
      </c>
      <c r="L393">
        <v>51</v>
      </c>
      <c r="M393" t="str">
        <f t="shared" si="19"/>
        <v>Inactive</v>
      </c>
      <c r="N393">
        <v>0</v>
      </c>
      <c r="O393">
        <v>5</v>
      </c>
      <c r="P393">
        <v>2</v>
      </c>
      <c r="Q393">
        <v>16</v>
      </c>
      <c r="R393">
        <v>3</v>
      </c>
      <c r="S393">
        <v>2</v>
      </c>
      <c r="T393">
        <v>19</v>
      </c>
      <c r="U393">
        <v>47</v>
      </c>
      <c r="V393">
        <v>2</v>
      </c>
      <c r="W393">
        <v>1</v>
      </c>
      <c r="X393">
        <v>1</v>
      </c>
      <c r="Y393">
        <v>2</v>
      </c>
      <c r="Z393">
        <v>4</v>
      </c>
      <c r="AA393">
        <v>8</v>
      </c>
      <c r="AB393" t="str">
        <f t="shared" si="20"/>
        <v>Below average customer</v>
      </c>
    </row>
    <row r="394" spans="1:28" x14ac:dyDescent="0.35">
      <c r="A394">
        <v>798</v>
      </c>
      <c r="B394">
        <v>1987</v>
      </c>
      <c r="C394" t="s">
        <v>30</v>
      </c>
      <c r="D394" t="s">
        <v>26</v>
      </c>
      <c r="E394" t="s">
        <v>27</v>
      </c>
      <c r="F394">
        <v>23442</v>
      </c>
      <c r="G394" t="str">
        <f t="shared" si="18"/>
        <v>Low</v>
      </c>
      <c r="H394">
        <v>1</v>
      </c>
      <c r="I394">
        <v>0</v>
      </c>
      <c r="J394">
        <v>1</v>
      </c>
      <c r="K394" s="1">
        <v>41267</v>
      </c>
      <c r="L394">
        <v>71</v>
      </c>
      <c r="M394" t="str">
        <f t="shared" si="19"/>
        <v>Inactive</v>
      </c>
      <c r="N394">
        <v>0</v>
      </c>
      <c r="O394">
        <v>2</v>
      </c>
      <c r="P394">
        <v>0</v>
      </c>
      <c r="Q394">
        <v>6</v>
      </c>
      <c r="R394">
        <v>8</v>
      </c>
      <c r="S394">
        <v>6</v>
      </c>
      <c r="T394">
        <v>5</v>
      </c>
      <c r="U394">
        <v>27</v>
      </c>
      <c r="V394">
        <v>1</v>
      </c>
      <c r="W394">
        <v>1</v>
      </c>
      <c r="X394">
        <v>0</v>
      </c>
      <c r="Y394">
        <v>3</v>
      </c>
      <c r="Z394">
        <v>4</v>
      </c>
      <c r="AA394">
        <v>7</v>
      </c>
      <c r="AB394" t="str">
        <f t="shared" si="20"/>
        <v>Below average customer</v>
      </c>
    </row>
    <row r="395" spans="1:28" x14ac:dyDescent="0.35">
      <c r="A395">
        <v>8213</v>
      </c>
      <c r="B395">
        <v>1980</v>
      </c>
      <c r="C395" t="s">
        <v>31</v>
      </c>
      <c r="D395" t="s">
        <v>34</v>
      </c>
      <c r="E395" t="s">
        <v>29</v>
      </c>
      <c r="F395">
        <v>14515</v>
      </c>
      <c r="G395" t="str">
        <f t="shared" si="18"/>
        <v>Low</v>
      </c>
      <c r="H395">
        <v>1</v>
      </c>
      <c r="I395">
        <v>0</v>
      </c>
      <c r="J395">
        <v>1</v>
      </c>
      <c r="K395" s="1">
        <v>41222</v>
      </c>
      <c r="L395">
        <v>71</v>
      </c>
      <c r="M395" t="str">
        <f t="shared" si="19"/>
        <v>Inactive</v>
      </c>
      <c r="N395">
        <v>0</v>
      </c>
      <c r="O395">
        <v>6</v>
      </c>
      <c r="P395">
        <v>4</v>
      </c>
      <c r="Q395">
        <v>9</v>
      </c>
      <c r="R395">
        <v>6</v>
      </c>
      <c r="S395">
        <v>36</v>
      </c>
      <c r="T395">
        <v>35</v>
      </c>
      <c r="U395">
        <v>96</v>
      </c>
      <c r="V395">
        <v>4</v>
      </c>
      <c r="W395">
        <v>2</v>
      </c>
      <c r="X395">
        <v>2</v>
      </c>
      <c r="Y395">
        <v>3</v>
      </c>
      <c r="Z395">
        <v>7</v>
      </c>
      <c r="AA395">
        <v>7</v>
      </c>
      <c r="AB395" t="str">
        <f t="shared" si="20"/>
        <v>Below average customer</v>
      </c>
    </row>
    <row r="396" spans="1:28" x14ac:dyDescent="0.35">
      <c r="A396">
        <v>2488</v>
      </c>
      <c r="B396">
        <v>1956</v>
      </c>
      <c r="C396" t="s">
        <v>25</v>
      </c>
      <c r="D396" t="s">
        <v>34</v>
      </c>
      <c r="E396" t="s">
        <v>35</v>
      </c>
      <c r="F396">
        <v>31395</v>
      </c>
      <c r="G396" t="str">
        <f t="shared" si="18"/>
        <v>Low</v>
      </c>
      <c r="H396">
        <v>1</v>
      </c>
      <c r="I396">
        <v>1</v>
      </c>
      <c r="J396">
        <v>2</v>
      </c>
      <c r="K396" s="1">
        <v>41356</v>
      </c>
      <c r="L396">
        <v>80</v>
      </c>
      <c r="M396" t="str">
        <f t="shared" si="19"/>
        <v>Inactive</v>
      </c>
      <c r="N396">
        <v>0</v>
      </c>
      <c r="O396">
        <v>23</v>
      </c>
      <c r="P396">
        <v>1</v>
      </c>
      <c r="Q396">
        <v>25</v>
      </c>
      <c r="R396">
        <v>0</v>
      </c>
      <c r="S396">
        <v>8</v>
      </c>
      <c r="T396">
        <v>7</v>
      </c>
      <c r="U396">
        <v>64</v>
      </c>
      <c r="V396">
        <v>4</v>
      </c>
      <c r="W396">
        <v>2</v>
      </c>
      <c r="X396">
        <v>1</v>
      </c>
      <c r="Y396">
        <v>3</v>
      </c>
      <c r="Z396">
        <v>6</v>
      </c>
      <c r="AA396">
        <v>6</v>
      </c>
      <c r="AB396" t="str">
        <f t="shared" si="20"/>
        <v>Below average customer</v>
      </c>
    </row>
    <row r="397" spans="1:28" x14ac:dyDescent="0.35">
      <c r="A397">
        <v>9999</v>
      </c>
      <c r="B397">
        <v>1965</v>
      </c>
      <c r="C397" t="s">
        <v>28</v>
      </c>
      <c r="D397" t="s">
        <v>26</v>
      </c>
      <c r="E397" t="s">
        <v>29</v>
      </c>
      <c r="F397">
        <v>75276</v>
      </c>
      <c r="G397" t="str">
        <f t="shared" si="18"/>
        <v>High</v>
      </c>
      <c r="H397">
        <v>0</v>
      </c>
      <c r="I397">
        <v>0</v>
      </c>
      <c r="J397">
        <v>0</v>
      </c>
      <c r="K397" s="1">
        <v>41179</v>
      </c>
      <c r="L397">
        <v>2</v>
      </c>
      <c r="M397" t="str">
        <f t="shared" si="19"/>
        <v>Active</v>
      </c>
      <c r="N397">
        <v>0</v>
      </c>
      <c r="O397">
        <v>610</v>
      </c>
      <c r="P397">
        <v>105</v>
      </c>
      <c r="Q397">
        <v>125</v>
      </c>
      <c r="R397">
        <v>137</v>
      </c>
      <c r="S397">
        <v>42</v>
      </c>
      <c r="T397">
        <v>21</v>
      </c>
      <c r="U397">
        <v>1040</v>
      </c>
      <c r="V397">
        <v>1</v>
      </c>
      <c r="W397">
        <v>9</v>
      </c>
      <c r="X397">
        <v>4</v>
      </c>
      <c r="Y397">
        <v>9</v>
      </c>
      <c r="Z397">
        <v>22</v>
      </c>
      <c r="AA397">
        <v>5</v>
      </c>
      <c r="AB397" t="str">
        <f t="shared" si="20"/>
        <v>Above average customer</v>
      </c>
    </row>
    <row r="398" spans="1:28" x14ac:dyDescent="0.35">
      <c r="A398">
        <v>7617</v>
      </c>
      <c r="B398">
        <v>1974</v>
      </c>
      <c r="C398" t="s">
        <v>31</v>
      </c>
      <c r="D398" t="s">
        <v>26</v>
      </c>
      <c r="E398" t="s">
        <v>27</v>
      </c>
      <c r="F398">
        <v>42373</v>
      </c>
      <c r="G398" t="str">
        <f t="shared" si="18"/>
        <v>Mid-low</v>
      </c>
      <c r="H398">
        <v>1</v>
      </c>
      <c r="I398">
        <v>1</v>
      </c>
      <c r="J398">
        <v>2</v>
      </c>
      <c r="K398" s="1">
        <v>41501</v>
      </c>
      <c r="L398">
        <v>83</v>
      </c>
      <c r="M398" t="str">
        <f t="shared" si="19"/>
        <v>Inactive</v>
      </c>
      <c r="N398">
        <v>0</v>
      </c>
      <c r="O398">
        <v>67</v>
      </c>
      <c r="P398">
        <v>5</v>
      </c>
      <c r="Q398">
        <v>61</v>
      </c>
      <c r="R398">
        <v>3</v>
      </c>
      <c r="S398">
        <v>8</v>
      </c>
      <c r="T398">
        <v>19</v>
      </c>
      <c r="U398">
        <v>163</v>
      </c>
      <c r="V398">
        <v>5</v>
      </c>
      <c r="W398">
        <v>2</v>
      </c>
      <c r="X398">
        <v>1</v>
      </c>
      <c r="Y398">
        <v>5</v>
      </c>
      <c r="Z398">
        <v>8</v>
      </c>
      <c r="AA398">
        <v>5</v>
      </c>
      <c r="AB398" t="str">
        <f t="shared" si="20"/>
        <v>Below average customer</v>
      </c>
    </row>
    <row r="399" spans="1:28" x14ac:dyDescent="0.35">
      <c r="A399">
        <v>615</v>
      </c>
      <c r="B399">
        <v>1960</v>
      </c>
      <c r="C399" t="s">
        <v>25</v>
      </c>
      <c r="D399" t="s">
        <v>26</v>
      </c>
      <c r="E399" t="s">
        <v>29</v>
      </c>
      <c r="F399">
        <v>30507</v>
      </c>
      <c r="G399" t="str">
        <f t="shared" si="18"/>
        <v>Low</v>
      </c>
      <c r="H399">
        <v>0</v>
      </c>
      <c r="I399">
        <v>0</v>
      </c>
      <c r="J399">
        <v>0</v>
      </c>
      <c r="K399" s="1">
        <v>41344</v>
      </c>
      <c r="L399">
        <v>29</v>
      </c>
      <c r="M399" t="str">
        <f t="shared" si="19"/>
        <v>Active</v>
      </c>
      <c r="N399">
        <v>0</v>
      </c>
      <c r="O399">
        <v>65</v>
      </c>
      <c r="P399">
        <v>36</v>
      </c>
      <c r="Q399">
        <v>74</v>
      </c>
      <c r="R399">
        <v>38</v>
      </c>
      <c r="S399">
        <v>20</v>
      </c>
      <c r="T399">
        <v>110</v>
      </c>
      <c r="U399">
        <v>343</v>
      </c>
      <c r="V399">
        <v>1</v>
      </c>
      <c r="W399">
        <v>5</v>
      </c>
      <c r="X399">
        <v>1</v>
      </c>
      <c r="Y399">
        <v>4</v>
      </c>
      <c r="Z399">
        <v>10</v>
      </c>
      <c r="AA399">
        <v>7</v>
      </c>
      <c r="AB399" t="str">
        <f t="shared" si="20"/>
        <v>Below average customer</v>
      </c>
    </row>
    <row r="400" spans="1:28" x14ac:dyDescent="0.35">
      <c r="A400">
        <v>2552</v>
      </c>
      <c r="B400">
        <v>1955</v>
      </c>
      <c r="C400" t="s">
        <v>25</v>
      </c>
      <c r="D400" t="s">
        <v>32</v>
      </c>
      <c r="E400" t="s">
        <v>27</v>
      </c>
      <c r="F400">
        <v>55521</v>
      </c>
      <c r="G400" t="str">
        <f t="shared" si="18"/>
        <v>Mid-high</v>
      </c>
      <c r="H400">
        <v>1</v>
      </c>
      <c r="I400">
        <v>2</v>
      </c>
      <c r="J400">
        <v>3</v>
      </c>
      <c r="K400" s="1">
        <v>41569</v>
      </c>
      <c r="L400">
        <v>11</v>
      </c>
      <c r="M400" t="str">
        <f t="shared" si="19"/>
        <v>Active</v>
      </c>
      <c r="N400">
        <v>0</v>
      </c>
      <c r="O400">
        <v>416</v>
      </c>
      <c r="P400">
        <v>0</v>
      </c>
      <c r="Q400">
        <v>26</v>
      </c>
      <c r="R400">
        <v>0</v>
      </c>
      <c r="S400">
        <v>0</v>
      </c>
      <c r="T400">
        <v>4</v>
      </c>
      <c r="U400">
        <v>446</v>
      </c>
      <c r="V400">
        <v>9</v>
      </c>
      <c r="W400">
        <v>6</v>
      </c>
      <c r="X400">
        <v>3</v>
      </c>
      <c r="Y400">
        <v>6</v>
      </c>
      <c r="Z400">
        <v>15</v>
      </c>
      <c r="AA400">
        <v>7</v>
      </c>
      <c r="AB400" t="str">
        <f t="shared" si="20"/>
        <v>Below average customer</v>
      </c>
    </row>
    <row r="401" spans="1:28" x14ac:dyDescent="0.35">
      <c r="A401">
        <v>194</v>
      </c>
      <c r="B401">
        <v>1965</v>
      </c>
      <c r="C401" t="s">
        <v>28</v>
      </c>
      <c r="D401" t="s">
        <v>26</v>
      </c>
      <c r="E401" t="s">
        <v>33</v>
      </c>
      <c r="F401">
        <v>48006</v>
      </c>
      <c r="G401" t="str">
        <f t="shared" si="18"/>
        <v>Mid-low</v>
      </c>
      <c r="H401">
        <v>1</v>
      </c>
      <c r="I401">
        <v>1</v>
      </c>
      <c r="J401">
        <v>2</v>
      </c>
      <c r="K401" s="1">
        <v>41799</v>
      </c>
      <c r="L401">
        <v>55</v>
      </c>
      <c r="M401" t="str">
        <f t="shared" si="19"/>
        <v>Inactive</v>
      </c>
      <c r="N401">
        <v>0</v>
      </c>
      <c r="O401">
        <v>23</v>
      </c>
      <c r="P401">
        <v>0</v>
      </c>
      <c r="Q401">
        <v>11</v>
      </c>
      <c r="R401">
        <v>3</v>
      </c>
      <c r="S401">
        <v>2</v>
      </c>
      <c r="T401">
        <v>2</v>
      </c>
      <c r="U401">
        <v>41</v>
      </c>
      <c r="V401">
        <v>1</v>
      </c>
      <c r="W401">
        <v>1</v>
      </c>
      <c r="X401">
        <v>0</v>
      </c>
      <c r="Y401">
        <v>3</v>
      </c>
      <c r="Z401">
        <v>4</v>
      </c>
      <c r="AA401">
        <v>6</v>
      </c>
      <c r="AB401" t="str">
        <f t="shared" si="20"/>
        <v>Below average customer</v>
      </c>
    </row>
    <row r="402" spans="1:28" x14ac:dyDescent="0.35">
      <c r="A402">
        <v>3645</v>
      </c>
      <c r="B402">
        <v>1972</v>
      </c>
      <c r="C402" t="s">
        <v>28</v>
      </c>
      <c r="D402" t="s">
        <v>32</v>
      </c>
      <c r="E402" t="s">
        <v>27</v>
      </c>
      <c r="F402">
        <v>27213</v>
      </c>
      <c r="G402" t="str">
        <f t="shared" si="18"/>
        <v>Low</v>
      </c>
      <c r="H402">
        <v>1</v>
      </c>
      <c r="I402">
        <v>0</v>
      </c>
      <c r="J402">
        <v>1</v>
      </c>
      <c r="K402" s="1">
        <v>41151</v>
      </c>
      <c r="L402">
        <v>19</v>
      </c>
      <c r="M402" t="str">
        <f t="shared" si="19"/>
        <v>Active</v>
      </c>
      <c r="N402">
        <v>0</v>
      </c>
      <c r="O402">
        <v>19</v>
      </c>
      <c r="P402">
        <v>3</v>
      </c>
      <c r="Q402">
        <v>26</v>
      </c>
      <c r="R402">
        <v>10</v>
      </c>
      <c r="S402">
        <v>9</v>
      </c>
      <c r="T402">
        <v>3</v>
      </c>
      <c r="U402">
        <v>70</v>
      </c>
      <c r="V402">
        <v>3</v>
      </c>
      <c r="W402">
        <v>2</v>
      </c>
      <c r="X402">
        <v>0</v>
      </c>
      <c r="Y402">
        <v>4</v>
      </c>
      <c r="Z402">
        <v>6</v>
      </c>
      <c r="AA402">
        <v>8</v>
      </c>
      <c r="AB402" t="str">
        <f t="shared" si="20"/>
        <v>Below average customer</v>
      </c>
    </row>
    <row r="403" spans="1:28" x14ac:dyDescent="0.35">
      <c r="A403">
        <v>8890</v>
      </c>
      <c r="B403">
        <v>1971</v>
      </c>
      <c r="C403" t="s">
        <v>28</v>
      </c>
      <c r="D403" t="s">
        <v>32</v>
      </c>
      <c r="E403" t="s">
        <v>35</v>
      </c>
      <c r="F403">
        <v>65808</v>
      </c>
      <c r="G403" t="str">
        <f t="shared" si="18"/>
        <v>Mid-high</v>
      </c>
      <c r="H403">
        <v>1</v>
      </c>
      <c r="I403">
        <v>1</v>
      </c>
      <c r="J403">
        <v>2</v>
      </c>
      <c r="K403" s="1">
        <v>41789</v>
      </c>
      <c r="L403">
        <v>1</v>
      </c>
      <c r="M403" t="str">
        <f t="shared" si="19"/>
        <v>Active</v>
      </c>
      <c r="N403">
        <v>0</v>
      </c>
      <c r="O403">
        <v>155</v>
      </c>
      <c r="P403">
        <v>7</v>
      </c>
      <c r="Q403">
        <v>80</v>
      </c>
      <c r="R403">
        <v>13</v>
      </c>
      <c r="S403">
        <v>7</v>
      </c>
      <c r="T403">
        <v>10</v>
      </c>
      <c r="U403">
        <v>272</v>
      </c>
      <c r="V403">
        <v>3</v>
      </c>
      <c r="W403">
        <v>5</v>
      </c>
      <c r="X403">
        <v>1</v>
      </c>
      <c r="Y403">
        <v>5</v>
      </c>
      <c r="Z403">
        <v>11</v>
      </c>
      <c r="AA403">
        <v>6</v>
      </c>
      <c r="AB403" t="str">
        <f t="shared" si="20"/>
        <v>Below average customer</v>
      </c>
    </row>
    <row r="404" spans="1:28" x14ac:dyDescent="0.35">
      <c r="A404">
        <v>5049</v>
      </c>
      <c r="B404">
        <v>1974</v>
      </c>
      <c r="C404" t="s">
        <v>31</v>
      </c>
      <c r="D404" t="s">
        <v>32</v>
      </c>
      <c r="E404" t="s">
        <v>29</v>
      </c>
      <c r="F404">
        <v>30351</v>
      </c>
      <c r="G404" t="str">
        <f t="shared" si="18"/>
        <v>Low</v>
      </c>
      <c r="H404">
        <v>1</v>
      </c>
      <c r="I404">
        <v>0</v>
      </c>
      <c r="J404">
        <v>1</v>
      </c>
      <c r="K404" s="1">
        <v>41431</v>
      </c>
      <c r="L404">
        <v>19</v>
      </c>
      <c r="M404" t="str">
        <f t="shared" si="19"/>
        <v>Active</v>
      </c>
      <c r="N404">
        <v>0</v>
      </c>
      <c r="O404">
        <v>14</v>
      </c>
      <c r="P404">
        <v>0</v>
      </c>
      <c r="Q404">
        <v>24</v>
      </c>
      <c r="R404">
        <v>3</v>
      </c>
      <c r="S404">
        <v>3</v>
      </c>
      <c r="T404">
        <v>2</v>
      </c>
      <c r="U404">
        <v>46</v>
      </c>
      <c r="V404">
        <v>1</v>
      </c>
      <c r="W404">
        <v>3</v>
      </c>
      <c r="X404">
        <v>0</v>
      </c>
      <c r="Y404">
        <v>2</v>
      </c>
      <c r="Z404">
        <v>5</v>
      </c>
      <c r="AA404">
        <v>9</v>
      </c>
      <c r="AB404" t="str">
        <f t="shared" si="20"/>
        <v>Below average customer</v>
      </c>
    </row>
    <row r="405" spans="1:28" x14ac:dyDescent="0.35">
      <c r="A405">
        <v>9973</v>
      </c>
      <c r="B405">
        <v>1963</v>
      </c>
      <c r="C405" t="s">
        <v>28</v>
      </c>
      <c r="D405" t="s">
        <v>26</v>
      </c>
      <c r="E405" t="s">
        <v>33</v>
      </c>
      <c r="F405">
        <v>50437</v>
      </c>
      <c r="G405" t="str">
        <f t="shared" si="18"/>
        <v>Mid-low</v>
      </c>
      <c r="H405">
        <v>0</v>
      </c>
      <c r="I405">
        <v>2</v>
      </c>
      <c r="J405">
        <v>2</v>
      </c>
      <c r="K405" s="1">
        <v>41199</v>
      </c>
      <c r="L405">
        <v>28</v>
      </c>
      <c r="M405" t="str">
        <f t="shared" si="19"/>
        <v>Active</v>
      </c>
      <c r="N405">
        <v>0</v>
      </c>
      <c r="O405">
        <v>370</v>
      </c>
      <c r="P405">
        <v>9</v>
      </c>
      <c r="Q405">
        <v>92</v>
      </c>
      <c r="R405">
        <v>6</v>
      </c>
      <c r="S405">
        <v>9</v>
      </c>
      <c r="T405">
        <v>4</v>
      </c>
      <c r="U405">
        <v>490</v>
      </c>
      <c r="V405">
        <v>3</v>
      </c>
      <c r="W405">
        <v>7</v>
      </c>
      <c r="X405">
        <v>1</v>
      </c>
      <c r="Y405">
        <v>8</v>
      </c>
      <c r="Z405">
        <v>16</v>
      </c>
      <c r="AA405">
        <v>7</v>
      </c>
      <c r="AB405" t="str">
        <f t="shared" si="20"/>
        <v>Below average customer</v>
      </c>
    </row>
    <row r="406" spans="1:28" x14ac:dyDescent="0.35">
      <c r="A406">
        <v>7301</v>
      </c>
      <c r="B406">
        <v>1982</v>
      </c>
      <c r="C406" t="s">
        <v>31</v>
      </c>
      <c r="D406" t="s">
        <v>34</v>
      </c>
      <c r="E406" t="s">
        <v>27</v>
      </c>
      <c r="F406">
        <v>23616</v>
      </c>
      <c r="G406" t="str">
        <f t="shared" si="18"/>
        <v>Low</v>
      </c>
      <c r="H406">
        <v>1</v>
      </c>
      <c r="I406">
        <v>0</v>
      </c>
      <c r="J406">
        <v>1</v>
      </c>
      <c r="K406" s="1">
        <v>41230</v>
      </c>
      <c r="L406">
        <v>76</v>
      </c>
      <c r="M406" t="str">
        <f t="shared" si="19"/>
        <v>Inactive</v>
      </c>
      <c r="N406">
        <v>0</v>
      </c>
      <c r="O406">
        <v>4</v>
      </c>
      <c r="P406">
        <v>22</v>
      </c>
      <c r="Q406">
        <v>11</v>
      </c>
      <c r="R406">
        <v>3</v>
      </c>
      <c r="S406">
        <v>7</v>
      </c>
      <c r="T406">
        <v>32</v>
      </c>
      <c r="U406">
        <v>79</v>
      </c>
      <c r="V406">
        <v>2</v>
      </c>
      <c r="W406">
        <v>3</v>
      </c>
      <c r="X406">
        <v>0</v>
      </c>
      <c r="Y406">
        <v>3</v>
      </c>
      <c r="Z406">
        <v>6</v>
      </c>
      <c r="AA406">
        <v>8</v>
      </c>
      <c r="AB406" t="str">
        <f t="shared" si="20"/>
        <v>Below average customer</v>
      </c>
    </row>
    <row r="407" spans="1:28" x14ac:dyDescent="0.35">
      <c r="A407">
        <v>10882</v>
      </c>
      <c r="B407">
        <v>1976</v>
      </c>
      <c r="C407" t="s">
        <v>31</v>
      </c>
      <c r="D407" t="s">
        <v>26</v>
      </c>
      <c r="E407" t="s">
        <v>33</v>
      </c>
      <c r="F407">
        <v>53858</v>
      </c>
      <c r="G407" t="str">
        <f t="shared" si="18"/>
        <v>Mid-high</v>
      </c>
      <c r="H407">
        <v>0</v>
      </c>
      <c r="I407">
        <v>1</v>
      </c>
      <c r="J407">
        <v>1</v>
      </c>
      <c r="K407" s="1">
        <v>41222</v>
      </c>
      <c r="L407">
        <v>50</v>
      </c>
      <c r="M407" t="str">
        <f t="shared" si="19"/>
        <v>Inactive</v>
      </c>
      <c r="N407">
        <v>0</v>
      </c>
      <c r="O407">
        <v>407</v>
      </c>
      <c r="P407">
        <v>53</v>
      </c>
      <c r="Q407">
        <v>221</v>
      </c>
      <c r="R407">
        <v>58</v>
      </c>
      <c r="S407">
        <v>150</v>
      </c>
      <c r="T407">
        <v>26</v>
      </c>
      <c r="U407">
        <v>915</v>
      </c>
      <c r="V407">
        <v>4</v>
      </c>
      <c r="W407">
        <v>4</v>
      </c>
      <c r="X407">
        <v>3</v>
      </c>
      <c r="Y407">
        <v>6</v>
      </c>
      <c r="Z407">
        <v>13</v>
      </c>
      <c r="AA407">
        <v>4</v>
      </c>
      <c r="AB407" t="str">
        <f t="shared" si="20"/>
        <v>Below average customer</v>
      </c>
    </row>
    <row r="408" spans="1:28" x14ac:dyDescent="0.35">
      <c r="A408">
        <v>7030</v>
      </c>
      <c r="B408">
        <v>1955</v>
      </c>
      <c r="C408" t="s">
        <v>25</v>
      </c>
      <c r="D408" t="s">
        <v>32</v>
      </c>
      <c r="E408" t="s">
        <v>33</v>
      </c>
      <c r="F408">
        <v>66465</v>
      </c>
      <c r="G408" t="str">
        <f t="shared" si="18"/>
        <v>Mid-high</v>
      </c>
      <c r="H408">
        <v>0</v>
      </c>
      <c r="I408">
        <v>1</v>
      </c>
      <c r="J408">
        <v>1</v>
      </c>
      <c r="K408" s="1">
        <v>41363</v>
      </c>
      <c r="L408">
        <v>1</v>
      </c>
      <c r="M408" t="str">
        <f t="shared" si="19"/>
        <v>Active</v>
      </c>
      <c r="N408">
        <v>0</v>
      </c>
      <c r="O408">
        <v>1200</v>
      </c>
      <c r="P408">
        <v>0</v>
      </c>
      <c r="Q408">
        <v>204</v>
      </c>
      <c r="R408">
        <v>38</v>
      </c>
      <c r="S408">
        <v>29</v>
      </c>
      <c r="T408">
        <v>14</v>
      </c>
      <c r="U408">
        <v>1485</v>
      </c>
      <c r="V408">
        <v>3</v>
      </c>
      <c r="W408">
        <v>11</v>
      </c>
      <c r="X408">
        <v>9</v>
      </c>
      <c r="Y408">
        <v>12</v>
      </c>
      <c r="Z408">
        <v>32</v>
      </c>
      <c r="AA408">
        <v>6</v>
      </c>
      <c r="AB408" t="str">
        <f t="shared" si="20"/>
        <v>Above average customer</v>
      </c>
    </row>
    <row r="409" spans="1:28" x14ac:dyDescent="0.35">
      <c r="A409">
        <v>7422</v>
      </c>
      <c r="B409">
        <v>1987</v>
      </c>
      <c r="C409" t="s">
        <v>30</v>
      </c>
      <c r="D409" t="s">
        <v>26</v>
      </c>
      <c r="E409" t="s">
        <v>27</v>
      </c>
      <c r="F409">
        <v>46923</v>
      </c>
      <c r="G409" t="str">
        <f t="shared" si="18"/>
        <v>Mid-low</v>
      </c>
      <c r="H409">
        <v>1</v>
      </c>
      <c r="I409">
        <v>0</v>
      </c>
      <c r="J409">
        <v>1</v>
      </c>
      <c r="K409" s="1">
        <v>41143</v>
      </c>
      <c r="L409">
        <v>90</v>
      </c>
      <c r="M409" t="str">
        <f t="shared" si="19"/>
        <v>Inactive</v>
      </c>
      <c r="N409">
        <v>0</v>
      </c>
      <c r="O409">
        <v>85</v>
      </c>
      <c r="P409">
        <v>44</v>
      </c>
      <c r="Q409">
        <v>54</v>
      </c>
      <c r="R409">
        <v>102</v>
      </c>
      <c r="S409">
        <v>78</v>
      </c>
      <c r="T409">
        <v>6</v>
      </c>
      <c r="U409">
        <v>369</v>
      </c>
      <c r="V409">
        <v>3</v>
      </c>
      <c r="W409">
        <v>5</v>
      </c>
      <c r="X409">
        <v>1</v>
      </c>
      <c r="Y409">
        <v>7</v>
      </c>
      <c r="Z409">
        <v>13</v>
      </c>
      <c r="AA409">
        <v>7</v>
      </c>
      <c r="AB409" t="str">
        <f t="shared" si="20"/>
        <v>Below average customer</v>
      </c>
    </row>
    <row r="410" spans="1:28" x14ac:dyDescent="0.35">
      <c r="A410">
        <v>3523</v>
      </c>
      <c r="B410">
        <v>1962</v>
      </c>
      <c r="C410" t="s">
        <v>25</v>
      </c>
      <c r="D410" t="s">
        <v>26</v>
      </c>
      <c r="E410" t="s">
        <v>29</v>
      </c>
      <c r="F410">
        <v>75072</v>
      </c>
      <c r="G410" t="str">
        <f t="shared" si="18"/>
        <v>High</v>
      </c>
      <c r="H410">
        <v>0</v>
      </c>
      <c r="I410">
        <v>1</v>
      </c>
      <c r="J410">
        <v>1</v>
      </c>
      <c r="K410" s="1">
        <v>41297</v>
      </c>
      <c r="L410">
        <v>83</v>
      </c>
      <c r="M410" t="str">
        <f t="shared" si="19"/>
        <v>Inactive</v>
      </c>
      <c r="N410">
        <v>0</v>
      </c>
      <c r="O410">
        <v>583</v>
      </c>
      <c r="P410">
        <v>34</v>
      </c>
      <c r="Q410">
        <v>309</v>
      </c>
      <c r="R410">
        <v>0</v>
      </c>
      <c r="S410">
        <v>22</v>
      </c>
      <c r="T410">
        <v>125</v>
      </c>
      <c r="U410">
        <v>1073</v>
      </c>
      <c r="V410">
        <v>2</v>
      </c>
      <c r="W410">
        <v>5</v>
      </c>
      <c r="X410">
        <v>4</v>
      </c>
      <c r="Y410">
        <v>8</v>
      </c>
      <c r="Z410">
        <v>17</v>
      </c>
      <c r="AA410">
        <v>3</v>
      </c>
      <c r="AB410" t="str">
        <f t="shared" si="20"/>
        <v>Below average customer</v>
      </c>
    </row>
    <row r="411" spans="1:28" x14ac:dyDescent="0.35">
      <c r="A411">
        <v>7106</v>
      </c>
      <c r="B411">
        <v>1943</v>
      </c>
      <c r="C411" t="s">
        <v>36</v>
      </c>
      <c r="D411" t="s">
        <v>32</v>
      </c>
      <c r="E411" t="s">
        <v>33</v>
      </c>
      <c r="F411">
        <v>75865</v>
      </c>
      <c r="G411" t="str">
        <f t="shared" si="18"/>
        <v>High</v>
      </c>
      <c r="H411">
        <v>0</v>
      </c>
      <c r="I411">
        <v>0</v>
      </c>
      <c r="J411">
        <v>0</v>
      </c>
      <c r="K411" s="1">
        <v>41729</v>
      </c>
      <c r="L411">
        <v>73</v>
      </c>
      <c r="M411" t="str">
        <f t="shared" si="19"/>
        <v>Inactive</v>
      </c>
      <c r="N411">
        <v>0</v>
      </c>
      <c r="O411">
        <v>483</v>
      </c>
      <c r="P411">
        <v>0</v>
      </c>
      <c r="Q411">
        <v>591</v>
      </c>
      <c r="R411">
        <v>156</v>
      </c>
      <c r="S411">
        <v>0</v>
      </c>
      <c r="T411">
        <v>12</v>
      </c>
      <c r="U411">
        <v>1242</v>
      </c>
      <c r="V411">
        <v>1</v>
      </c>
      <c r="W411">
        <v>3</v>
      </c>
      <c r="X411">
        <v>5</v>
      </c>
      <c r="Y411">
        <v>10</v>
      </c>
      <c r="Z411">
        <v>18</v>
      </c>
      <c r="AA411">
        <v>1</v>
      </c>
      <c r="AB411" t="str">
        <f t="shared" si="20"/>
        <v>Below average customer</v>
      </c>
    </row>
    <row r="412" spans="1:28" x14ac:dyDescent="0.35">
      <c r="A412">
        <v>6504</v>
      </c>
      <c r="B412">
        <v>1975</v>
      </c>
      <c r="C412" t="s">
        <v>31</v>
      </c>
      <c r="D412" t="s">
        <v>34</v>
      </c>
      <c r="E412" t="s">
        <v>29</v>
      </c>
      <c r="F412">
        <v>19789</v>
      </c>
      <c r="G412" t="str">
        <f t="shared" si="18"/>
        <v>Low</v>
      </c>
      <c r="H412">
        <v>1</v>
      </c>
      <c r="I412">
        <v>0</v>
      </c>
      <c r="J412">
        <v>1</v>
      </c>
      <c r="K412" s="1">
        <v>41598</v>
      </c>
      <c r="L412">
        <v>24</v>
      </c>
      <c r="M412" t="str">
        <f t="shared" si="19"/>
        <v>Active</v>
      </c>
      <c r="N412">
        <v>0</v>
      </c>
      <c r="O412">
        <v>2</v>
      </c>
      <c r="P412">
        <v>5</v>
      </c>
      <c r="Q412">
        <v>9</v>
      </c>
      <c r="R412">
        <v>28</v>
      </c>
      <c r="S412">
        <v>6</v>
      </c>
      <c r="T412">
        <v>28</v>
      </c>
      <c r="U412">
        <v>78</v>
      </c>
      <c r="V412">
        <v>3</v>
      </c>
      <c r="W412">
        <v>2</v>
      </c>
      <c r="X412">
        <v>1</v>
      </c>
      <c r="Y412">
        <v>3</v>
      </c>
      <c r="Z412">
        <v>6</v>
      </c>
      <c r="AA412">
        <v>5</v>
      </c>
      <c r="AB412" t="str">
        <f t="shared" si="20"/>
        <v>Below average customer</v>
      </c>
    </row>
    <row r="413" spans="1:28" x14ac:dyDescent="0.35">
      <c r="A413">
        <v>5067</v>
      </c>
      <c r="B413">
        <v>1994</v>
      </c>
      <c r="C413" t="s">
        <v>30</v>
      </c>
      <c r="D413" t="s">
        <v>26</v>
      </c>
      <c r="E413" t="s">
        <v>29</v>
      </c>
      <c r="F413">
        <v>80134</v>
      </c>
      <c r="G413" t="str">
        <f t="shared" si="18"/>
        <v>High</v>
      </c>
      <c r="H413">
        <v>0</v>
      </c>
      <c r="I413">
        <v>0</v>
      </c>
      <c r="J413">
        <v>0</v>
      </c>
      <c r="K413" s="1">
        <v>41684</v>
      </c>
      <c r="L413">
        <v>11</v>
      </c>
      <c r="M413" t="str">
        <f t="shared" si="19"/>
        <v>Active</v>
      </c>
      <c r="N413">
        <v>0</v>
      </c>
      <c r="O413">
        <v>966</v>
      </c>
      <c r="P413">
        <v>26</v>
      </c>
      <c r="Q413">
        <v>282</v>
      </c>
      <c r="R413">
        <v>52</v>
      </c>
      <c r="S413">
        <v>26</v>
      </c>
      <c r="T413">
        <v>26</v>
      </c>
      <c r="U413">
        <v>1378</v>
      </c>
      <c r="V413">
        <v>1</v>
      </c>
      <c r="W413">
        <v>2</v>
      </c>
      <c r="X413">
        <v>7</v>
      </c>
      <c r="Y413">
        <v>11</v>
      </c>
      <c r="Z413">
        <v>20</v>
      </c>
      <c r="AA413">
        <v>5</v>
      </c>
      <c r="AB413" t="str">
        <f t="shared" si="20"/>
        <v>Above average customer</v>
      </c>
    </row>
    <row r="414" spans="1:28" x14ac:dyDescent="0.35">
      <c r="A414">
        <v>4216</v>
      </c>
      <c r="B414">
        <v>1981</v>
      </c>
      <c r="C414" t="s">
        <v>31</v>
      </c>
      <c r="D414" t="s">
        <v>26</v>
      </c>
      <c r="E414" t="s">
        <v>27</v>
      </c>
      <c r="F414">
        <v>91065</v>
      </c>
      <c r="G414" t="str">
        <f t="shared" si="18"/>
        <v>High</v>
      </c>
      <c r="H414">
        <v>0</v>
      </c>
      <c r="I414">
        <v>0</v>
      </c>
      <c r="J414">
        <v>0</v>
      </c>
      <c r="K414" s="1">
        <v>41327</v>
      </c>
      <c r="L414">
        <v>33</v>
      </c>
      <c r="M414" t="str">
        <f t="shared" si="19"/>
        <v>Active</v>
      </c>
      <c r="N414">
        <v>0</v>
      </c>
      <c r="O414">
        <v>822</v>
      </c>
      <c r="P414">
        <v>114</v>
      </c>
      <c r="Q414">
        <v>108</v>
      </c>
      <c r="R414">
        <v>179</v>
      </c>
      <c r="S414">
        <v>137</v>
      </c>
      <c r="T414">
        <v>114</v>
      </c>
      <c r="U414">
        <v>1474</v>
      </c>
      <c r="V414">
        <v>1</v>
      </c>
      <c r="W414">
        <v>7</v>
      </c>
      <c r="X414">
        <v>9</v>
      </c>
      <c r="Y414">
        <v>9</v>
      </c>
      <c r="Z414">
        <v>25</v>
      </c>
      <c r="AA414">
        <v>3</v>
      </c>
      <c r="AB414" t="str">
        <f t="shared" si="20"/>
        <v>Above average customer</v>
      </c>
    </row>
    <row r="415" spans="1:28" x14ac:dyDescent="0.35">
      <c r="A415">
        <v>8581</v>
      </c>
      <c r="B415">
        <v>1971</v>
      </c>
      <c r="C415" t="s">
        <v>28</v>
      </c>
      <c r="D415" t="s">
        <v>34</v>
      </c>
      <c r="E415" t="s">
        <v>33</v>
      </c>
      <c r="F415">
        <v>49505</v>
      </c>
      <c r="G415" t="str">
        <f t="shared" si="18"/>
        <v>Mid-low</v>
      </c>
      <c r="H415">
        <v>1</v>
      </c>
      <c r="I415">
        <v>1</v>
      </c>
      <c r="J415">
        <v>2</v>
      </c>
      <c r="K415" s="1">
        <v>41338</v>
      </c>
      <c r="L415">
        <v>4</v>
      </c>
      <c r="M415" t="str">
        <f t="shared" si="19"/>
        <v>Active</v>
      </c>
      <c r="N415">
        <v>0</v>
      </c>
      <c r="O415">
        <v>604</v>
      </c>
      <c r="P415">
        <v>0</v>
      </c>
      <c r="Q415">
        <v>100</v>
      </c>
      <c r="R415">
        <v>19</v>
      </c>
      <c r="S415">
        <v>0</v>
      </c>
      <c r="T415">
        <v>28</v>
      </c>
      <c r="U415">
        <v>751</v>
      </c>
      <c r="V415">
        <v>9</v>
      </c>
      <c r="W415">
        <v>10</v>
      </c>
      <c r="X415">
        <v>2</v>
      </c>
      <c r="Y415">
        <v>8</v>
      </c>
      <c r="Z415">
        <v>20</v>
      </c>
      <c r="AA415">
        <v>8</v>
      </c>
      <c r="AB415" t="str">
        <f t="shared" si="20"/>
        <v>Below average customer</v>
      </c>
    </row>
    <row r="416" spans="1:28" x14ac:dyDescent="0.35">
      <c r="A416">
        <v>5929</v>
      </c>
      <c r="B416">
        <v>1973</v>
      </c>
      <c r="C416" t="s">
        <v>31</v>
      </c>
      <c r="D416" t="s">
        <v>32</v>
      </c>
      <c r="E416" t="s">
        <v>33</v>
      </c>
      <c r="F416">
        <v>37401</v>
      </c>
      <c r="G416" t="str">
        <f t="shared" si="18"/>
        <v>Mid-low</v>
      </c>
      <c r="H416">
        <v>1</v>
      </c>
      <c r="I416">
        <v>0</v>
      </c>
      <c r="J416">
        <v>1</v>
      </c>
      <c r="K416" s="1">
        <v>41765</v>
      </c>
      <c r="L416">
        <v>14</v>
      </c>
      <c r="M416" t="str">
        <f t="shared" si="19"/>
        <v>Active</v>
      </c>
      <c r="N416">
        <v>0</v>
      </c>
      <c r="O416">
        <v>19</v>
      </c>
      <c r="P416">
        <v>3</v>
      </c>
      <c r="Q416">
        <v>19</v>
      </c>
      <c r="R416">
        <v>3</v>
      </c>
      <c r="S416">
        <v>1</v>
      </c>
      <c r="T416">
        <v>3</v>
      </c>
      <c r="U416">
        <v>48</v>
      </c>
      <c r="V416">
        <v>2</v>
      </c>
      <c r="W416">
        <v>2</v>
      </c>
      <c r="X416">
        <v>0</v>
      </c>
      <c r="Y416">
        <v>3</v>
      </c>
      <c r="Z416">
        <v>5</v>
      </c>
      <c r="AA416">
        <v>7</v>
      </c>
      <c r="AB416" t="str">
        <f t="shared" si="20"/>
        <v>Below average customer</v>
      </c>
    </row>
    <row r="417" spans="1:28" x14ac:dyDescent="0.35">
      <c r="A417">
        <v>6528</v>
      </c>
      <c r="B417">
        <v>1982</v>
      </c>
      <c r="C417" t="s">
        <v>31</v>
      </c>
      <c r="D417" t="s">
        <v>34</v>
      </c>
      <c r="E417" t="s">
        <v>29</v>
      </c>
      <c r="F417">
        <v>18492</v>
      </c>
      <c r="G417" t="str">
        <f t="shared" si="18"/>
        <v>Low</v>
      </c>
      <c r="H417">
        <v>1</v>
      </c>
      <c r="I417">
        <v>0</v>
      </c>
      <c r="J417">
        <v>1</v>
      </c>
      <c r="K417" s="1">
        <v>41795</v>
      </c>
      <c r="L417">
        <v>75</v>
      </c>
      <c r="M417" t="str">
        <f t="shared" si="19"/>
        <v>Inactive</v>
      </c>
      <c r="N417">
        <v>0</v>
      </c>
      <c r="O417">
        <v>2</v>
      </c>
      <c r="P417">
        <v>2</v>
      </c>
      <c r="Q417">
        <v>2</v>
      </c>
      <c r="R417">
        <v>2</v>
      </c>
      <c r="S417">
        <v>1</v>
      </c>
      <c r="T417">
        <v>1</v>
      </c>
      <c r="U417">
        <v>10</v>
      </c>
      <c r="V417">
        <v>1</v>
      </c>
      <c r="W417">
        <v>1</v>
      </c>
      <c r="X417">
        <v>0</v>
      </c>
      <c r="Y417">
        <v>2</v>
      </c>
      <c r="Z417">
        <v>3</v>
      </c>
      <c r="AA417">
        <v>8</v>
      </c>
      <c r="AB417" t="str">
        <f t="shared" si="20"/>
        <v>Below average customer</v>
      </c>
    </row>
    <row r="418" spans="1:28" x14ac:dyDescent="0.35">
      <c r="A418">
        <v>1361</v>
      </c>
      <c r="B418">
        <v>1974</v>
      </c>
      <c r="C418" t="s">
        <v>31</v>
      </c>
      <c r="D418" t="s">
        <v>34</v>
      </c>
      <c r="E418" t="s">
        <v>33</v>
      </c>
      <c r="F418">
        <v>82584</v>
      </c>
      <c r="G418" t="str">
        <f t="shared" si="18"/>
        <v>High</v>
      </c>
      <c r="H418">
        <v>0</v>
      </c>
      <c r="I418">
        <v>0</v>
      </c>
      <c r="J418">
        <v>0</v>
      </c>
      <c r="K418" s="1">
        <v>41429</v>
      </c>
      <c r="L418">
        <v>26</v>
      </c>
      <c r="M418" t="str">
        <f t="shared" si="19"/>
        <v>Active</v>
      </c>
      <c r="N418">
        <v>0</v>
      </c>
      <c r="O418">
        <v>1076</v>
      </c>
      <c r="P418">
        <v>68</v>
      </c>
      <c r="Q418">
        <v>103</v>
      </c>
      <c r="R418">
        <v>29</v>
      </c>
      <c r="S418">
        <v>91</v>
      </c>
      <c r="T418">
        <v>68</v>
      </c>
      <c r="U418">
        <v>1435</v>
      </c>
      <c r="V418">
        <v>1</v>
      </c>
      <c r="W418">
        <v>3</v>
      </c>
      <c r="X418">
        <v>4</v>
      </c>
      <c r="Y418">
        <v>8</v>
      </c>
      <c r="Z418">
        <v>15</v>
      </c>
      <c r="AA418">
        <v>1</v>
      </c>
      <c r="AB418" t="str">
        <f t="shared" si="20"/>
        <v>Above average customer</v>
      </c>
    </row>
    <row r="419" spans="1:28" x14ac:dyDescent="0.35">
      <c r="A419">
        <v>6932</v>
      </c>
      <c r="B419">
        <v>1941</v>
      </c>
      <c r="C419" t="s">
        <v>25</v>
      </c>
      <c r="D419" t="s">
        <v>32</v>
      </c>
      <c r="E419" t="s">
        <v>33</v>
      </c>
      <c r="F419">
        <v>93027</v>
      </c>
      <c r="G419" t="str">
        <f t="shared" si="18"/>
        <v>High</v>
      </c>
      <c r="H419">
        <v>0</v>
      </c>
      <c r="I419">
        <v>0</v>
      </c>
      <c r="J419">
        <v>0</v>
      </c>
      <c r="K419" s="1">
        <v>41377</v>
      </c>
      <c r="L419">
        <v>77</v>
      </c>
      <c r="M419" t="str">
        <f t="shared" si="19"/>
        <v>Inactive</v>
      </c>
      <c r="N419">
        <v>0</v>
      </c>
      <c r="O419">
        <v>1285</v>
      </c>
      <c r="P419">
        <v>42</v>
      </c>
      <c r="Q419">
        <v>716</v>
      </c>
      <c r="R419">
        <v>55</v>
      </c>
      <c r="S419">
        <v>0</v>
      </c>
      <c r="T419">
        <v>21</v>
      </c>
      <c r="U419">
        <v>2119</v>
      </c>
      <c r="V419">
        <v>0</v>
      </c>
      <c r="W419">
        <v>7</v>
      </c>
      <c r="X419">
        <v>10</v>
      </c>
      <c r="Y419">
        <v>5</v>
      </c>
      <c r="Z419">
        <v>22</v>
      </c>
      <c r="AA419">
        <v>2</v>
      </c>
      <c r="AB419" t="str">
        <f t="shared" si="20"/>
        <v>Below average customer</v>
      </c>
    </row>
    <row r="420" spans="1:28" x14ac:dyDescent="0.35">
      <c r="A420">
        <v>7284</v>
      </c>
      <c r="B420">
        <v>1953</v>
      </c>
      <c r="C420" t="s">
        <v>25</v>
      </c>
      <c r="D420" t="s">
        <v>26</v>
      </c>
      <c r="E420" t="s">
        <v>33</v>
      </c>
      <c r="F420">
        <v>48686</v>
      </c>
      <c r="G420" t="str">
        <f t="shared" si="18"/>
        <v>Mid-low</v>
      </c>
      <c r="H420">
        <v>1</v>
      </c>
      <c r="I420">
        <v>2</v>
      </c>
      <c r="J420">
        <v>3</v>
      </c>
      <c r="K420" s="1">
        <v>41612</v>
      </c>
      <c r="L420">
        <v>8</v>
      </c>
      <c r="M420" t="str">
        <f t="shared" si="19"/>
        <v>Active</v>
      </c>
      <c r="N420">
        <v>0</v>
      </c>
      <c r="O420">
        <v>10</v>
      </c>
      <c r="P420">
        <v>0</v>
      </c>
      <c r="Q420">
        <v>7</v>
      </c>
      <c r="R420">
        <v>2</v>
      </c>
      <c r="S420">
        <v>0</v>
      </c>
      <c r="T420">
        <v>1</v>
      </c>
      <c r="U420">
        <v>20</v>
      </c>
      <c r="V420">
        <v>1</v>
      </c>
      <c r="W420">
        <v>1</v>
      </c>
      <c r="X420">
        <v>0</v>
      </c>
      <c r="Y420">
        <v>2</v>
      </c>
      <c r="Z420">
        <v>3</v>
      </c>
      <c r="AA420">
        <v>8</v>
      </c>
      <c r="AB420" t="str">
        <f t="shared" si="20"/>
        <v>Below average customer</v>
      </c>
    </row>
    <row r="421" spans="1:28" x14ac:dyDescent="0.35">
      <c r="A421">
        <v>1340</v>
      </c>
      <c r="B421">
        <v>1986</v>
      </c>
      <c r="C421" t="s">
        <v>30</v>
      </c>
      <c r="D421" t="s">
        <v>26</v>
      </c>
      <c r="E421" t="s">
        <v>33</v>
      </c>
      <c r="F421">
        <v>92910</v>
      </c>
      <c r="G421" t="str">
        <f t="shared" si="18"/>
        <v>High</v>
      </c>
      <c r="H421">
        <v>0</v>
      </c>
      <c r="I421">
        <v>0</v>
      </c>
      <c r="J421">
        <v>0</v>
      </c>
      <c r="K421" s="1">
        <v>41753</v>
      </c>
      <c r="L421">
        <v>42</v>
      </c>
      <c r="M421" t="str">
        <f t="shared" si="19"/>
        <v>Active</v>
      </c>
      <c r="N421">
        <v>0</v>
      </c>
      <c r="O421">
        <v>551</v>
      </c>
      <c r="P421">
        <v>137</v>
      </c>
      <c r="Q421">
        <v>792</v>
      </c>
      <c r="R421">
        <v>179</v>
      </c>
      <c r="S421">
        <v>103</v>
      </c>
      <c r="T421">
        <v>33</v>
      </c>
      <c r="U421">
        <v>1795</v>
      </c>
      <c r="V421">
        <v>1</v>
      </c>
      <c r="W421">
        <v>6</v>
      </c>
      <c r="X421">
        <v>7</v>
      </c>
      <c r="Y421">
        <v>13</v>
      </c>
      <c r="Z421">
        <v>26</v>
      </c>
      <c r="AA421">
        <v>1</v>
      </c>
      <c r="AB421" t="str">
        <f t="shared" si="20"/>
        <v>Above average customer</v>
      </c>
    </row>
    <row r="422" spans="1:28" x14ac:dyDescent="0.35">
      <c r="A422">
        <v>8746</v>
      </c>
      <c r="B422">
        <v>1989</v>
      </c>
      <c r="C422" t="s">
        <v>30</v>
      </c>
      <c r="D422" t="s">
        <v>26</v>
      </c>
      <c r="E422" t="s">
        <v>33</v>
      </c>
      <c r="F422">
        <v>75433</v>
      </c>
      <c r="G422" t="str">
        <f t="shared" si="18"/>
        <v>High</v>
      </c>
      <c r="H422">
        <v>1</v>
      </c>
      <c r="I422">
        <v>0</v>
      </c>
      <c r="J422">
        <v>1</v>
      </c>
      <c r="K422" s="1">
        <v>41734</v>
      </c>
      <c r="L422">
        <v>28</v>
      </c>
      <c r="M422" t="str">
        <f t="shared" si="19"/>
        <v>Active</v>
      </c>
      <c r="N422">
        <v>0</v>
      </c>
      <c r="O422">
        <v>800</v>
      </c>
      <c r="P422">
        <v>0</v>
      </c>
      <c r="Q422">
        <v>297</v>
      </c>
      <c r="R422">
        <v>0</v>
      </c>
      <c r="S422">
        <v>34</v>
      </c>
      <c r="T422">
        <v>57</v>
      </c>
      <c r="U422">
        <v>1188</v>
      </c>
      <c r="V422">
        <v>2</v>
      </c>
      <c r="W422">
        <v>2</v>
      </c>
      <c r="X422">
        <v>5</v>
      </c>
      <c r="Y422">
        <v>10</v>
      </c>
      <c r="Z422">
        <v>17</v>
      </c>
      <c r="AA422">
        <v>6</v>
      </c>
      <c r="AB422" t="str">
        <f t="shared" si="20"/>
        <v>Above average customer</v>
      </c>
    </row>
    <row r="423" spans="1:28" x14ac:dyDescent="0.35">
      <c r="A423">
        <v>5987</v>
      </c>
      <c r="B423">
        <v>1989</v>
      </c>
      <c r="C423" t="s">
        <v>30</v>
      </c>
      <c r="D423" t="s">
        <v>34</v>
      </c>
      <c r="E423" t="s">
        <v>29</v>
      </c>
      <c r="F423">
        <v>10404</v>
      </c>
      <c r="G423" t="str">
        <f t="shared" si="18"/>
        <v>Low</v>
      </c>
      <c r="H423">
        <v>1</v>
      </c>
      <c r="I423">
        <v>0</v>
      </c>
      <c r="J423">
        <v>1</v>
      </c>
      <c r="K423" s="1">
        <v>41763</v>
      </c>
      <c r="L423">
        <v>52</v>
      </c>
      <c r="M423" t="str">
        <f t="shared" si="19"/>
        <v>Inactive</v>
      </c>
      <c r="N423">
        <v>0</v>
      </c>
      <c r="O423">
        <v>2</v>
      </c>
      <c r="P423">
        <v>2</v>
      </c>
      <c r="Q423">
        <v>11</v>
      </c>
      <c r="R423">
        <v>10</v>
      </c>
      <c r="S423">
        <v>6</v>
      </c>
      <c r="T423">
        <v>12</v>
      </c>
      <c r="U423">
        <v>43</v>
      </c>
      <c r="V423">
        <v>2</v>
      </c>
      <c r="W423">
        <v>1</v>
      </c>
      <c r="X423">
        <v>0</v>
      </c>
      <c r="Y423">
        <v>4</v>
      </c>
      <c r="Z423">
        <v>5</v>
      </c>
      <c r="AA423">
        <v>5</v>
      </c>
      <c r="AB423" t="str">
        <f t="shared" si="20"/>
        <v>Below average customer</v>
      </c>
    </row>
    <row r="424" spans="1:28" x14ac:dyDescent="0.35">
      <c r="A424">
        <v>3767</v>
      </c>
      <c r="B424">
        <v>1968</v>
      </c>
      <c r="C424" t="s">
        <v>28</v>
      </c>
      <c r="D424" t="s">
        <v>26</v>
      </c>
      <c r="E424" t="s">
        <v>33</v>
      </c>
      <c r="F424">
        <v>61314</v>
      </c>
      <c r="G424" t="str">
        <f t="shared" si="18"/>
        <v>Mid-high</v>
      </c>
      <c r="H424">
        <v>0</v>
      </c>
      <c r="I424">
        <v>1</v>
      </c>
      <c r="J424">
        <v>1</v>
      </c>
      <c r="K424" s="1">
        <v>41389</v>
      </c>
      <c r="L424">
        <v>1</v>
      </c>
      <c r="M424" t="str">
        <f t="shared" si="19"/>
        <v>Active</v>
      </c>
      <c r="N424">
        <v>0</v>
      </c>
      <c r="O424">
        <v>378</v>
      </c>
      <c r="P424">
        <v>0</v>
      </c>
      <c r="Q424">
        <v>189</v>
      </c>
      <c r="R424">
        <v>97</v>
      </c>
      <c r="S424">
        <v>172</v>
      </c>
      <c r="T424">
        <v>172</v>
      </c>
      <c r="U424">
        <v>1008</v>
      </c>
      <c r="V424">
        <v>2</v>
      </c>
      <c r="W424">
        <v>5</v>
      </c>
      <c r="X424">
        <v>5</v>
      </c>
      <c r="Y424">
        <v>12</v>
      </c>
      <c r="Z424">
        <v>22</v>
      </c>
      <c r="AA424">
        <v>3</v>
      </c>
      <c r="AB424" t="str">
        <f t="shared" si="20"/>
        <v>Above average customer</v>
      </c>
    </row>
    <row r="425" spans="1:28" x14ac:dyDescent="0.35">
      <c r="A425">
        <v>3725</v>
      </c>
      <c r="B425">
        <v>1961</v>
      </c>
      <c r="C425" t="s">
        <v>25</v>
      </c>
      <c r="D425" t="s">
        <v>32</v>
      </c>
      <c r="E425" t="s">
        <v>27</v>
      </c>
      <c r="F425">
        <v>84865</v>
      </c>
      <c r="G425" t="str">
        <f t="shared" si="18"/>
        <v>High</v>
      </c>
      <c r="H425">
        <v>0</v>
      </c>
      <c r="I425">
        <v>0</v>
      </c>
      <c r="J425">
        <v>0</v>
      </c>
      <c r="K425" s="1">
        <v>41403</v>
      </c>
      <c r="L425">
        <v>1</v>
      </c>
      <c r="M425" t="str">
        <f t="shared" si="19"/>
        <v>Active</v>
      </c>
      <c r="N425">
        <v>0</v>
      </c>
      <c r="O425">
        <v>1248</v>
      </c>
      <c r="P425">
        <v>16</v>
      </c>
      <c r="Q425">
        <v>349</v>
      </c>
      <c r="R425">
        <v>43</v>
      </c>
      <c r="S425">
        <v>16</v>
      </c>
      <c r="T425">
        <v>16</v>
      </c>
      <c r="U425">
        <v>1688</v>
      </c>
      <c r="V425">
        <v>1</v>
      </c>
      <c r="W425">
        <v>2</v>
      </c>
      <c r="X425">
        <v>4</v>
      </c>
      <c r="Y425">
        <v>9</v>
      </c>
      <c r="Z425">
        <v>15</v>
      </c>
      <c r="AA425">
        <v>4</v>
      </c>
      <c r="AB425" t="str">
        <f t="shared" si="20"/>
        <v>Above average customer</v>
      </c>
    </row>
    <row r="426" spans="1:28" x14ac:dyDescent="0.35">
      <c r="A426">
        <v>4324</v>
      </c>
      <c r="B426">
        <v>1989</v>
      </c>
      <c r="C426" t="s">
        <v>30</v>
      </c>
      <c r="D426" t="s">
        <v>26</v>
      </c>
      <c r="E426" t="s">
        <v>33</v>
      </c>
      <c r="F426">
        <v>42387</v>
      </c>
      <c r="G426" t="str">
        <f t="shared" si="18"/>
        <v>Mid-low</v>
      </c>
      <c r="H426">
        <v>1</v>
      </c>
      <c r="I426">
        <v>0</v>
      </c>
      <c r="J426">
        <v>1</v>
      </c>
      <c r="K426" s="1">
        <v>41211</v>
      </c>
      <c r="L426">
        <v>42</v>
      </c>
      <c r="M426" t="str">
        <f t="shared" si="19"/>
        <v>Active</v>
      </c>
      <c r="N426">
        <v>0</v>
      </c>
      <c r="O426">
        <v>235</v>
      </c>
      <c r="P426">
        <v>0</v>
      </c>
      <c r="Q426">
        <v>235</v>
      </c>
      <c r="R426">
        <v>19</v>
      </c>
      <c r="S426">
        <v>4</v>
      </c>
      <c r="T426">
        <v>191</v>
      </c>
      <c r="U426">
        <v>684</v>
      </c>
      <c r="V426">
        <v>5</v>
      </c>
      <c r="W426">
        <v>8</v>
      </c>
      <c r="X426">
        <v>1</v>
      </c>
      <c r="Y426">
        <v>7</v>
      </c>
      <c r="Z426">
        <v>16</v>
      </c>
      <c r="AA426">
        <v>8</v>
      </c>
      <c r="AB426" t="str">
        <f t="shared" si="20"/>
        <v>Below average customer</v>
      </c>
    </row>
    <row r="427" spans="1:28" x14ac:dyDescent="0.35">
      <c r="A427">
        <v>238</v>
      </c>
      <c r="B427">
        <v>1967</v>
      </c>
      <c r="C427" t="s">
        <v>28</v>
      </c>
      <c r="D427" t="s">
        <v>34</v>
      </c>
      <c r="E427" t="s">
        <v>29</v>
      </c>
      <c r="F427">
        <v>67309</v>
      </c>
      <c r="G427" t="str">
        <f t="shared" si="18"/>
        <v>Mid-high</v>
      </c>
      <c r="H427">
        <v>1</v>
      </c>
      <c r="I427">
        <v>1</v>
      </c>
      <c r="J427">
        <v>2</v>
      </c>
      <c r="K427" s="1">
        <v>41297</v>
      </c>
      <c r="L427">
        <v>76</v>
      </c>
      <c r="M427" t="str">
        <f t="shared" si="19"/>
        <v>Inactive</v>
      </c>
      <c r="N427">
        <v>0</v>
      </c>
      <c r="O427">
        <v>515</v>
      </c>
      <c r="P427">
        <v>47</v>
      </c>
      <c r="Q427">
        <v>181</v>
      </c>
      <c r="R427">
        <v>149</v>
      </c>
      <c r="S427">
        <v>95</v>
      </c>
      <c r="T427">
        <v>95</v>
      </c>
      <c r="U427">
        <v>1082</v>
      </c>
      <c r="V427">
        <v>15</v>
      </c>
      <c r="W427">
        <v>9</v>
      </c>
      <c r="X427">
        <v>6</v>
      </c>
      <c r="Y427">
        <v>9</v>
      </c>
      <c r="Z427">
        <v>24</v>
      </c>
      <c r="AA427">
        <v>7</v>
      </c>
      <c r="AB427" t="str">
        <f t="shared" si="20"/>
        <v>Below average customer</v>
      </c>
    </row>
    <row r="428" spans="1:28" x14ac:dyDescent="0.35">
      <c r="A428">
        <v>6694</v>
      </c>
      <c r="B428">
        <v>1964</v>
      </c>
      <c r="C428" t="s">
        <v>28</v>
      </c>
      <c r="D428" t="s">
        <v>26</v>
      </c>
      <c r="E428" t="s">
        <v>33</v>
      </c>
      <c r="F428">
        <v>75236</v>
      </c>
      <c r="G428" t="str">
        <f t="shared" si="18"/>
        <v>High</v>
      </c>
      <c r="H428">
        <v>0</v>
      </c>
      <c r="I428">
        <v>1</v>
      </c>
      <c r="J428">
        <v>1</v>
      </c>
      <c r="K428" s="1">
        <v>41603</v>
      </c>
      <c r="L428">
        <v>27</v>
      </c>
      <c r="M428" t="str">
        <f t="shared" si="19"/>
        <v>Active</v>
      </c>
      <c r="N428">
        <v>0</v>
      </c>
      <c r="O428">
        <v>438</v>
      </c>
      <c r="P428">
        <v>66</v>
      </c>
      <c r="Q428">
        <v>400</v>
      </c>
      <c r="R428">
        <v>12</v>
      </c>
      <c r="S428">
        <v>38</v>
      </c>
      <c r="T428">
        <v>114</v>
      </c>
      <c r="U428">
        <v>1068</v>
      </c>
      <c r="V428">
        <v>1</v>
      </c>
      <c r="W428">
        <v>8</v>
      </c>
      <c r="X428">
        <v>3</v>
      </c>
      <c r="Y428">
        <v>13</v>
      </c>
      <c r="Z428">
        <v>24</v>
      </c>
      <c r="AA428">
        <v>4</v>
      </c>
      <c r="AB428" t="str">
        <f t="shared" si="20"/>
        <v>Above average customer</v>
      </c>
    </row>
    <row r="429" spans="1:28" x14ac:dyDescent="0.35">
      <c r="A429">
        <v>498</v>
      </c>
      <c r="B429">
        <v>1970</v>
      </c>
      <c r="C429" t="s">
        <v>28</v>
      </c>
      <c r="D429" t="s">
        <v>26</v>
      </c>
      <c r="E429" t="s">
        <v>27</v>
      </c>
      <c r="F429">
        <v>30015</v>
      </c>
      <c r="G429" t="str">
        <f t="shared" si="18"/>
        <v>Low</v>
      </c>
      <c r="H429">
        <v>1</v>
      </c>
      <c r="I429">
        <v>0</v>
      </c>
      <c r="J429">
        <v>1</v>
      </c>
      <c r="K429" s="1">
        <v>41672</v>
      </c>
      <c r="L429">
        <v>28</v>
      </c>
      <c r="M429" t="str">
        <f t="shared" si="19"/>
        <v>Active</v>
      </c>
      <c r="N429">
        <v>0</v>
      </c>
      <c r="O429">
        <v>25</v>
      </c>
      <c r="P429">
        <v>0</v>
      </c>
      <c r="Q429">
        <v>22</v>
      </c>
      <c r="R429">
        <v>2</v>
      </c>
      <c r="S429">
        <v>3</v>
      </c>
      <c r="T429">
        <v>5</v>
      </c>
      <c r="U429">
        <v>57</v>
      </c>
      <c r="V429">
        <v>2</v>
      </c>
      <c r="W429">
        <v>1</v>
      </c>
      <c r="X429">
        <v>0</v>
      </c>
      <c r="Y429">
        <v>4</v>
      </c>
      <c r="Z429">
        <v>5</v>
      </c>
      <c r="AA429">
        <v>5</v>
      </c>
      <c r="AB429" t="str">
        <f t="shared" si="20"/>
        <v>Below average customer</v>
      </c>
    </row>
    <row r="430" spans="1:28" x14ac:dyDescent="0.35">
      <c r="A430">
        <v>9347</v>
      </c>
      <c r="B430">
        <v>1956</v>
      </c>
      <c r="C430" t="s">
        <v>25</v>
      </c>
      <c r="D430" t="s">
        <v>34</v>
      </c>
      <c r="E430" t="s">
        <v>29</v>
      </c>
      <c r="F430">
        <v>50943</v>
      </c>
      <c r="G430" t="str">
        <f t="shared" si="18"/>
        <v>Mid-low</v>
      </c>
      <c r="H430">
        <v>0</v>
      </c>
      <c r="I430">
        <v>1</v>
      </c>
      <c r="J430">
        <v>1</v>
      </c>
      <c r="K430" s="1">
        <v>41446</v>
      </c>
      <c r="L430">
        <v>49</v>
      </c>
      <c r="M430" t="str">
        <f t="shared" si="19"/>
        <v>Inactive</v>
      </c>
      <c r="N430">
        <v>0</v>
      </c>
      <c r="O430">
        <v>31</v>
      </c>
      <c r="P430">
        <v>0</v>
      </c>
      <c r="Q430">
        <v>7</v>
      </c>
      <c r="R430">
        <v>2</v>
      </c>
      <c r="S430">
        <v>0</v>
      </c>
      <c r="T430">
        <v>6</v>
      </c>
      <c r="U430">
        <v>46</v>
      </c>
      <c r="V430">
        <v>1</v>
      </c>
      <c r="W430">
        <v>1</v>
      </c>
      <c r="X430">
        <v>0</v>
      </c>
      <c r="Y430">
        <v>3</v>
      </c>
      <c r="Z430">
        <v>4</v>
      </c>
      <c r="AA430">
        <v>5</v>
      </c>
      <c r="AB430" t="str">
        <f t="shared" si="20"/>
        <v>Below average customer</v>
      </c>
    </row>
    <row r="431" spans="1:28" x14ac:dyDescent="0.35">
      <c r="A431">
        <v>9699</v>
      </c>
      <c r="B431">
        <v>1966</v>
      </c>
      <c r="C431" t="s">
        <v>28</v>
      </c>
      <c r="D431" t="s">
        <v>26</v>
      </c>
      <c r="E431" t="s">
        <v>35</v>
      </c>
      <c r="F431">
        <v>67272</v>
      </c>
      <c r="G431" t="str">
        <f t="shared" si="18"/>
        <v>Mid-high</v>
      </c>
      <c r="H431">
        <v>0</v>
      </c>
      <c r="I431">
        <v>1</v>
      </c>
      <c r="J431">
        <v>1</v>
      </c>
      <c r="K431" s="1">
        <v>41629</v>
      </c>
      <c r="L431">
        <v>12</v>
      </c>
      <c r="M431" t="str">
        <f t="shared" si="19"/>
        <v>Active</v>
      </c>
      <c r="N431">
        <v>0</v>
      </c>
      <c r="O431">
        <v>357</v>
      </c>
      <c r="P431">
        <v>35</v>
      </c>
      <c r="Q431">
        <v>271</v>
      </c>
      <c r="R431">
        <v>28</v>
      </c>
      <c r="S431">
        <v>28</v>
      </c>
      <c r="T431">
        <v>14</v>
      </c>
      <c r="U431">
        <v>733</v>
      </c>
      <c r="V431">
        <v>3</v>
      </c>
      <c r="W431">
        <v>6</v>
      </c>
      <c r="X431">
        <v>2</v>
      </c>
      <c r="Y431">
        <v>12</v>
      </c>
      <c r="Z431">
        <v>20</v>
      </c>
      <c r="AA431">
        <v>5</v>
      </c>
      <c r="AB431" t="str">
        <f t="shared" si="20"/>
        <v>Above average customer</v>
      </c>
    </row>
    <row r="432" spans="1:28" x14ac:dyDescent="0.35">
      <c r="A432">
        <v>10664</v>
      </c>
      <c r="B432">
        <v>1949</v>
      </c>
      <c r="C432" t="s">
        <v>36</v>
      </c>
      <c r="D432" t="s">
        <v>34</v>
      </c>
      <c r="E432" t="s">
        <v>38</v>
      </c>
      <c r="F432">
        <v>51529</v>
      </c>
      <c r="G432" t="str">
        <f t="shared" si="18"/>
        <v>Mid-low</v>
      </c>
      <c r="H432">
        <v>0</v>
      </c>
      <c r="I432">
        <v>1</v>
      </c>
      <c r="J432">
        <v>1</v>
      </c>
      <c r="K432" s="1">
        <v>41524</v>
      </c>
      <c r="L432">
        <v>14</v>
      </c>
      <c r="M432" t="str">
        <f t="shared" si="19"/>
        <v>Active</v>
      </c>
      <c r="N432">
        <v>0</v>
      </c>
      <c r="O432">
        <v>400</v>
      </c>
      <c r="P432">
        <v>4</v>
      </c>
      <c r="Q432">
        <v>35</v>
      </c>
      <c r="R432">
        <v>6</v>
      </c>
      <c r="S432">
        <v>0</v>
      </c>
      <c r="T432">
        <v>22</v>
      </c>
      <c r="U432">
        <v>467</v>
      </c>
      <c r="V432">
        <v>2</v>
      </c>
      <c r="W432">
        <v>9</v>
      </c>
      <c r="X432">
        <v>1</v>
      </c>
      <c r="Y432">
        <v>5</v>
      </c>
      <c r="Z432">
        <v>15</v>
      </c>
      <c r="AA432">
        <v>8</v>
      </c>
      <c r="AB432" t="str">
        <f t="shared" si="20"/>
        <v>Below average customer</v>
      </c>
    </row>
    <row r="433" spans="1:28" x14ac:dyDescent="0.35">
      <c r="A433">
        <v>5455</v>
      </c>
      <c r="B433">
        <v>1971</v>
      </c>
      <c r="C433" t="s">
        <v>28</v>
      </c>
      <c r="D433" t="s">
        <v>32</v>
      </c>
      <c r="E433" t="s">
        <v>33</v>
      </c>
      <c r="F433">
        <v>32011</v>
      </c>
      <c r="G433" t="str">
        <f t="shared" si="18"/>
        <v>Low</v>
      </c>
      <c r="H433">
        <v>1</v>
      </c>
      <c r="I433">
        <v>0</v>
      </c>
      <c r="J433">
        <v>1</v>
      </c>
      <c r="K433" s="1">
        <v>41508</v>
      </c>
      <c r="L433">
        <v>89</v>
      </c>
      <c r="M433" t="str">
        <f t="shared" si="19"/>
        <v>Inactive</v>
      </c>
      <c r="N433">
        <v>0</v>
      </c>
      <c r="O433">
        <v>99</v>
      </c>
      <c r="P433">
        <v>0</v>
      </c>
      <c r="Q433">
        <v>15</v>
      </c>
      <c r="R433">
        <v>2</v>
      </c>
      <c r="S433">
        <v>1</v>
      </c>
      <c r="T433">
        <v>5</v>
      </c>
      <c r="U433">
        <v>122</v>
      </c>
      <c r="V433">
        <v>3</v>
      </c>
      <c r="W433">
        <v>2</v>
      </c>
      <c r="X433">
        <v>1</v>
      </c>
      <c r="Y433">
        <v>4</v>
      </c>
      <c r="Z433">
        <v>7</v>
      </c>
      <c r="AA433">
        <v>7</v>
      </c>
      <c r="AB433" t="str">
        <f t="shared" si="20"/>
        <v>Below average customer</v>
      </c>
    </row>
    <row r="434" spans="1:28" x14ac:dyDescent="0.35">
      <c r="A434">
        <v>456</v>
      </c>
      <c r="B434">
        <v>1986</v>
      </c>
      <c r="C434" t="s">
        <v>30</v>
      </c>
      <c r="D434" t="s">
        <v>34</v>
      </c>
      <c r="E434" t="s">
        <v>33</v>
      </c>
      <c r="F434">
        <v>7500</v>
      </c>
      <c r="G434" t="str">
        <f t="shared" si="18"/>
        <v>Low</v>
      </c>
      <c r="H434">
        <v>1</v>
      </c>
      <c r="I434">
        <v>0</v>
      </c>
      <c r="J434">
        <v>1</v>
      </c>
      <c r="K434" s="1">
        <v>41312</v>
      </c>
      <c r="L434">
        <v>96</v>
      </c>
      <c r="M434" t="str">
        <f t="shared" si="19"/>
        <v>Inactive</v>
      </c>
      <c r="N434">
        <v>0</v>
      </c>
      <c r="O434">
        <v>1</v>
      </c>
      <c r="P434">
        <v>11</v>
      </c>
      <c r="Q434">
        <v>5</v>
      </c>
      <c r="R434">
        <v>4</v>
      </c>
      <c r="S434">
        <v>6</v>
      </c>
      <c r="T434">
        <v>9</v>
      </c>
      <c r="U434">
        <v>36</v>
      </c>
      <c r="V434">
        <v>2</v>
      </c>
      <c r="W434">
        <v>2</v>
      </c>
      <c r="X434">
        <v>0</v>
      </c>
      <c r="Y434">
        <v>3</v>
      </c>
      <c r="Z434">
        <v>5</v>
      </c>
      <c r="AA434">
        <v>8</v>
      </c>
      <c r="AB434" t="str">
        <f t="shared" si="20"/>
        <v>Below average customer</v>
      </c>
    </row>
    <row r="435" spans="1:28" x14ac:dyDescent="0.35">
      <c r="A435">
        <v>5012</v>
      </c>
      <c r="B435">
        <v>1989</v>
      </c>
      <c r="C435" t="s">
        <v>30</v>
      </c>
      <c r="D435" t="s">
        <v>26</v>
      </c>
      <c r="E435" t="s">
        <v>33</v>
      </c>
      <c r="F435">
        <v>28691</v>
      </c>
      <c r="G435" t="str">
        <f t="shared" si="18"/>
        <v>Low</v>
      </c>
      <c r="H435">
        <v>1</v>
      </c>
      <c r="I435">
        <v>0</v>
      </c>
      <c r="J435">
        <v>1</v>
      </c>
      <c r="K435" s="1">
        <v>41459</v>
      </c>
      <c r="L435">
        <v>56</v>
      </c>
      <c r="M435" t="str">
        <f t="shared" si="19"/>
        <v>Inactive</v>
      </c>
      <c r="N435">
        <v>0</v>
      </c>
      <c r="O435">
        <v>5</v>
      </c>
      <c r="P435">
        <v>4</v>
      </c>
      <c r="Q435">
        <v>13</v>
      </c>
      <c r="R435">
        <v>8</v>
      </c>
      <c r="S435">
        <v>0</v>
      </c>
      <c r="T435">
        <v>4</v>
      </c>
      <c r="U435">
        <v>34</v>
      </c>
      <c r="V435">
        <v>1</v>
      </c>
      <c r="W435">
        <v>1</v>
      </c>
      <c r="X435">
        <v>0</v>
      </c>
      <c r="Y435">
        <v>3</v>
      </c>
      <c r="Z435">
        <v>4</v>
      </c>
      <c r="AA435">
        <v>8</v>
      </c>
      <c r="AB435" t="str">
        <f t="shared" si="20"/>
        <v>Below average customer</v>
      </c>
    </row>
    <row r="436" spans="1:28" x14ac:dyDescent="0.35">
      <c r="A436">
        <v>7495</v>
      </c>
      <c r="B436">
        <v>1948</v>
      </c>
      <c r="C436" t="s">
        <v>36</v>
      </c>
      <c r="D436" t="s">
        <v>32</v>
      </c>
      <c r="E436" t="s">
        <v>33</v>
      </c>
      <c r="F436">
        <v>56223</v>
      </c>
      <c r="G436" t="str">
        <f t="shared" si="18"/>
        <v>Mid-high</v>
      </c>
      <c r="H436">
        <v>0</v>
      </c>
      <c r="I436">
        <v>1</v>
      </c>
      <c r="J436">
        <v>1</v>
      </c>
      <c r="K436" s="1">
        <v>41628</v>
      </c>
      <c r="L436">
        <v>72</v>
      </c>
      <c r="M436" t="str">
        <f t="shared" si="19"/>
        <v>Inactive</v>
      </c>
      <c r="N436">
        <v>0</v>
      </c>
      <c r="O436">
        <v>77</v>
      </c>
      <c r="P436">
        <v>28</v>
      </c>
      <c r="Q436">
        <v>31</v>
      </c>
      <c r="R436">
        <v>16</v>
      </c>
      <c r="S436">
        <v>0</v>
      </c>
      <c r="T436">
        <v>4</v>
      </c>
      <c r="U436">
        <v>156</v>
      </c>
      <c r="V436">
        <v>2</v>
      </c>
      <c r="W436">
        <v>2</v>
      </c>
      <c r="X436">
        <v>1</v>
      </c>
      <c r="Y436">
        <v>5</v>
      </c>
      <c r="Z436">
        <v>8</v>
      </c>
      <c r="AA436">
        <v>4</v>
      </c>
      <c r="AB436" t="str">
        <f t="shared" si="20"/>
        <v>Below average customer</v>
      </c>
    </row>
    <row r="437" spans="1:28" x14ac:dyDescent="0.35">
      <c r="A437">
        <v>5029</v>
      </c>
      <c r="B437">
        <v>1946</v>
      </c>
      <c r="C437" t="s">
        <v>36</v>
      </c>
      <c r="D437" t="s">
        <v>26</v>
      </c>
      <c r="E437" t="s">
        <v>33</v>
      </c>
      <c r="F437">
        <v>18100</v>
      </c>
      <c r="G437" t="str">
        <f t="shared" si="18"/>
        <v>Low</v>
      </c>
      <c r="H437">
        <v>0</v>
      </c>
      <c r="I437">
        <v>0</v>
      </c>
      <c r="J437">
        <v>0</v>
      </c>
      <c r="K437" s="1">
        <v>41492</v>
      </c>
      <c r="L437">
        <v>14</v>
      </c>
      <c r="M437" t="str">
        <f t="shared" si="19"/>
        <v>Active</v>
      </c>
      <c r="N437">
        <v>0</v>
      </c>
      <c r="O437">
        <v>3</v>
      </c>
      <c r="P437">
        <v>1</v>
      </c>
      <c r="Q437">
        <v>2</v>
      </c>
      <c r="R437">
        <v>4</v>
      </c>
      <c r="S437">
        <v>3</v>
      </c>
      <c r="T437">
        <v>1</v>
      </c>
      <c r="U437">
        <v>14</v>
      </c>
      <c r="V437">
        <v>1</v>
      </c>
      <c r="W437">
        <v>0</v>
      </c>
      <c r="X437">
        <v>0</v>
      </c>
      <c r="Y437">
        <v>3</v>
      </c>
      <c r="Z437">
        <v>3</v>
      </c>
      <c r="AA437">
        <v>5</v>
      </c>
      <c r="AB437" t="str">
        <f t="shared" si="20"/>
        <v>Below average customer</v>
      </c>
    </row>
    <row r="438" spans="1:28" x14ac:dyDescent="0.35">
      <c r="A438">
        <v>2106</v>
      </c>
      <c r="B438">
        <v>1974</v>
      </c>
      <c r="C438" t="s">
        <v>31</v>
      </c>
      <c r="D438" t="s">
        <v>34</v>
      </c>
      <c r="E438" t="s">
        <v>33</v>
      </c>
      <c r="F438">
        <v>20130</v>
      </c>
      <c r="G438" t="str">
        <f t="shared" si="18"/>
        <v>Low</v>
      </c>
      <c r="H438">
        <v>0</v>
      </c>
      <c r="I438">
        <v>0</v>
      </c>
      <c r="J438">
        <v>0</v>
      </c>
      <c r="K438" s="1">
        <v>41715</v>
      </c>
      <c r="L438">
        <v>99</v>
      </c>
      <c r="M438" t="str">
        <f t="shared" si="19"/>
        <v>Inactive</v>
      </c>
      <c r="N438">
        <v>0</v>
      </c>
      <c r="O438">
        <v>0</v>
      </c>
      <c r="P438">
        <v>6</v>
      </c>
      <c r="Q438">
        <v>3</v>
      </c>
      <c r="R438">
        <v>7</v>
      </c>
      <c r="S438">
        <v>6</v>
      </c>
      <c r="T438">
        <v>12</v>
      </c>
      <c r="U438">
        <v>34</v>
      </c>
      <c r="V438">
        <v>1</v>
      </c>
      <c r="W438">
        <v>1</v>
      </c>
      <c r="X438">
        <v>0</v>
      </c>
      <c r="Y438">
        <v>3</v>
      </c>
      <c r="Z438">
        <v>4</v>
      </c>
      <c r="AA438">
        <v>8</v>
      </c>
      <c r="AB438" t="str">
        <f t="shared" si="20"/>
        <v>Below average customer</v>
      </c>
    </row>
    <row r="439" spans="1:28" x14ac:dyDescent="0.35">
      <c r="A439">
        <v>10364</v>
      </c>
      <c r="B439">
        <v>1959</v>
      </c>
      <c r="C439" t="s">
        <v>25</v>
      </c>
      <c r="D439" t="s">
        <v>26</v>
      </c>
      <c r="E439" t="s">
        <v>35</v>
      </c>
      <c r="F439">
        <v>23295</v>
      </c>
      <c r="G439" t="str">
        <f t="shared" si="18"/>
        <v>Low</v>
      </c>
      <c r="H439">
        <v>0</v>
      </c>
      <c r="I439">
        <v>0</v>
      </c>
      <c r="J439">
        <v>0</v>
      </c>
      <c r="K439" s="1">
        <v>41468</v>
      </c>
      <c r="L439">
        <v>72</v>
      </c>
      <c r="M439" t="str">
        <f t="shared" si="19"/>
        <v>Inactive</v>
      </c>
      <c r="N439">
        <v>0</v>
      </c>
      <c r="O439">
        <v>0</v>
      </c>
      <c r="P439">
        <v>0</v>
      </c>
      <c r="Q439">
        <v>1</v>
      </c>
      <c r="R439">
        <v>2</v>
      </c>
      <c r="S439">
        <v>12</v>
      </c>
      <c r="T439">
        <v>5</v>
      </c>
      <c r="U439">
        <v>20</v>
      </c>
      <c r="V439">
        <v>1</v>
      </c>
      <c r="W439">
        <v>1</v>
      </c>
      <c r="X439">
        <v>0</v>
      </c>
      <c r="Y439">
        <v>2</v>
      </c>
      <c r="Z439">
        <v>3</v>
      </c>
      <c r="AA439">
        <v>8</v>
      </c>
      <c r="AB439" t="str">
        <f t="shared" si="20"/>
        <v>Below average customer</v>
      </c>
    </row>
    <row r="440" spans="1:28" x14ac:dyDescent="0.35">
      <c r="A440">
        <v>5954</v>
      </c>
      <c r="B440">
        <v>1972</v>
      </c>
      <c r="C440" t="s">
        <v>28</v>
      </c>
      <c r="D440" t="s">
        <v>34</v>
      </c>
      <c r="E440" t="s">
        <v>35</v>
      </c>
      <c r="F440">
        <v>42618</v>
      </c>
      <c r="G440" t="str">
        <f t="shared" si="18"/>
        <v>Mid-low</v>
      </c>
      <c r="H440">
        <v>1</v>
      </c>
      <c r="I440">
        <v>0</v>
      </c>
      <c r="J440">
        <v>1</v>
      </c>
      <c r="K440" s="1">
        <v>41556</v>
      </c>
      <c r="L440">
        <v>92</v>
      </c>
      <c r="M440" t="str">
        <f t="shared" si="19"/>
        <v>Inactive</v>
      </c>
      <c r="N440">
        <v>0</v>
      </c>
      <c r="O440">
        <v>76</v>
      </c>
      <c r="P440">
        <v>14</v>
      </c>
      <c r="Q440">
        <v>74</v>
      </c>
      <c r="R440">
        <v>13</v>
      </c>
      <c r="S440">
        <v>5</v>
      </c>
      <c r="T440">
        <v>10</v>
      </c>
      <c r="U440">
        <v>192</v>
      </c>
      <c r="V440">
        <v>2</v>
      </c>
      <c r="W440">
        <v>5</v>
      </c>
      <c r="X440">
        <v>0</v>
      </c>
      <c r="Y440">
        <v>4</v>
      </c>
      <c r="Z440">
        <v>9</v>
      </c>
      <c r="AA440">
        <v>8</v>
      </c>
      <c r="AB440" t="str">
        <f t="shared" si="20"/>
        <v>Below average customer</v>
      </c>
    </row>
    <row r="441" spans="1:28" x14ac:dyDescent="0.35">
      <c r="A441">
        <v>1137</v>
      </c>
      <c r="B441">
        <v>1964</v>
      </c>
      <c r="C441" t="s">
        <v>28</v>
      </c>
      <c r="D441" t="s">
        <v>26</v>
      </c>
      <c r="E441" t="s">
        <v>27</v>
      </c>
      <c r="F441">
        <v>81246</v>
      </c>
      <c r="G441" t="str">
        <f t="shared" si="18"/>
        <v>High</v>
      </c>
      <c r="H441">
        <v>0</v>
      </c>
      <c r="I441">
        <v>0</v>
      </c>
      <c r="J441">
        <v>0</v>
      </c>
      <c r="K441" s="1">
        <v>41637</v>
      </c>
      <c r="L441">
        <v>87</v>
      </c>
      <c r="M441" t="str">
        <f t="shared" si="19"/>
        <v>Inactive</v>
      </c>
      <c r="N441">
        <v>0</v>
      </c>
      <c r="O441">
        <v>398</v>
      </c>
      <c r="P441">
        <v>190</v>
      </c>
      <c r="Q441">
        <v>537</v>
      </c>
      <c r="R441">
        <v>61</v>
      </c>
      <c r="S441">
        <v>156</v>
      </c>
      <c r="T441">
        <v>37</v>
      </c>
      <c r="U441">
        <v>1379</v>
      </c>
      <c r="V441">
        <v>1</v>
      </c>
      <c r="W441">
        <v>4</v>
      </c>
      <c r="X441">
        <v>5</v>
      </c>
      <c r="Y441">
        <v>7</v>
      </c>
      <c r="Z441">
        <v>16</v>
      </c>
      <c r="AA441">
        <v>1</v>
      </c>
      <c r="AB441" t="str">
        <f t="shared" si="20"/>
        <v>Below average customer</v>
      </c>
    </row>
    <row r="442" spans="1:28" x14ac:dyDescent="0.35">
      <c r="A442">
        <v>2541</v>
      </c>
      <c r="B442">
        <v>1976</v>
      </c>
      <c r="C442" t="s">
        <v>31</v>
      </c>
      <c r="D442" t="s">
        <v>26</v>
      </c>
      <c r="E442" t="s">
        <v>33</v>
      </c>
      <c r="F442">
        <v>24027</v>
      </c>
      <c r="G442" t="str">
        <f t="shared" si="18"/>
        <v>Low</v>
      </c>
      <c r="H442">
        <v>1</v>
      </c>
      <c r="I442">
        <v>0</v>
      </c>
      <c r="J442">
        <v>1</v>
      </c>
      <c r="K442" s="1">
        <v>41434</v>
      </c>
      <c r="L442">
        <v>7</v>
      </c>
      <c r="M442" t="str">
        <f t="shared" si="19"/>
        <v>Active</v>
      </c>
      <c r="N442">
        <v>0</v>
      </c>
      <c r="O442">
        <v>14</v>
      </c>
      <c r="P442">
        <v>7</v>
      </c>
      <c r="Q442">
        <v>11</v>
      </c>
      <c r="R442">
        <v>11</v>
      </c>
      <c r="S442">
        <v>0</v>
      </c>
      <c r="T442">
        <v>5</v>
      </c>
      <c r="U442">
        <v>48</v>
      </c>
      <c r="V442">
        <v>2</v>
      </c>
      <c r="W442">
        <v>2</v>
      </c>
      <c r="X442">
        <v>0</v>
      </c>
      <c r="Y442">
        <v>3</v>
      </c>
      <c r="Z442">
        <v>5</v>
      </c>
      <c r="AA442">
        <v>8</v>
      </c>
      <c r="AB442" t="str">
        <f t="shared" si="20"/>
        <v>Below average customer</v>
      </c>
    </row>
    <row r="443" spans="1:28" x14ac:dyDescent="0.35">
      <c r="A443">
        <v>1142</v>
      </c>
      <c r="B443">
        <v>1953</v>
      </c>
      <c r="C443" t="s">
        <v>25</v>
      </c>
      <c r="D443" t="s">
        <v>32</v>
      </c>
      <c r="E443" t="s">
        <v>33</v>
      </c>
      <c r="F443">
        <v>55707</v>
      </c>
      <c r="G443" t="str">
        <f t="shared" si="18"/>
        <v>Mid-high</v>
      </c>
      <c r="H443">
        <v>0</v>
      </c>
      <c r="I443">
        <v>1</v>
      </c>
      <c r="J443">
        <v>1</v>
      </c>
      <c r="K443" s="1">
        <v>41630</v>
      </c>
      <c r="L443">
        <v>91</v>
      </c>
      <c r="M443" t="str">
        <f t="shared" si="19"/>
        <v>Inactive</v>
      </c>
      <c r="N443">
        <v>0</v>
      </c>
      <c r="O443">
        <v>208</v>
      </c>
      <c r="P443">
        <v>7</v>
      </c>
      <c r="Q443">
        <v>82</v>
      </c>
      <c r="R443">
        <v>30</v>
      </c>
      <c r="S443">
        <v>66</v>
      </c>
      <c r="T443">
        <v>35</v>
      </c>
      <c r="U443">
        <v>428</v>
      </c>
      <c r="V443">
        <v>2</v>
      </c>
      <c r="W443">
        <v>3</v>
      </c>
      <c r="X443">
        <v>2</v>
      </c>
      <c r="Y443">
        <v>9</v>
      </c>
      <c r="Z443">
        <v>14</v>
      </c>
      <c r="AA443">
        <v>3</v>
      </c>
      <c r="AB443" t="str">
        <f t="shared" si="20"/>
        <v>Below average customer</v>
      </c>
    </row>
    <row r="444" spans="1:28" x14ac:dyDescent="0.35">
      <c r="A444">
        <v>2276</v>
      </c>
      <c r="B444">
        <v>1955</v>
      </c>
      <c r="C444" t="s">
        <v>25</v>
      </c>
      <c r="D444" t="s">
        <v>26</v>
      </c>
      <c r="E444" t="s">
        <v>27</v>
      </c>
      <c r="F444">
        <v>57959</v>
      </c>
      <c r="G444" t="str">
        <f t="shared" si="18"/>
        <v>Mid-high</v>
      </c>
      <c r="H444">
        <v>0</v>
      </c>
      <c r="I444">
        <v>1</v>
      </c>
      <c r="J444">
        <v>1</v>
      </c>
      <c r="K444" s="1">
        <v>41396</v>
      </c>
      <c r="L444">
        <v>71</v>
      </c>
      <c r="M444" t="str">
        <f t="shared" si="19"/>
        <v>Inactive</v>
      </c>
      <c r="N444">
        <v>0</v>
      </c>
      <c r="O444">
        <v>430</v>
      </c>
      <c r="P444">
        <v>16</v>
      </c>
      <c r="Q444">
        <v>322</v>
      </c>
      <c r="R444">
        <v>43</v>
      </c>
      <c r="S444">
        <v>24</v>
      </c>
      <c r="T444">
        <v>33</v>
      </c>
      <c r="U444">
        <v>868</v>
      </c>
      <c r="V444">
        <v>5</v>
      </c>
      <c r="W444">
        <v>4</v>
      </c>
      <c r="X444">
        <v>7</v>
      </c>
      <c r="Y444">
        <v>11</v>
      </c>
      <c r="Z444">
        <v>22</v>
      </c>
      <c r="AA444">
        <v>3</v>
      </c>
      <c r="AB444" t="str">
        <f t="shared" si="20"/>
        <v>Below average customer</v>
      </c>
    </row>
    <row r="445" spans="1:28" x14ac:dyDescent="0.35">
      <c r="A445">
        <v>2807</v>
      </c>
      <c r="B445">
        <v>1969</v>
      </c>
      <c r="C445" t="s">
        <v>28</v>
      </c>
      <c r="D445" t="s">
        <v>26</v>
      </c>
      <c r="E445" t="s">
        <v>33</v>
      </c>
      <c r="F445">
        <v>56796</v>
      </c>
      <c r="G445" t="str">
        <f t="shared" si="18"/>
        <v>Mid-high</v>
      </c>
      <c r="H445">
        <v>0</v>
      </c>
      <c r="I445">
        <v>1</v>
      </c>
      <c r="J445">
        <v>1</v>
      </c>
      <c r="K445" s="1">
        <v>41321</v>
      </c>
      <c r="L445">
        <v>24</v>
      </c>
      <c r="M445" t="str">
        <f t="shared" si="19"/>
        <v>Active</v>
      </c>
      <c r="N445">
        <v>0</v>
      </c>
      <c r="O445">
        <v>656</v>
      </c>
      <c r="P445">
        <v>38</v>
      </c>
      <c r="Q445">
        <v>161</v>
      </c>
      <c r="R445">
        <v>62</v>
      </c>
      <c r="S445">
        <v>47</v>
      </c>
      <c r="T445">
        <v>37</v>
      </c>
      <c r="U445">
        <v>1001</v>
      </c>
      <c r="V445">
        <v>3</v>
      </c>
      <c r="W445">
        <v>8</v>
      </c>
      <c r="X445">
        <v>9</v>
      </c>
      <c r="Y445">
        <v>7</v>
      </c>
      <c r="Z445">
        <v>24</v>
      </c>
      <c r="AA445">
        <v>7</v>
      </c>
      <c r="AB445" t="str">
        <f t="shared" si="20"/>
        <v>Above average customer</v>
      </c>
    </row>
    <row r="446" spans="1:28" x14ac:dyDescent="0.35">
      <c r="A446">
        <v>6471</v>
      </c>
      <c r="B446">
        <v>1971</v>
      </c>
      <c r="C446" t="s">
        <v>28</v>
      </c>
      <c r="D446" t="s">
        <v>34</v>
      </c>
      <c r="E446" t="s">
        <v>27</v>
      </c>
      <c r="F446">
        <v>36230</v>
      </c>
      <c r="G446" t="str">
        <f t="shared" si="18"/>
        <v>Mid-low</v>
      </c>
      <c r="H446">
        <v>1</v>
      </c>
      <c r="I446">
        <v>0</v>
      </c>
      <c r="J446">
        <v>1</v>
      </c>
      <c r="K446" s="1">
        <v>41564</v>
      </c>
      <c r="L446">
        <v>17</v>
      </c>
      <c r="M446" t="str">
        <f t="shared" si="19"/>
        <v>Active</v>
      </c>
      <c r="N446">
        <v>0</v>
      </c>
      <c r="O446">
        <v>14</v>
      </c>
      <c r="P446">
        <v>2</v>
      </c>
      <c r="Q446">
        <v>30</v>
      </c>
      <c r="R446">
        <v>8</v>
      </c>
      <c r="S446">
        <v>2</v>
      </c>
      <c r="T446">
        <v>3</v>
      </c>
      <c r="U446">
        <v>59</v>
      </c>
      <c r="V446">
        <v>1</v>
      </c>
      <c r="W446">
        <v>2</v>
      </c>
      <c r="X446">
        <v>0</v>
      </c>
      <c r="Y446">
        <v>4</v>
      </c>
      <c r="Z446">
        <v>6</v>
      </c>
      <c r="AA446">
        <v>5</v>
      </c>
      <c r="AB446" t="str">
        <f t="shared" si="20"/>
        <v>Below average customer</v>
      </c>
    </row>
    <row r="447" spans="1:28" x14ac:dyDescent="0.35">
      <c r="A447">
        <v>6131</v>
      </c>
      <c r="B447">
        <v>1980</v>
      </c>
      <c r="C447" t="s">
        <v>31</v>
      </c>
      <c r="D447" t="s">
        <v>34</v>
      </c>
      <c r="E447" t="s">
        <v>33</v>
      </c>
      <c r="F447">
        <v>70829</v>
      </c>
      <c r="G447" t="str">
        <f t="shared" si="18"/>
        <v>High</v>
      </c>
      <c r="H447">
        <v>1</v>
      </c>
      <c r="I447">
        <v>1</v>
      </c>
      <c r="J447">
        <v>2</v>
      </c>
      <c r="K447" s="1">
        <v>41609</v>
      </c>
      <c r="L447">
        <v>87</v>
      </c>
      <c r="M447" t="str">
        <f t="shared" si="19"/>
        <v>Inactive</v>
      </c>
      <c r="N447">
        <v>0</v>
      </c>
      <c r="O447">
        <v>141</v>
      </c>
      <c r="P447">
        <v>70</v>
      </c>
      <c r="Q447">
        <v>106</v>
      </c>
      <c r="R447">
        <v>72</v>
      </c>
      <c r="S447">
        <v>19</v>
      </c>
      <c r="T447">
        <v>23</v>
      </c>
      <c r="U447">
        <v>431</v>
      </c>
      <c r="V447">
        <v>2</v>
      </c>
      <c r="W447">
        <v>4</v>
      </c>
      <c r="X447">
        <v>2</v>
      </c>
      <c r="Y447">
        <v>8</v>
      </c>
      <c r="Z447">
        <v>14</v>
      </c>
      <c r="AA447">
        <v>3</v>
      </c>
      <c r="AB447" t="str">
        <f t="shared" si="20"/>
        <v>Below average customer</v>
      </c>
    </row>
    <row r="448" spans="1:28" x14ac:dyDescent="0.35">
      <c r="A448">
        <v>6233</v>
      </c>
      <c r="B448">
        <v>1976</v>
      </c>
      <c r="C448" t="s">
        <v>31</v>
      </c>
      <c r="D448" t="s">
        <v>26</v>
      </c>
      <c r="E448" t="s">
        <v>33</v>
      </c>
      <c r="F448">
        <v>65991</v>
      </c>
      <c r="G448" t="str">
        <f t="shared" si="18"/>
        <v>Mid-high</v>
      </c>
      <c r="H448">
        <v>0</v>
      </c>
      <c r="I448">
        <v>1</v>
      </c>
      <c r="J448">
        <v>1</v>
      </c>
      <c r="K448" s="1">
        <v>41159</v>
      </c>
      <c r="L448">
        <v>21</v>
      </c>
      <c r="M448" t="str">
        <f t="shared" si="19"/>
        <v>Active</v>
      </c>
      <c r="N448">
        <v>0</v>
      </c>
      <c r="O448">
        <v>507</v>
      </c>
      <c r="P448">
        <v>19</v>
      </c>
      <c r="Q448">
        <v>364</v>
      </c>
      <c r="R448">
        <v>25</v>
      </c>
      <c r="S448">
        <v>47</v>
      </c>
      <c r="T448">
        <v>9</v>
      </c>
      <c r="U448">
        <v>971</v>
      </c>
      <c r="V448">
        <v>3</v>
      </c>
      <c r="W448">
        <v>9</v>
      </c>
      <c r="X448">
        <v>5</v>
      </c>
      <c r="Y448">
        <v>10</v>
      </c>
      <c r="Z448">
        <v>24</v>
      </c>
      <c r="AA448">
        <v>7</v>
      </c>
      <c r="AB448" t="str">
        <f t="shared" si="20"/>
        <v>Above average customer</v>
      </c>
    </row>
    <row r="449" spans="1:28" x14ac:dyDescent="0.35">
      <c r="A449">
        <v>4148</v>
      </c>
      <c r="B449">
        <v>1972</v>
      </c>
      <c r="C449" t="s">
        <v>28</v>
      </c>
      <c r="D449" t="s">
        <v>26</v>
      </c>
      <c r="E449" t="s">
        <v>33</v>
      </c>
      <c r="F449">
        <v>38988</v>
      </c>
      <c r="G449" t="str">
        <f t="shared" si="18"/>
        <v>Mid-low</v>
      </c>
      <c r="H449">
        <v>1</v>
      </c>
      <c r="I449">
        <v>2</v>
      </c>
      <c r="J449">
        <v>3</v>
      </c>
      <c r="K449" s="1">
        <v>41141</v>
      </c>
      <c r="L449">
        <v>90</v>
      </c>
      <c r="M449" t="str">
        <f t="shared" si="19"/>
        <v>Inactive</v>
      </c>
      <c r="N449">
        <v>0</v>
      </c>
      <c r="O449">
        <v>164</v>
      </c>
      <c r="P449">
        <v>24</v>
      </c>
      <c r="Q449">
        <v>103</v>
      </c>
      <c r="R449">
        <v>12</v>
      </c>
      <c r="S449">
        <v>3</v>
      </c>
      <c r="T449">
        <v>42</v>
      </c>
      <c r="U449">
        <v>348</v>
      </c>
      <c r="V449">
        <v>7</v>
      </c>
      <c r="W449">
        <v>5</v>
      </c>
      <c r="X449">
        <v>1</v>
      </c>
      <c r="Y449">
        <v>6</v>
      </c>
      <c r="Z449">
        <v>12</v>
      </c>
      <c r="AA449">
        <v>8</v>
      </c>
      <c r="AB449" t="str">
        <f t="shared" si="20"/>
        <v>Below average customer</v>
      </c>
    </row>
    <row r="450" spans="1:28" x14ac:dyDescent="0.35">
      <c r="A450">
        <v>4947</v>
      </c>
      <c r="B450">
        <v>1966</v>
      </c>
      <c r="C450" t="s">
        <v>28</v>
      </c>
      <c r="D450" t="s">
        <v>34</v>
      </c>
      <c r="E450" t="s">
        <v>27</v>
      </c>
      <c r="F450">
        <v>89572</v>
      </c>
      <c r="G450" t="str">
        <f t="shared" ref="G450:G513" si="21">IF(F450&lt;=_xlfn.PERCENTILE.INC($F$2:$F$2056,0.25),"Low",IF(F450&lt;=_xlfn.PERCENTILE.INC($F$2:$F$2056,0.5),"Mid-low",IF(F450&lt;=_xlfn.PERCENTILE.INC($F$2:$F$2056,0.75),"Mid-high","High")))</f>
        <v>High</v>
      </c>
      <c r="H450">
        <v>0</v>
      </c>
      <c r="I450">
        <v>0</v>
      </c>
      <c r="J450">
        <v>0</v>
      </c>
      <c r="K450" s="1">
        <v>41167</v>
      </c>
      <c r="L450">
        <v>44</v>
      </c>
      <c r="M450" t="str">
        <f t="shared" ref="M450:M513" si="22">IF(L450&gt;AVERAGE($L$2:$L$2056),"Inactive","Active")</f>
        <v>Active</v>
      </c>
      <c r="N450">
        <v>0</v>
      </c>
      <c r="O450">
        <v>606</v>
      </c>
      <c r="P450">
        <v>24</v>
      </c>
      <c r="Q450">
        <v>974</v>
      </c>
      <c r="R450">
        <v>197</v>
      </c>
      <c r="S450">
        <v>194</v>
      </c>
      <c r="T450">
        <v>64</v>
      </c>
      <c r="U450">
        <v>2059</v>
      </c>
      <c r="V450">
        <v>1</v>
      </c>
      <c r="W450">
        <v>7</v>
      </c>
      <c r="X450">
        <v>7</v>
      </c>
      <c r="Y450">
        <v>9</v>
      </c>
      <c r="Z450">
        <v>23</v>
      </c>
      <c r="AA450">
        <v>4</v>
      </c>
      <c r="AB450" t="str">
        <f t="shared" ref="AB450:AB513" si="23">IF(AND(Z450&gt;AVERAGE($Z$2:$Z$2056),U450&gt;AVERAGE($U$2:$U$2056),N450=0,L450&lt;AVERAGE($L$2:$L$2056),F450&gt;AVERAGE($F$2:$F$2240)),"Above average customer","Below average customer")</f>
        <v>Above average customer</v>
      </c>
    </row>
    <row r="451" spans="1:28" x14ac:dyDescent="0.35">
      <c r="A451">
        <v>3225</v>
      </c>
      <c r="B451">
        <v>1984</v>
      </c>
      <c r="C451" t="s">
        <v>30</v>
      </c>
      <c r="D451" t="s">
        <v>34</v>
      </c>
      <c r="E451" t="s">
        <v>33</v>
      </c>
      <c r="F451">
        <v>42207</v>
      </c>
      <c r="G451" t="str">
        <f t="shared" si="21"/>
        <v>Mid-low</v>
      </c>
      <c r="H451">
        <v>1</v>
      </c>
      <c r="I451">
        <v>0</v>
      </c>
      <c r="J451">
        <v>1</v>
      </c>
      <c r="K451" s="1">
        <v>41365</v>
      </c>
      <c r="L451">
        <v>71</v>
      </c>
      <c r="M451" t="str">
        <f t="shared" si="22"/>
        <v>Inactive</v>
      </c>
      <c r="N451">
        <v>0</v>
      </c>
      <c r="O451">
        <v>116</v>
      </c>
      <c r="P451">
        <v>11</v>
      </c>
      <c r="Q451">
        <v>72</v>
      </c>
      <c r="R451">
        <v>3</v>
      </c>
      <c r="S451">
        <v>17</v>
      </c>
      <c r="T451">
        <v>46</v>
      </c>
      <c r="U451">
        <v>265</v>
      </c>
      <c r="V451">
        <v>4</v>
      </c>
      <c r="W451">
        <v>4</v>
      </c>
      <c r="X451">
        <v>1</v>
      </c>
      <c r="Y451">
        <v>5</v>
      </c>
      <c r="Z451">
        <v>10</v>
      </c>
      <c r="AA451">
        <v>6</v>
      </c>
      <c r="AB451" t="str">
        <f t="shared" si="23"/>
        <v>Below average customer</v>
      </c>
    </row>
    <row r="452" spans="1:28" x14ac:dyDescent="0.35">
      <c r="A452">
        <v>7540</v>
      </c>
      <c r="B452">
        <v>1952</v>
      </c>
      <c r="C452" t="s">
        <v>36</v>
      </c>
      <c r="D452" t="s">
        <v>26</v>
      </c>
      <c r="E452" t="s">
        <v>33</v>
      </c>
      <c r="F452">
        <v>50300</v>
      </c>
      <c r="G452" t="str">
        <f t="shared" si="21"/>
        <v>Mid-low</v>
      </c>
      <c r="H452">
        <v>0</v>
      </c>
      <c r="I452">
        <v>1</v>
      </c>
      <c r="J452">
        <v>1</v>
      </c>
      <c r="K452" s="1">
        <v>41784</v>
      </c>
      <c r="L452">
        <v>52</v>
      </c>
      <c r="M452" t="str">
        <f t="shared" si="22"/>
        <v>Inactive</v>
      </c>
      <c r="N452">
        <v>0</v>
      </c>
      <c r="O452">
        <v>143</v>
      </c>
      <c r="P452">
        <v>15</v>
      </c>
      <c r="Q452">
        <v>60</v>
      </c>
      <c r="R452">
        <v>24</v>
      </c>
      <c r="S452">
        <v>23</v>
      </c>
      <c r="T452">
        <v>5</v>
      </c>
      <c r="U452">
        <v>270</v>
      </c>
      <c r="V452">
        <v>2</v>
      </c>
      <c r="W452">
        <v>2</v>
      </c>
      <c r="X452">
        <v>1</v>
      </c>
      <c r="Y452">
        <v>8</v>
      </c>
      <c r="Z452">
        <v>11</v>
      </c>
      <c r="AA452">
        <v>2</v>
      </c>
      <c r="AB452" t="str">
        <f t="shared" si="23"/>
        <v>Below average customer</v>
      </c>
    </row>
    <row r="453" spans="1:28" x14ac:dyDescent="0.35">
      <c r="A453">
        <v>10648</v>
      </c>
      <c r="B453">
        <v>1982</v>
      </c>
      <c r="C453" t="s">
        <v>31</v>
      </c>
      <c r="D453" t="s">
        <v>34</v>
      </c>
      <c r="E453" t="s">
        <v>29</v>
      </c>
      <c r="F453">
        <v>66664</v>
      </c>
      <c r="G453" t="str">
        <f t="shared" si="21"/>
        <v>Mid-high</v>
      </c>
      <c r="H453">
        <v>0</v>
      </c>
      <c r="I453">
        <v>0</v>
      </c>
      <c r="J453">
        <v>0</v>
      </c>
      <c r="K453" s="1">
        <v>41177</v>
      </c>
      <c r="L453">
        <v>78</v>
      </c>
      <c r="M453" t="str">
        <f t="shared" si="22"/>
        <v>Inactive</v>
      </c>
      <c r="N453">
        <v>0</v>
      </c>
      <c r="O453">
        <v>398</v>
      </c>
      <c r="P453">
        <v>96</v>
      </c>
      <c r="Q453">
        <v>447</v>
      </c>
      <c r="R453">
        <v>220</v>
      </c>
      <c r="S453">
        <v>96</v>
      </c>
      <c r="T453">
        <v>32</v>
      </c>
      <c r="U453">
        <v>1289</v>
      </c>
      <c r="V453">
        <v>1</v>
      </c>
      <c r="W453">
        <v>5</v>
      </c>
      <c r="X453">
        <v>7</v>
      </c>
      <c r="Y453">
        <v>6</v>
      </c>
      <c r="Z453">
        <v>18</v>
      </c>
      <c r="AA453">
        <v>3</v>
      </c>
      <c r="AB453" t="str">
        <f t="shared" si="23"/>
        <v>Below average customer</v>
      </c>
    </row>
    <row r="454" spans="1:28" x14ac:dyDescent="0.35">
      <c r="A454">
        <v>1992</v>
      </c>
      <c r="B454">
        <v>1964</v>
      </c>
      <c r="C454" t="s">
        <v>28</v>
      </c>
      <c r="D454" t="s">
        <v>26</v>
      </c>
      <c r="E454" t="s">
        <v>33</v>
      </c>
      <c r="F454">
        <v>60597</v>
      </c>
      <c r="G454" t="str">
        <f t="shared" si="21"/>
        <v>Mid-high</v>
      </c>
      <c r="H454">
        <v>0</v>
      </c>
      <c r="I454">
        <v>1</v>
      </c>
      <c r="J454">
        <v>1</v>
      </c>
      <c r="K454" s="1">
        <v>41640</v>
      </c>
      <c r="L454">
        <v>2</v>
      </c>
      <c r="M454" t="str">
        <f t="shared" si="22"/>
        <v>Active</v>
      </c>
      <c r="N454">
        <v>0</v>
      </c>
      <c r="O454">
        <v>522</v>
      </c>
      <c r="P454">
        <v>0</v>
      </c>
      <c r="Q454">
        <v>257</v>
      </c>
      <c r="R454">
        <v>32</v>
      </c>
      <c r="S454">
        <v>16</v>
      </c>
      <c r="T454">
        <v>66</v>
      </c>
      <c r="U454">
        <v>893</v>
      </c>
      <c r="V454">
        <v>4</v>
      </c>
      <c r="W454">
        <v>2</v>
      </c>
      <c r="X454">
        <v>2</v>
      </c>
      <c r="Y454">
        <v>8</v>
      </c>
      <c r="Z454">
        <v>12</v>
      </c>
      <c r="AA454">
        <v>7</v>
      </c>
      <c r="AB454" t="str">
        <f t="shared" si="23"/>
        <v>Below average customer</v>
      </c>
    </row>
    <row r="455" spans="1:28" x14ac:dyDescent="0.35">
      <c r="A455">
        <v>7851</v>
      </c>
      <c r="B455">
        <v>1949</v>
      </c>
      <c r="C455" t="s">
        <v>36</v>
      </c>
      <c r="D455" t="s">
        <v>26</v>
      </c>
      <c r="E455" t="s">
        <v>38</v>
      </c>
      <c r="F455">
        <v>70165</v>
      </c>
      <c r="G455" t="str">
        <f t="shared" si="21"/>
        <v>High</v>
      </c>
      <c r="H455">
        <v>0</v>
      </c>
      <c r="I455">
        <v>0</v>
      </c>
      <c r="J455">
        <v>0</v>
      </c>
      <c r="K455" s="1">
        <v>41539</v>
      </c>
      <c r="L455">
        <v>60</v>
      </c>
      <c r="M455" t="str">
        <f t="shared" si="22"/>
        <v>Inactive</v>
      </c>
      <c r="N455">
        <v>0</v>
      </c>
      <c r="O455">
        <v>161</v>
      </c>
      <c r="P455">
        <v>0</v>
      </c>
      <c r="Q455">
        <v>253</v>
      </c>
      <c r="R455">
        <v>199</v>
      </c>
      <c r="S455">
        <v>191</v>
      </c>
      <c r="T455">
        <v>122</v>
      </c>
      <c r="U455">
        <v>926</v>
      </c>
      <c r="V455">
        <v>1</v>
      </c>
      <c r="W455">
        <v>3</v>
      </c>
      <c r="X455">
        <v>7</v>
      </c>
      <c r="Y455">
        <v>11</v>
      </c>
      <c r="Z455">
        <v>21</v>
      </c>
      <c r="AA455">
        <v>1</v>
      </c>
      <c r="AB455" t="str">
        <f t="shared" si="23"/>
        <v>Below average customer</v>
      </c>
    </row>
    <row r="456" spans="1:28" x14ac:dyDescent="0.35">
      <c r="A456">
        <v>8594</v>
      </c>
      <c r="B456">
        <v>1958</v>
      </c>
      <c r="C456" t="s">
        <v>25</v>
      </c>
      <c r="D456" t="s">
        <v>32</v>
      </c>
      <c r="E456" t="s">
        <v>38</v>
      </c>
      <c r="F456">
        <v>50520</v>
      </c>
      <c r="G456" t="str">
        <f t="shared" si="21"/>
        <v>Mid-low</v>
      </c>
      <c r="H456">
        <v>0</v>
      </c>
      <c r="I456">
        <v>1</v>
      </c>
      <c r="J456">
        <v>1</v>
      </c>
      <c r="K456" s="1">
        <v>41667</v>
      </c>
      <c r="L456">
        <v>25</v>
      </c>
      <c r="M456" t="str">
        <f t="shared" si="22"/>
        <v>Active</v>
      </c>
      <c r="N456">
        <v>0</v>
      </c>
      <c r="O456">
        <v>112</v>
      </c>
      <c r="P456">
        <v>0</v>
      </c>
      <c r="Q456">
        <v>6</v>
      </c>
      <c r="R456">
        <v>2</v>
      </c>
      <c r="S456">
        <v>1</v>
      </c>
      <c r="T456">
        <v>14</v>
      </c>
      <c r="U456">
        <v>135</v>
      </c>
      <c r="V456">
        <v>2</v>
      </c>
      <c r="W456">
        <v>3</v>
      </c>
      <c r="X456">
        <v>1</v>
      </c>
      <c r="Y456">
        <v>3</v>
      </c>
      <c r="Z456">
        <v>7</v>
      </c>
      <c r="AA456">
        <v>6</v>
      </c>
      <c r="AB456" t="str">
        <f t="shared" si="23"/>
        <v>Below average customer</v>
      </c>
    </row>
    <row r="457" spans="1:28" x14ac:dyDescent="0.35">
      <c r="A457">
        <v>2815</v>
      </c>
      <c r="B457">
        <v>1975</v>
      </c>
      <c r="C457" t="s">
        <v>31</v>
      </c>
      <c r="D457" t="s">
        <v>26</v>
      </c>
      <c r="E457" t="s">
        <v>33</v>
      </c>
      <c r="F457">
        <v>33183</v>
      </c>
      <c r="G457" t="str">
        <f t="shared" si="21"/>
        <v>Low</v>
      </c>
      <c r="H457">
        <v>1</v>
      </c>
      <c r="I457">
        <v>0</v>
      </c>
      <c r="J457">
        <v>1</v>
      </c>
      <c r="K457" s="1">
        <v>41694</v>
      </c>
      <c r="L457">
        <v>46</v>
      </c>
      <c r="M457" t="str">
        <f t="shared" si="22"/>
        <v>Active</v>
      </c>
      <c r="N457">
        <v>0</v>
      </c>
      <c r="O457">
        <v>7</v>
      </c>
      <c r="P457">
        <v>5</v>
      </c>
      <c r="Q457">
        <v>39</v>
      </c>
      <c r="R457">
        <v>17</v>
      </c>
      <c r="S457">
        <v>15</v>
      </c>
      <c r="T457">
        <v>37</v>
      </c>
      <c r="U457">
        <v>120</v>
      </c>
      <c r="V457">
        <v>2</v>
      </c>
      <c r="W457">
        <v>4</v>
      </c>
      <c r="X457">
        <v>0</v>
      </c>
      <c r="Y457">
        <v>3</v>
      </c>
      <c r="Z457">
        <v>7</v>
      </c>
      <c r="AA457">
        <v>7</v>
      </c>
      <c r="AB457" t="str">
        <f t="shared" si="23"/>
        <v>Below average customer</v>
      </c>
    </row>
    <row r="458" spans="1:28" x14ac:dyDescent="0.35">
      <c r="A458">
        <v>2416</v>
      </c>
      <c r="B458">
        <v>1969</v>
      </c>
      <c r="C458" t="s">
        <v>28</v>
      </c>
      <c r="D458" t="s">
        <v>32</v>
      </c>
      <c r="E458" t="s">
        <v>27</v>
      </c>
      <c r="F458">
        <v>66582</v>
      </c>
      <c r="G458" t="str">
        <f t="shared" si="21"/>
        <v>Mid-high</v>
      </c>
      <c r="H458">
        <v>0</v>
      </c>
      <c r="I458">
        <v>0</v>
      </c>
      <c r="J458">
        <v>0</v>
      </c>
      <c r="K458" s="1">
        <v>41701</v>
      </c>
      <c r="L458">
        <v>83</v>
      </c>
      <c r="M458" t="str">
        <f t="shared" si="22"/>
        <v>Inactive</v>
      </c>
      <c r="N458">
        <v>0</v>
      </c>
      <c r="O458">
        <v>789</v>
      </c>
      <c r="P458">
        <v>25</v>
      </c>
      <c r="Q458">
        <v>420</v>
      </c>
      <c r="R458">
        <v>16</v>
      </c>
      <c r="S458">
        <v>38</v>
      </c>
      <c r="T458">
        <v>0</v>
      </c>
      <c r="U458">
        <v>1288</v>
      </c>
      <c r="V458">
        <v>1</v>
      </c>
      <c r="W458">
        <v>2</v>
      </c>
      <c r="X458">
        <v>8</v>
      </c>
      <c r="Y458">
        <v>9</v>
      </c>
      <c r="Z458">
        <v>19</v>
      </c>
      <c r="AA458">
        <v>1</v>
      </c>
      <c r="AB458" t="str">
        <f t="shared" si="23"/>
        <v>Below average customer</v>
      </c>
    </row>
    <row r="459" spans="1:28" x14ac:dyDescent="0.35">
      <c r="A459">
        <v>7999</v>
      </c>
      <c r="B459">
        <v>1955</v>
      </c>
      <c r="C459" t="s">
        <v>25</v>
      </c>
      <c r="D459" t="s">
        <v>32</v>
      </c>
      <c r="E459" t="s">
        <v>29</v>
      </c>
      <c r="F459">
        <v>75261</v>
      </c>
      <c r="G459" t="str">
        <f t="shared" si="21"/>
        <v>High</v>
      </c>
      <c r="H459">
        <v>0</v>
      </c>
      <c r="I459">
        <v>0</v>
      </c>
      <c r="J459">
        <v>0</v>
      </c>
      <c r="K459" s="1">
        <v>41387</v>
      </c>
      <c r="L459">
        <v>17</v>
      </c>
      <c r="M459" t="str">
        <f t="shared" si="22"/>
        <v>Active</v>
      </c>
      <c r="N459">
        <v>0</v>
      </c>
      <c r="O459">
        <v>1239</v>
      </c>
      <c r="P459">
        <v>17</v>
      </c>
      <c r="Q459">
        <v>413</v>
      </c>
      <c r="R459">
        <v>23</v>
      </c>
      <c r="S459">
        <v>34</v>
      </c>
      <c r="T459">
        <v>17</v>
      </c>
      <c r="U459">
        <v>1743</v>
      </c>
      <c r="V459">
        <v>1</v>
      </c>
      <c r="W459">
        <v>5</v>
      </c>
      <c r="X459">
        <v>6</v>
      </c>
      <c r="Y459">
        <v>5</v>
      </c>
      <c r="Z459">
        <v>16</v>
      </c>
      <c r="AA459">
        <v>2</v>
      </c>
      <c r="AB459" t="str">
        <f t="shared" si="23"/>
        <v>Above average customer</v>
      </c>
    </row>
    <row r="460" spans="1:28" x14ac:dyDescent="0.35">
      <c r="A460">
        <v>9213</v>
      </c>
      <c r="B460">
        <v>1970</v>
      </c>
      <c r="C460" t="s">
        <v>28</v>
      </c>
      <c r="D460" t="s">
        <v>26</v>
      </c>
      <c r="E460" t="s">
        <v>38</v>
      </c>
      <c r="F460">
        <v>31880</v>
      </c>
      <c r="G460" t="str">
        <f t="shared" si="21"/>
        <v>Low</v>
      </c>
      <c r="H460">
        <v>1</v>
      </c>
      <c r="I460">
        <v>0</v>
      </c>
      <c r="J460">
        <v>1</v>
      </c>
      <c r="K460" s="1">
        <v>41213</v>
      </c>
      <c r="L460">
        <v>13</v>
      </c>
      <c r="M460" t="str">
        <f t="shared" si="22"/>
        <v>Active</v>
      </c>
      <c r="N460">
        <v>0</v>
      </c>
      <c r="O460">
        <v>4</v>
      </c>
      <c r="P460">
        <v>1</v>
      </c>
      <c r="Q460">
        <v>5</v>
      </c>
      <c r="R460">
        <v>2</v>
      </c>
      <c r="S460">
        <v>0</v>
      </c>
      <c r="T460">
        <v>3</v>
      </c>
      <c r="U460">
        <v>15</v>
      </c>
      <c r="V460">
        <v>1</v>
      </c>
      <c r="W460">
        <v>1</v>
      </c>
      <c r="X460">
        <v>0</v>
      </c>
      <c r="Y460">
        <v>2</v>
      </c>
      <c r="Z460">
        <v>3</v>
      </c>
      <c r="AA460">
        <v>8</v>
      </c>
      <c r="AB460" t="str">
        <f t="shared" si="23"/>
        <v>Below average customer</v>
      </c>
    </row>
    <row r="461" spans="1:28" x14ac:dyDescent="0.35">
      <c r="A461">
        <v>9697</v>
      </c>
      <c r="B461">
        <v>1951</v>
      </c>
      <c r="C461" t="s">
        <v>36</v>
      </c>
      <c r="D461" t="s">
        <v>26</v>
      </c>
      <c r="E461" t="s">
        <v>33</v>
      </c>
      <c r="F461">
        <v>53790</v>
      </c>
      <c r="G461" t="str">
        <f t="shared" si="21"/>
        <v>Mid-high</v>
      </c>
      <c r="H461">
        <v>0</v>
      </c>
      <c r="I461">
        <v>2</v>
      </c>
      <c r="J461">
        <v>2</v>
      </c>
      <c r="K461" s="1">
        <v>41704</v>
      </c>
      <c r="L461">
        <v>86</v>
      </c>
      <c r="M461" t="str">
        <f t="shared" si="22"/>
        <v>Inactive</v>
      </c>
      <c r="N461">
        <v>0</v>
      </c>
      <c r="O461">
        <v>335</v>
      </c>
      <c r="P461">
        <v>42</v>
      </c>
      <c r="Q461">
        <v>127</v>
      </c>
      <c r="R461">
        <v>28</v>
      </c>
      <c r="S461">
        <v>5</v>
      </c>
      <c r="T461">
        <v>5</v>
      </c>
      <c r="U461">
        <v>542</v>
      </c>
      <c r="V461">
        <v>3</v>
      </c>
      <c r="W461">
        <v>7</v>
      </c>
      <c r="X461">
        <v>2</v>
      </c>
      <c r="Y461">
        <v>8</v>
      </c>
      <c r="Z461">
        <v>17</v>
      </c>
      <c r="AA461">
        <v>6</v>
      </c>
      <c r="AB461" t="str">
        <f t="shared" si="23"/>
        <v>Below average customer</v>
      </c>
    </row>
    <row r="462" spans="1:28" x14ac:dyDescent="0.35">
      <c r="A462">
        <v>3916</v>
      </c>
      <c r="B462">
        <v>1971</v>
      </c>
      <c r="C462" t="s">
        <v>28</v>
      </c>
      <c r="D462" t="s">
        <v>32</v>
      </c>
      <c r="E462" t="s">
        <v>29</v>
      </c>
      <c r="F462">
        <v>49269</v>
      </c>
      <c r="G462" t="str">
        <f t="shared" si="21"/>
        <v>Mid-low</v>
      </c>
      <c r="H462">
        <v>1</v>
      </c>
      <c r="I462">
        <v>0</v>
      </c>
      <c r="J462">
        <v>1</v>
      </c>
      <c r="K462" s="1">
        <v>41136</v>
      </c>
      <c r="L462">
        <v>92</v>
      </c>
      <c r="M462" t="str">
        <f t="shared" si="22"/>
        <v>Inactive</v>
      </c>
      <c r="N462">
        <v>0</v>
      </c>
      <c r="O462">
        <v>639</v>
      </c>
      <c r="P462">
        <v>8</v>
      </c>
      <c r="Q462">
        <v>166</v>
      </c>
      <c r="R462">
        <v>11</v>
      </c>
      <c r="S462">
        <v>8</v>
      </c>
      <c r="T462">
        <v>58</v>
      </c>
      <c r="U462">
        <v>890</v>
      </c>
      <c r="V462">
        <v>3</v>
      </c>
      <c r="W462">
        <v>7</v>
      </c>
      <c r="X462">
        <v>3</v>
      </c>
      <c r="Y462">
        <v>12</v>
      </c>
      <c r="Z462">
        <v>22</v>
      </c>
      <c r="AA462">
        <v>7</v>
      </c>
      <c r="AB462" t="str">
        <f t="shared" si="23"/>
        <v>Below average customer</v>
      </c>
    </row>
    <row r="463" spans="1:28" x14ac:dyDescent="0.35">
      <c r="A463">
        <v>2021</v>
      </c>
      <c r="B463">
        <v>1975</v>
      </c>
      <c r="C463" t="s">
        <v>31</v>
      </c>
      <c r="D463" t="s">
        <v>26</v>
      </c>
      <c r="E463" t="s">
        <v>33</v>
      </c>
      <c r="F463">
        <v>61456</v>
      </c>
      <c r="G463" t="str">
        <f t="shared" si="21"/>
        <v>Mid-high</v>
      </c>
      <c r="H463">
        <v>0</v>
      </c>
      <c r="I463">
        <v>1</v>
      </c>
      <c r="J463">
        <v>1</v>
      </c>
      <c r="K463" s="1">
        <v>41360</v>
      </c>
      <c r="L463">
        <v>47</v>
      </c>
      <c r="M463" t="str">
        <f t="shared" si="22"/>
        <v>Active</v>
      </c>
      <c r="N463">
        <v>0</v>
      </c>
      <c r="O463">
        <v>563</v>
      </c>
      <c r="P463">
        <v>76</v>
      </c>
      <c r="Q463">
        <v>384</v>
      </c>
      <c r="R463">
        <v>84</v>
      </c>
      <c r="S463">
        <v>192</v>
      </c>
      <c r="T463">
        <v>89</v>
      </c>
      <c r="U463">
        <v>1388</v>
      </c>
      <c r="V463">
        <v>4</v>
      </c>
      <c r="W463">
        <v>6</v>
      </c>
      <c r="X463">
        <v>10</v>
      </c>
      <c r="Y463">
        <v>13</v>
      </c>
      <c r="Z463">
        <v>29</v>
      </c>
      <c r="AA463">
        <v>4</v>
      </c>
      <c r="AB463" t="str">
        <f t="shared" si="23"/>
        <v>Above average customer</v>
      </c>
    </row>
    <row r="464" spans="1:28" x14ac:dyDescent="0.35">
      <c r="A464">
        <v>1581</v>
      </c>
      <c r="B464">
        <v>1980</v>
      </c>
      <c r="C464" t="s">
        <v>31</v>
      </c>
      <c r="D464" t="s">
        <v>26</v>
      </c>
      <c r="E464" t="s">
        <v>33</v>
      </c>
      <c r="F464">
        <v>37406</v>
      </c>
      <c r="G464" t="str">
        <f t="shared" si="21"/>
        <v>Mid-low</v>
      </c>
      <c r="H464">
        <v>1</v>
      </c>
      <c r="I464">
        <v>0</v>
      </c>
      <c r="J464">
        <v>1</v>
      </c>
      <c r="K464" s="1">
        <v>41557</v>
      </c>
      <c r="L464">
        <v>18</v>
      </c>
      <c r="M464" t="str">
        <f t="shared" si="22"/>
        <v>Active</v>
      </c>
      <c r="N464">
        <v>0</v>
      </c>
      <c r="O464">
        <v>2</v>
      </c>
      <c r="P464">
        <v>0</v>
      </c>
      <c r="Q464">
        <v>8</v>
      </c>
      <c r="R464">
        <v>2</v>
      </c>
      <c r="S464">
        <v>2</v>
      </c>
      <c r="T464">
        <v>3</v>
      </c>
      <c r="U464">
        <v>17</v>
      </c>
      <c r="V464">
        <v>1</v>
      </c>
      <c r="W464">
        <v>1</v>
      </c>
      <c r="X464">
        <v>0</v>
      </c>
      <c r="Y464">
        <v>2</v>
      </c>
      <c r="Z464">
        <v>3</v>
      </c>
      <c r="AA464">
        <v>8</v>
      </c>
      <c r="AB464" t="str">
        <f t="shared" si="23"/>
        <v>Below average customer</v>
      </c>
    </row>
    <row r="465" spans="1:28" x14ac:dyDescent="0.35">
      <c r="A465">
        <v>564</v>
      </c>
      <c r="B465">
        <v>1981</v>
      </c>
      <c r="C465" t="s">
        <v>31</v>
      </c>
      <c r="D465" t="s">
        <v>32</v>
      </c>
      <c r="E465" t="s">
        <v>29</v>
      </c>
      <c r="F465">
        <v>56937</v>
      </c>
      <c r="G465" t="str">
        <f t="shared" si="21"/>
        <v>Mid-high</v>
      </c>
      <c r="H465">
        <v>1</v>
      </c>
      <c r="I465">
        <v>0</v>
      </c>
      <c r="J465">
        <v>1</v>
      </c>
      <c r="K465" s="1">
        <v>41125</v>
      </c>
      <c r="L465">
        <v>81</v>
      </c>
      <c r="M465" t="str">
        <f t="shared" si="22"/>
        <v>Inactive</v>
      </c>
      <c r="N465">
        <v>0</v>
      </c>
      <c r="O465">
        <v>746</v>
      </c>
      <c r="P465">
        <v>8</v>
      </c>
      <c r="Q465">
        <v>125</v>
      </c>
      <c r="R465">
        <v>11</v>
      </c>
      <c r="S465">
        <v>8</v>
      </c>
      <c r="T465">
        <v>8</v>
      </c>
      <c r="U465">
        <v>906</v>
      </c>
      <c r="V465">
        <v>7</v>
      </c>
      <c r="W465">
        <v>8</v>
      </c>
      <c r="X465">
        <v>6</v>
      </c>
      <c r="Y465">
        <v>9</v>
      </c>
      <c r="Z465">
        <v>23</v>
      </c>
      <c r="AA465">
        <v>6</v>
      </c>
      <c r="AB465" t="str">
        <f t="shared" si="23"/>
        <v>Below average customer</v>
      </c>
    </row>
    <row r="466" spans="1:28" x14ac:dyDescent="0.35">
      <c r="A466">
        <v>6619</v>
      </c>
      <c r="B466">
        <v>1978</v>
      </c>
      <c r="C466" t="s">
        <v>31</v>
      </c>
      <c r="D466" t="s">
        <v>26</v>
      </c>
      <c r="E466" t="s">
        <v>33</v>
      </c>
      <c r="F466">
        <v>38415</v>
      </c>
      <c r="G466" t="str">
        <f t="shared" si="21"/>
        <v>Mid-low</v>
      </c>
      <c r="H466">
        <v>1</v>
      </c>
      <c r="I466">
        <v>1</v>
      </c>
      <c r="J466">
        <v>2</v>
      </c>
      <c r="K466" s="1">
        <v>41276</v>
      </c>
      <c r="L466">
        <v>91</v>
      </c>
      <c r="M466" t="str">
        <f t="shared" si="22"/>
        <v>Inactive</v>
      </c>
      <c r="N466">
        <v>0</v>
      </c>
      <c r="O466">
        <v>22</v>
      </c>
      <c r="P466">
        <v>1</v>
      </c>
      <c r="Q466">
        <v>13</v>
      </c>
      <c r="R466">
        <v>4</v>
      </c>
      <c r="S466">
        <v>0</v>
      </c>
      <c r="T466">
        <v>4</v>
      </c>
      <c r="U466">
        <v>44</v>
      </c>
      <c r="V466">
        <v>2</v>
      </c>
      <c r="W466">
        <v>1</v>
      </c>
      <c r="X466">
        <v>0</v>
      </c>
      <c r="Y466">
        <v>3</v>
      </c>
      <c r="Z466">
        <v>4</v>
      </c>
      <c r="AA466">
        <v>7</v>
      </c>
      <c r="AB466" t="str">
        <f t="shared" si="23"/>
        <v>Below average customer</v>
      </c>
    </row>
    <row r="467" spans="1:28" x14ac:dyDescent="0.35">
      <c r="A467">
        <v>9081</v>
      </c>
      <c r="B467">
        <v>1988</v>
      </c>
      <c r="C467" t="s">
        <v>30</v>
      </c>
      <c r="D467" t="s">
        <v>26</v>
      </c>
      <c r="E467" t="s">
        <v>27</v>
      </c>
      <c r="F467">
        <v>20518</v>
      </c>
      <c r="G467" t="str">
        <f t="shared" si="21"/>
        <v>Low</v>
      </c>
      <c r="H467">
        <v>1</v>
      </c>
      <c r="I467">
        <v>0</v>
      </c>
      <c r="J467">
        <v>1</v>
      </c>
      <c r="K467" s="1">
        <v>41777</v>
      </c>
      <c r="L467">
        <v>58</v>
      </c>
      <c r="M467" t="str">
        <f t="shared" si="22"/>
        <v>Inactive</v>
      </c>
      <c r="N467">
        <v>0</v>
      </c>
      <c r="O467">
        <v>4</v>
      </c>
      <c r="P467">
        <v>1</v>
      </c>
      <c r="Q467">
        <v>6</v>
      </c>
      <c r="R467">
        <v>4</v>
      </c>
      <c r="S467">
        <v>1</v>
      </c>
      <c r="T467">
        <v>9</v>
      </c>
      <c r="U467">
        <v>25</v>
      </c>
      <c r="V467">
        <v>1</v>
      </c>
      <c r="W467">
        <v>1</v>
      </c>
      <c r="X467">
        <v>1</v>
      </c>
      <c r="Y467">
        <v>2</v>
      </c>
      <c r="Z467">
        <v>4</v>
      </c>
      <c r="AA467">
        <v>5</v>
      </c>
      <c r="AB467" t="str">
        <f t="shared" si="23"/>
        <v>Below average customer</v>
      </c>
    </row>
    <row r="468" spans="1:28" x14ac:dyDescent="0.35">
      <c r="A468">
        <v>178</v>
      </c>
      <c r="B468">
        <v>1956</v>
      </c>
      <c r="C468" t="s">
        <v>25</v>
      </c>
      <c r="D468" t="s">
        <v>26</v>
      </c>
      <c r="E468" t="s">
        <v>33</v>
      </c>
      <c r="F468">
        <v>62503</v>
      </c>
      <c r="G468" t="str">
        <f t="shared" si="21"/>
        <v>Mid-high</v>
      </c>
      <c r="H468">
        <v>0</v>
      </c>
      <c r="I468">
        <v>1</v>
      </c>
      <c r="J468">
        <v>1</v>
      </c>
      <c r="K468" s="1">
        <v>41323</v>
      </c>
      <c r="L468">
        <v>40</v>
      </c>
      <c r="M468" t="str">
        <f t="shared" si="22"/>
        <v>Active</v>
      </c>
      <c r="N468">
        <v>0</v>
      </c>
      <c r="O468">
        <v>478</v>
      </c>
      <c r="P468">
        <v>0</v>
      </c>
      <c r="Q468">
        <v>193</v>
      </c>
      <c r="R468">
        <v>110</v>
      </c>
      <c r="S468">
        <v>75</v>
      </c>
      <c r="T468">
        <v>117</v>
      </c>
      <c r="U468">
        <v>973</v>
      </c>
      <c r="V468">
        <v>4</v>
      </c>
      <c r="W468">
        <v>8</v>
      </c>
      <c r="X468">
        <v>3</v>
      </c>
      <c r="Y468">
        <v>11</v>
      </c>
      <c r="Z468">
        <v>22</v>
      </c>
      <c r="AA468">
        <v>5</v>
      </c>
      <c r="AB468" t="str">
        <f t="shared" si="23"/>
        <v>Above average customer</v>
      </c>
    </row>
    <row r="469" spans="1:28" x14ac:dyDescent="0.35">
      <c r="A469">
        <v>916</v>
      </c>
      <c r="B469">
        <v>1972</v>
      </c>
      <c r="C469" t="s">
        <v>28</v>
      </c>
      <c r="D469" t="s">
        <v>32</v>
      </c>
      <c r="E469" t="s">
        <v>27</v>
      </c>
      <c r="F469">
        <v>41644</v>
      </c>
      <c r="G469" t="str">
        <f t="shared" si="21"/>
        <v>Mid-low</v>
      </c>
      <c r="H469">
        <v>1</v>
      </c>
      <c r="I469">
        <v>1</v>
      </c>
      <c r="J469">
        <v>2</v>
      </c>
      <c r="K469" s="1">
        <v>41768</v>
      </c>
      <c r="L469">
        <v>67</v>
      </c>
      <c r="M469" t="str">
        <f t="shared" si="22"/>
        <v>Inactive</v>
      </c>
      <c r="N469">
        <v>0</v>
      </c>
      <c r="O469">
        <v>20</v>
      </c>
      <c r="P469">
        <v>3</v>
      </c>
      <c r="Q469">
        <v>4</v>
      </c>
      <c r="R469">
        <v>2</v>
      </c>
      <c r="S469">
        <v>0</v>
      </c>
      <c r="T469">
        <v>2</v>
      </c>
      <c r="U469">
        <v>31</v>
      </c>
      <c r="V469">
        <v>2</v>
      </c>
      <c r="W469">
        <v>1</v>
      </c>
      <c r="X469">
        <v>0</v>
      </c>
      <c r="Y469">
        <v>3</v>
      </c>
      <c r="Z469">
        <v>4</v>
      </c>
      <c r="AA469">
        <v>3</v>
      </c>
      <c r="AB469" t="str">
        <f t="shared" si="23"/>
        <v>Below average customer</v>
      </c>
    </row>
    <row r="470" spans="1:28" x14ac:dyDescent="0.35">
      <c r="A470">
        <v>5512</v>
      </c>
      <c r="B470">
        <v>1977</v>
      </c>
      <c r="C470" t="s">
        <v>31</v>
      </c>
      <c r="D470" t="s">
        <v>34</v>
      </c>
      <c r="E470" t="s">
        <v>33</v>
      </c>
      <c r="F470">
        <v>55842</v>
      </c>
      <c r="G470" t="str">
        <f t="shared" si="21"/>
        <v>Mid-high</v>
      </c>
      <c r="H470">
        <v>0</v>
      </c>
      <c r="I470">
        <v>1</v>
      </c>
      <c r="J470">
        <v>1</v>
      </c>
      <c r="K470" s="1">
        <v>41782</v>
      </c>
      <c r="L470">
        <v>19</v>
      </c>
      <c r="M470" t="str">
        <f t="shared" si="22"/>
        <v>Active</v>
      </c>
      <c r="N470">
        <v>0</v>
      </c>
      <c r="O470">
        <v>451</v>
      </c>
      <c r="P470">
        <v>0</v>
      </c>
      <c r="Q470">
        <v>39</v>
      </c>
      <c r="R470">
        <v>0</v>
      </c>
      <c r="S470">
        <v>4</v>
      </c>
      <c r="T470">
        <v>24</v>
      </c>
      <c r="U470">
        <v>518</v>
      </c>
      <c r="V470">
        <v>1</v>
      </c>
      <c r="W470">
        <v>7</v>
      </c>
      <c r="X470">
        <v>1</v>
      </c>
      <c r="Y470">
        <v>8</v>
      </c>
      <c r="Z470">
        <v>16</v>
      </c>
      <c r="AA470">
        <v>5</v>
      </c>
      <c r="AB470" t="str">
        <f t="shared" si="23"/>
        <v>Below average customer</v>
      </c>
    </row>
    <row r="471" spans="1:28" x14ac:dyDescent="0.35">
      <c r="A471">
        <v>8970</v>
      </c>
      <c r="B471">
        <v>1972</v>
      </c>
      <c r="C471" t="s">
        <v>28</v>
      </c>
      <c r="D471" t="s">
        <v>32</v>
      </c>
      <c r="E471" t="s">
        <v>33</v>
      </c>
      <c r="F471">
        <v>62010</v>
      </c>
      <c r="G471" t="str">
        <f t="shared" si="21"/>
        <v>Mid-high</v>
      </c>
      <c r="H471">
        <v>0</v>
      </c>
      <c r="I471">
        <v>1</v>
      </c>
      <c r="J471">
        <v>1</v>
      </c>
      <c r="K471" s="1">
        <v>41205</v>
      </c>
      <c r="L471">
        <v>93</v>
      </c>
      <c r="M471" t="str">
        <f t="shared" si="22"/>
        <v>Inactive</v>
      </c>
      <c r="N471">
        <v>0</v>
      </c>
      <c r="O471">
        <v>371</v>
      </c>
      <c r="P471">
        <v>22</v>
      </c>
      <c r="Q471">
        <v>39</v>
      </c>
      <c r="R471">
        <v>6</v>
      </c>
      <c r="S471">
        <v>0</v>
      </c>
      <c r="T471">
        <v>92</v>
      </c>
      <c r="U471">
        <v>530</v>
      </c>
      <c r="V471">
        <v>4</v>
      </c>
      <c r="W471">
        <v>6</v>
      </c>
      <c r="X471">
        <v>2</v>
      </c>
      <c r="Y471">
        <v>7</v>
      </c>
      <c r="Z471">
        <v>15</v>
      </c>
      <c r="AA471">
        <v>5</v>
      </c>
      <c r="AB471" t="str">
        <f t="shared" si="23"/>
        <v>Below average customer</v>
      </c>
    </row>
    <row r="472" spans="1:28" x14ac:dyDescent="0.35">
      <c r="A472">
        <v>10581</v>
      </c>
      <c r="B472">
        <v>1977</v>
      </c>
      <c r="C472" t="s">
        <v>31</v>
      </c>
      <c r="D472" t="s">
        <v>26</v>
      </c>
      <c r="E472" t="s">
        <v>33</v>
      </c>
      <c r="F472">
        <v>41124</v>
      </c>
      <c r="G472" t="str">
        <f t="shared" si="21"/>
        <v>Mid-low</v>
      </c>
      <c r="H472">
        <v>1</v>
      </c>
      <c r="I472">
        <v>0</v>
      </c>
      <c r="J472">
        <v>1</v>
      </c>
      <c r="K472" s="1">
        <v>41213</v>
      </c>
      <c r="L472">
        <v>41</v>
      </c>
      <c r="M472" t="str">
        <f t="shared" si="22"/>
        <v>Active</v>
      </c>
      <c r="N472">
        <v>0</v>
      </c>
      <c r="O472">
        <v>281</v>
      </c>
      <c r="P472">
        <v>7</v>
      </c>
      <c r="Q472">
        <v>84</v>
      </c>
      <c r="R472">
        <v>15</v>
      </c>
      <c r="S472">
        <v>0</v>
      </c>
      <c r="T472">
        <v>119</v>
      </c>
      <c r="U472">
        <v>506</v>
      </c>
      <c r="V472">
        <v>7</v>
      </c>
      <c r="W472">
        <v>7</v>
      </c>
      <c r="X472">
        <v>3</v>
      </c>
      <c r="Y472">
        <v>4</v>
      </c>
      <c r="Z472">
        <v>14</v>
      </c>
      <c r="AA472">
        <v>8</v>
      </c>
      <c r="AB472" t="str">
        <f t="shared" si="23"/>
        <v>Below average customer</v>
      </c>
    </row>
    <row r="473" spans="1:28" x14ac:dyDescent="0.35">
      <c r="A473">
        <v>5300</v>
      </c>
      <c r="B473">
        <v>1973</v>
      </c>
      <c r="C473" t="s">
        <v>31</v>
      </c>
      <c r="D473" t="s">
        <v>34</v>
      </c>
      <c r="E473" t="s">
        <v>33</v>
      </c>
      <c r="F473">
        <v>38961</v>
      </c>
      <c r="G473" t="str">
        <f t="shared" si="21"/>
        <v>Mid-low</v>
      </c>
      <c r="H473">
        <v>1</v>
      </c>
      <c r="I473">
        <v>0</v>
      </c>
      <c r="J473">
        <v>1</v>
      </c>
      <c r="K473" s="1">
        <v>41638</v>
      </c>
      <c r="L473">
        <v>60</v>
      </c>
      <c r="M473" t="str">
        <f t="shared" si="22"/>
        <v>Inactive</v>
      </c>
      <c r="N473">
        <v>0</v>
      </c>
      <c r="O473">
        <v>19</v>
      </c>
      <c r="P473">
        <v>7</v>
      </c>
      <c r="Q473">
        <v>19</v>
      </c>
      <c r="R473">
        <v>0</v>
      </c>
      <c r="S473">
        <v>1</v>
      </c>
      <c r="T473">
        <v>24</v>
      </c>
      <c r="U473">
        <v>70</v>
      </c>
      <c r="V473">
        <v>1</v>
      </c>
      <c r="W473">
        <v>2</v>
      </c>
      <c r="X473">
        <v>1</v>
      </c>
      <c r="Y473">
        <v>2</v>
      </c>
      <c r="Z473">
        <v>5</v>
      </c>
      <c r="AA473">
        <v>7</v>
      </c>
      <c r="AB473" t="str">
        <f t="shared" si="23"/>
        <v>Below average customer</v>
      </c>
    </row>
    <row r="474" spans="1:28" x14ac:dyDescent="0.35">
      <c r="A474">
        <v>5154</v>
      </c>
      <c r="B474">
        <v>1972</v>
      </c>
      <c r="C474" t="s">
        <v>28</v>
      </c>
      <c r="D474" t="s">
        <v>34</v>
      </c>
      <c r="E474" t="s">
        <v>35</v>
      </c>
      <c r="F474">
        <v>37760</v>
      </c>
      <c r="G474" t="str">
        <f t="shared" si="21"/>
        <v>Mid-low</v>
      </c>
      <c r="H474">
        <v>1</v>
      </c>
      <c r="I474">
        <v>0</v>
      </c>
      <c r="J474">
        <v>1</v>
      </c>
      <c r="K474" s="1">
        <v>41497</v>
      </c>
      <c r="L474">
        <v>54</v>
      </c>
      <c r="M474" t="str">
        <f t="shared" si="22"/>
        <v>Inactive</v>
      </c>
      <c r="N474">
        <v>0</v>
      </c>
      <c r="O474">
        <v>26</v>
      </c>
      <c r="P474">
        <v>3</v>
      </c>
      <c r="Q474">
        <v>13</v>
      </c>
      <c r="R474">
        <v>2</v>
      </c>
      <c r="S474">
        <v>10</v>
      </c>
      <c r="T474">
        <v>0</v>
      </c>
      <c r="U474">
        <v>54</v>
      </c>
      <c r="V474">
        <v>1</v>
      </c>
      <c r="W474">
        <v>2</v>
      </c>
      <c r="X474">
        <v>0</v>
      </c>
      <c r="Y474">
        <v>3</v>
      </c>
      <c r="Z474">
        <v>5</v>
      </c>
      <c r="AA474">
        <v>6</v>
      </c>
      <c r="AB474" t="str">
        <f t="shared" si="23"/>
        <v>Below average customer</v>
      </c>
    </row>
    <row r="475" spans="1:28" x14ac:dyDescent="0.35">
      <c r="A475">
        <v>8346</v>
      </c>
      <c r="B475">
        <v>1974</v>
      </c>
      <c r="C475" t="s">
        <v>31</v>
      </c>
      <c r="D475" t="s">
        <v>26</v>
      </c>
      <c r="E475" t="s">
        <v>27</v>
      </c>
      <c r="F475">
        <v>32233</v>
      </c>
      <c r="G475" t="str">
        <f t="shared" si="21"/>
        <v>Low</v>
      </c>
      <c r="H475">
        <v>1</v>
      </c>
      <c r="I475">
        <v>0</v>
      </c>
      <c r="J475">
        <v>1</v>
      </c>
      <c r="K475" s="1">
        <v>41140</v>
      </c>
      <c r="L475">
        <v>26</v>
      </c>
      <c r="M475" t="str">
        <f t="shared" si="22"/>
        <v>Active</v>
      </c>
      <c r="N475">
        <v>0</v>
      </c>
      <c r="O475">
        <v>138</v>
      </c>
      <c r="P475">
        <v>15</v>
      </c>
      <c r="Q475">
        <v>35</v>
      </c>
      <c r="R475">
        <v>25</v>
      </c>
      <c r="S475">
        <v>11</v>
      </c>
      <c r="T475">
        <v>72</v>
      </c>
      <c r="U475">
        <v>296</v>
      </c>
      <c r="V475">
        <v>2</v>
      </c>
      <c r="W475">
        <v>6</v>
      </c>
      <c r="X475">
        <v>2</v>
      </c>
      <c r="Y475">
        <v>2</v>
      </c>
      <c r="Z475">
        <v>10</v>
      </c>
      <c r="AA475">
        <v>9</v>
      </c>
      <c r="AB475" t="str">
        <f t="shared" si="23"/>
        <v>Below average customer</v>
      </c>
    </row>
    <row r="476" spans="1:28" x14ac:dyDescent="0.35">
      <c r="A476">
        <v>1676</v>
      </c>
      <c r="B476">
        <v>1975</v>
      </c>
      <c r="C476" t="s">
        <v>31</v>
      </c>
      <c r="D476" t="s">
        <v>26</v>
      </c>
      <c r="E476" t="s">
        <v>33</v>
      </c>
      <c r="F476">
        <v>43057</v>
      </c>
      <c r="G476" t="str">
        <f t="shared" si="21"/>
        <v>Mid-low</v>
      </c>
      <c r="H476">
        <v>0</v>
      </c>
      <c r="I476">
        <v>1</v>
      </c>
      <c r="J476">
        <v>1</v>
      </c>
      <c r="K476" s="1">
        <v>41577</v>
      </c>
      <c r="L476">
        <v>30</v>
      </c>
      <c r="M476" t="str">
        <f t="shared" si="22"/>
        <v>Active</v>
      </c>
      <c r="N476">
        <v>0</v>
      </c>
      <c r="O476">
        <v>213</v>
      </c>
      <c r="P476">
        <v>2</v>
      </c>
      <c r="Q476">
        <v>44</v>
      </c>
      <c r="R476">
        <v>0</v>
      </c>
      <c r="S476">
        <v>2</v>
      </c>
      <c r="T476">
        <v>5</v>
      </c>
      <c r="U476">
        <v>266</v>
      </c>
      <c r="V476">
        <v>4</v>
      </c>
      <c r="W476">
        <v>4</v>
      </c>
      <c r="X476">
        <v>2</v>
      </c>
      <c r="Y476">
        <v>5</v>
      </c>
      <c r="Z476">
        <v>11</v>
      </c>
      <c r="AA476">
        <v>5</v>
      </c>
      <c r="AB476" t="str">
        <f t="shared" si="23"/>
        <v>Below average customer</v>
      </c>
    </row>
    <row r="477" spans="1:28" x14ac:dyDescent="0.35">
      <c r="A477">
        <v>9286</v>
      </c>
      <c r="B477">
        <v>1960</v>
      </c>
      <c r="C477" t="s">
        <v>25</v>
      </c>
      <c r="D477" t="s">
        <v>34</v>
      </c>
      <c r="E477" t="s">
        <v>29</v>
      </c>
      <c r="F477">
        <v>83151</v>
      </c>
      <c r="G477" t="str">
        <f t="shared" si="21"/>
        <v>High</v>
      </c>
      <c r="H477">
        <v>0</v>
      </c>
      <c r="I477">
        <v>0</v>
      </c>
      <c r="J477">
        <v>0</v>
      </c>
      <c r="K477" s="1">
        <v>41192</v>
      </c>
      <c r="L477">
        <v>93</v>
      </c>
      <c r="M477" t="str">
        <f t="shared" si="22"/>
        <v>Inactive</v>
      </c>
      <c r="N477">
        <v>0</v>
      </c>
      <c r="O477">
        <v>407</v>
      </c>
      <c r="P477">
        <v>28</v>
      </c>
      <c r="Q477">
        <v>100</v>
      </c>
      <c r="R477">
        <v>120</v>
      </c>
      <c r="S477">
        <v>74</v>
      </c>
      <c r="T477">
        <v>18</v>
      </c>
      <c r="U477">
        <v>747</v>
      </c>
      <c r="V477">
        <v>1</v>
      </c>
      <c r="W477">
        <v>5</v>
      </c>
      <c r="X477">
        <v>9</v>
      </c>
      <c r="Y477">
        <v>4</v>
      </c>
      <c r="Z477">
        <v>18</v>
      </c>
      <c r="AA477">
        <v>3</v>
      </c>
      <c r="AB477" t="str">
        <f t="shared" si="23"/>
        <v>Below average customer</v>
      </c>
    </row>
    <row r="478" spans="1:28" x14ac:dyDescent="0.35">
      <c r="A478">
        <v>2426</v>
      </c>
      <c r="B478">
        <v>1964</v>
      </c>
      <c r="C478" t="s">
        <v>28</v>
      </c>
      <c r="D478" t="s">
        <v>32</v>
      </c>
      <c r="E478" t="s">
        <v>35</v>
      </c>
      <c r="F478">
        <v>78825</v>
      </c>
      <c r="G478" t="str">
        <f t="shared" si="21"/>
        <v>High</v>
      </c>
      <c r="H478">
        <v>0</v>
      </c>
      <c r="I478">
        <v>0</v>
      </c>
      <c r="J478">
        <v>0</v>
      </c>
      <c r="K478" s="1">
        <v>41166</v>
      </c>
      <c r="L478">
        <v>35</v>
      </c>
      <c r="M478" t="str">
        <f t="shared" si="22"/>
        <v>Active</v>
      </c>
      <c r="N478">
        <v>0</v>
      </c>
      <c r="O478">
        <v>483</v>
      </c>
      <c r="P478">
        <v>74</v>
      </c>
      <c r="Q478">
        <v>114</v>
      </c>
      <c r="R478">
        <v>169</v>
      </c>
      <c r="S478">
        <v>37</v>
      </c>
      <c r="T478">
        <v>18</v>
      </c>
      <c r="U478">
        <v>895</v>
      </c>
      <c r="V478">
        <v>1</v>
      </c>
      <c r="W478">
        <v>5</v>
      </c>
      <c r="X478">
        <v>10</v>
      </c>
      <c r="Y478">
        <v>13</v>
      </c>
      <c r="Z478">
        <v>28</v>
      </c>
      <c r="AA478">
        <v>3</v>
      </c>
      <c r="AB478" t="str">
        <f t="shared" si="23"/>
        <v>Above average customer</v>
      </c>
    </row>
    <row r="479" spans="1:28" x14ac:dyDescent="0.35">
      <c r="A479">
        <v>5172</v>
      </c>
      <c r="B479">
        <v>1976</v>
      </c>
      <c r="C479" t="s">
        <v>31</v>
      </c>
      <c r="D479" t="s">
        <v>34</v>
      </c>
      <c r="E479" t="s">
        <v>29</v>
      </c>
      <c r="F479">
        <v>65104</v>
      </c>
      <c r="G479" t="str">
        <f t="shared" si="21"/>
        <v>Mid-high</v>
      </c>
      <c r="H479">
        <v>0</v>
      </c>
      <c r="I479">
        <v>1</v>
      </c>
      <c r="J479">
        <v>1</v>
      </c>
      <c r="K479" s="1">
        <v>41592</v>
      </c>
      <c r="L479">
        <v>4</v>
      </c>
      <c r="M479" t="str">
        <f t="shared" si="22"/>
        <v>Active</v>
      </c>
      <c r="N479">
        <v>0</v>
      </c>
      <c r="O479">
        <v>738</v>
      </c>
      <c r="P479">
        <v>0</v>
      </c>
      <c r="Q479">
        <v>232</v>
      </c>
      <c r="R479">
        <v>13</v>
      </c>
      <c r="S479">
        <v>20</v>
      </c>
      <c r="T479">
        <v>50</v>
      </c>
      <c r="U479">
        <v>1053</v>
      </c>
      <c r="V479">
        <v>2</v>
      </c>
      <c r="W479">
        <v>3</v>
      </c>
      <c r="X479">
        <v>5</v>
      </c>
      <c r="Y479">
        <v>7</v>
      </c>
      <c r="Z479">
        <v>15</v>
      </c>
      <c r="AA479">
        <v>7</v>
      </c>
      <c r="AB479" t="str">
        <f t="shared" si="23"/>
        <v>Above average customer</v>
      </c>
    </row>
    <row r="480" spans="1:28" x14ac:dyDescent="0.35">
      <c r="A480">
        <v>5562</v>
      </c>
      <c r="B480">
        <v>1974</v>
      </c>
      <c r="C480" t="s">
        <v>31</v>
      </c>
      <c r="D480" t="s">
        <v>26</v>
      </c>
      <c r="E480" t="s">
        <v>33</v>
      </c>
      <c r="F480">
        <v>60093</v>
      </c>
      <c r="G480" t="str">
        <f t="shared" si="21"/>
        <v>Mid-high</v>
      </c>
      <c r="H480">
        <v>0</v>
      </c>
      <c r="I480">
        <v>1</v>
      </c>
      <c r="J480">
        <v>1</v>
      </c>
      <c r="K480" s="1">
        <v>41451</v>
      </c>
      <c r="L480">
        <v>92</v>
      </c>
      <c r="M480" t="str">
        <f t="shared" si="22"/>
        <v>Inactive</v>
      </c>
      <c r="N480">
        <v>0</v>
      </c>
      <c r="O480">
        <v>502</v>
      </c>
      <c r="P480">
        <v>12</v>
      </c>
      <c r="Q480">
        <v>109</v>
      </c>
      <c r="R480">
        <v>16</v>
      </c>
      <c r="S480">
        <v>6</v>
      </c>
      <c r="T480">
        <v>90</v>
      </c>
      <c r="U480">
        <v>735</v>
      </c>
      <c r="V480">
        <v>2</v>
      </c>
      <c r="W480">
        <v>7</v>
      </c>
      <c r="X480">
        <v>2</v>
      </c>
      <c r="Y480">
        <v>10</v>
      </c>
      <c r="Z480">
        <v>19</v>
      </c>
      <c r="AA480">
        <v>6</v>
      </c>
      <c r="AB480" t="str">
        <f t="shared" si="23"/>
        <v>Below average customer</v>
      </c>
    </row>
    <row r="481" spans="1:28" x14ac:dyDescent="0.35">
      <c r="A481">
        <v>3436</v>
      </c>
      <c r="B481">
        <v>1969</v>
      </c>
      <c r="C481" t="s">
        <v>28</v>
      </c>
      <c r="D481" t="s">
        <v>26</v>
      </c>
      <c r="E481" t="s">
        <v>33</v>
      </c>
      <c r="F481">
        <v>14045</v>
      </c>
      <c r="G481" t="str">
        <f t="shared" si="21"/>
        <v>Low</v>
      </c>
      <c r="H481">
        <v>1</v>
      </c>
      <c r="I481">
        <v>0</v>
      </c>
      <c r="J481">
        <v>1</v>
      </c>
      <c r="K481" s="1">
        <v>41665</v>
      </c>
      <c r="L481">
        <v>24</v>
      </c>
      <c r="M481" t="str">
        <f t="shared" si="22"/>
        <v>Active</v>
      </c>
      <c r="N481">
        <v>0</v>
      </c>
      <c r="O481">
        <v>11</v>
      </c>
      <c r="P481">
        <v>0</v>
      </c>
      <c r="Q481">
        <v>5</v>
      </c>
      <c r="R481">
        <v>2</v>
      </c>
      <c r="S481">
        <v>1</v>
      </c>
      <c r="T481">
        <v>1</v>
      </c>
      <c r="U481">
        <v>20</v>
      </c>
      <c r="V481">
        <v>1</v>
      </c>
      <c r="W481">
        <v>1</v>
      </c>
      <c r="X481">
        <v>0</v>
      </c>
      <c r="Y481">
        <v>3</v>
      </c>
      <c r="Z481">
        <v>4</v>
      </c>
      <c r="AA481">
        <v>7</v>
      </c>
      <c r="AB481" t="str">
        <f t="shared" si="23"/>
        <v>Below average customer</v>
      </c>
    </row>
    <row r="482" spans="1:28" x14ac:dyDescent="0.35">
      <c r="A482">
        <v>3921</v>
      </c>
      <c r="B482">
        <v>1952</v>
      </c>
      <c r="C482" t="s">
        <v>36</v>
      </c>
      <c r="D482" t="s">
        <v>34</v>
      </c>
      <c r="E482" t="s">
        <v>38</v>
      </c>
      <c r="F482">
        <v>28457</v>
      </c>
      <c r="G482" t="str">
        <f t="shared" si="21"/>
        <v>Low</v>
      </c>
      <c r="H482">
        <v>0</v>
      </c>
      <c r="I482">
        <v>0</v>
      </c>
      <c r="J482">
        <v>0</v>
      </c>
      <c r="K482" s="1">
        <v>41210</v>
      </c>
      <c r="L482">
        <v>96</v>
      </c>
      <c r="M482" t="str">
        <f t="shared" si="22"/>
        <v>Inactive</v>
      </c>
      <c r="N482">
        <v>0</v>
      </c>
      <c r="O482">
        <v>24</v>
      </c>
      <c r="P482">
        <v>1</v>
      </c>
      <c r="Q482">
        <v>108</v>
      </c>
      <c r="R482">
        <v>29</v>
      </c>
      <c r="S482">
        <v>29</v>
      </c>
      <c r="T482">
        <v>14</v>
      </c>
      <c r="U482">
        <v>205</v>
      </c>
      <c r="V482">
        <v>1</v>
      </c>
      <c r="W482">
        <v>4</v>
      </c>
      <c r="X482">
        <v>1</v>
      </c>
      <c r="Y482">
        <v>4</v>
      </c>
      <c r="Z482">
        <v>9</v>
      </c>
      <c r="AA482">
        <v>8</v>
      </c>
      <c r="AB482" t="str">
        <f t="shared" si="23"/>
        <v>Below average customer</v>
      </c>
    </row>
    <row r="483" spans="1:28" x14ac:dyDescent="0.35">
      <c r="A483">
        <v>3403</v>
      </c>
      <c r="B483">
        <v>1958</v>
      </c>
      <c r="C483" t="s">
        <v>25</v>
      </c>
      <c r="D483" t="s">
        <v>32</v>
      </c>
      <c r="E483" t="s">
        <v>29</v>
      </c>
      <c r="F483">
        <v>78952</v>
      </c>
      <c r="G483" t="str">
        <f t="shared" si="21"/>
        <v>High</v>
      </c>
      <c r="H483">
        <v>0</v>
      </c>
      <c r="I483">
        <v>1</v>
      </c>
      <c r="J483">
        <v>1</v>
      </c>
      <c r="K483" s="1">
        <v>41176</v>
      </c>
      <c r="L483">
        <v>11</v>
      </c>
      <c r="M483" t="str">
        <f t="shared" si="22"/>
        <v>Active</v>
      </c>
      <c r="N483">
        <v>0</v>
      </c>
      <c r="O483">
        <v>1170</v>
      </c>
      <c r="P483">
        <v>19</v>
      </c>
      <c r="Q483">
        <v>594</v>
      </c>
      <c r="R483">
        <v>99</v>
      </c>
      <c r="S483">
        <v>76</v>
      </c>
      <c r="T483">
        <v>134</v>
      </c>
      <c r="U483">
        <v>2092</v>
      </c>
      <c r="V483">
        <v>2</v>
      </c>
      <c r="W483">
        <v>2</v>
      </c>
      <c r="X483">
        <v>5</v>
      </c>
      <c r="Y483">
        <v>12</v>
      </c>
      <c r="Z483">
        <v>19</v>
      </c>
      <c r="AA483">
        <v>6</v>
      </c>
      <c r="AB483" t="str">
        <f t="shared" si="23"/>
        <v>Above average customer</v>
      </c>
    </row>
    <row r="484" spans="1:28" x14ac:dyDescent="0.35">
      <c r="A484">
        <v>22</v>
      </c>
      <c r="B484">
        <v>1976</v>
      </c>
      <c r="C484" t="s">
        <v>31</v>
      </c>
      <c r="D484" t="s">
        <v>26</v>
      </c>
      <c r="E484" t="s">
        <v>35</v>
      </c>
      <c r="F484">
        <v>46310</v>
      </c>
      <c r="G484" t="str">
        <f t="shared" si="21"/>
        <v>Mid-low</v>
      </c>
      <c r="H484">
        <v>1</v>
      </c>
      <c r="I484">
        <v>0</v>
      </c>
      <c r="J484">
        <v>1</v>
      </c>
      <c r="K484" s="1">
        <v>41246</v>
      </c>
      <c r="L484">
        <v>99</v>
      </c>
      <c r="M484" t="str">
        <f t="shared" si="22"/>
        <v>Inactive</v>
      </c>
      <c r="N484">
        <v>0</v>
      </c>
      <c r="O484">
        <v>185</v>
      </c>
      <c r="P484">
        <v>2</v>
      </c>
      <c r="Q484">
        <v>88</v>
      </c>
      <c r="R484">
        <v>15</v>
      </c>
      <c r="S484">
        <v>5</v>
      </c>
      <c r="T484">
        <v>14</v>
      </c>
      <c r="U484">
        <v>309</v>
      </c>
      <c r="V484">
        <v>2</v>
      </c>
      <c r="W484">
        <v>6</v>
      </c>
      <c r="X484">
        <v>1</v>
      </c>
      <c r="Y484">
        <v>5</v>
      </c>
      <c r="Z484">
        <v>12</v>
      </c>
      <c r="AA484">
        <v>8</v>
      </c>
      <c r="AB484" t="str">
        <f t="shared" si="23"/>
        <v>Below average customer</v>
      </c>
    </row>
    <row r="485" spans="1:28" x14ac:dyDescent="0.35">
      <c r="A485">
        <v>10965</v>
      </c>
      <c r="B485">
        <v>1955</v>
      </c>
      <c r="C485" t="s">
        <v>25</v>
      </c>
      <c r="D485" t="s">
        <v>26</v>
      </c>
      <c r="E485" t="s">
        <v>29</v>
      </c>
      <c r="F485">
        <v>76005</v>
      </c>
      <c r="G485" t="str">
        <f t="shared" si="21"/>
        <v>High</v>
      </c>
      <c r="H485">
        <v>0</v>
      </c>
      <c r="I485">
        <v>0</v>
      </c>
      <c r="J485">
        <v>0</v>
      </c>
      <c r="K485" s="1">
        <v>41327</v>
      </c>
      <c r="L485">
        <v>72</v>
      </c>
      <c r="M485" t="str">
        <f t="shared" si="22"/>
        <v>Inactive</v>
      </c>
      <c r="N485">
        <v>0</v>
      </c>
      <c r="O485">
        <v>983</v>
      </c>
      <c r="P485">
        <v>20</v>
      </c>
      <c r="Q485">
        <v>389</v>
      </c>
      <c r="R485">
        <v>240</v>
      </c>
      <c r="S485">
        <v>50</v>
      </c>
      <c r="T485">
        <v>40</v>
      </c>
      <c r="U485">
        <v>1722</v>
      </c>
      <c r="V485">
        <v>1</v>
      </c>
      <c r="W485">
        <v>3</v>
      </c>
      <c r="X485">
        <v>5</v>
      </c>
      <c r="Y485">
        <v>13</v>
      </c>
      <c r="Z485">
        <v>21</v>
      </c>
      <c r="AA485">
        <v>6</v>
      </c>
      <c r="AB485" t="str">
        <f t="shared" si="23"/>
        <v>Below average customer</v>
      </c>
    </row>
    <row r="486" spans="1:28" x14ac:dyDescent="0.35">
      <c r="A486">
        <v>9426</v>
      </c>
      <c r="B486">
        <v>1964</v>
      </c>
      <c r="C486" t="s">
        <v>28</v>
      </c>
      <c r="D486" t="s">
        <v>34</v>
      </c>
      <c r="E486" t="s">
        <v>27</v>
      </c>
      <c r="F486">
        <v>58308</v>
      </c>
      <c r="G486" t="str">
        <f t="shared" si="21"/>
        <v>Mid-high</v>
      </c>
      <c r="H486">
        <v>0</v>
      </c>
      <c r="I486">
        <v>1</v>
      </c>
      <c r="J486">
        <v>1</v>
      </c>
      <c r="K486" s="1">
        <v>41286</v>
      </c>
      <c r="L486">
        <v>77</v>
      </c>
      <c r="M486" t="str">
        <f t="shared" si="22"/>
        <v>Inactive</v>
      </c>
      <c r="N486">
        <v>0</v>
      </c>
      <c r="O486">
        <v>691</v>
      </c>
      <c r="P486">
        <v>0</v>
      </c>
      <c r="Q486">
        <v>69</v>
      </c>
      <c r="R486">
        <v>10</v>
      </c>
      <c r="S486">
        <v>0</v>
      </c>
      <c r="T486">
        <v>130</v>
      </c>
      <c r="U486">
        <v>900</v>
      </c>
      <c r="V486">
        <v>4</v>
      </c>
      <c r="W486">
        <v>2</v>
      </c>
      <c r="X486">
        <v>6</v>
      </c>
      <c r="Y486">
        <v>3</v>
      </c>
      <c r="Z486">
        <v>11</v>
      </c>
      <c r="AA486">
        <v>8</v>
      </c>
      <c r="AB486" t="str">
        <f t="shared" si="23"/>
        <v>Below average customer</v>
      </c>
    </row>
    <row r="487" spans="1:28" x14ac:dyDescent="0.35">
      <c r="A487">
        <v>6605</v>
      </c>
      <c r="B487">
        <v>1944</v>
      </c>
      <c r="C487" t="s">
        <v>36</v>
      </c>
      <c r="D487" t="s">
        <v>32</v>
      </c>
      <c r="E487" t="s">
        <v>35</v>
      </c>
      <c r="F487">
        <v>55614</v>
      </c>
      <c r="G487" t="str">
        <f t="shared" si="21"/>
        <v>Mid-high</v>
      </c>
      <c r="H487">
        <v>0</v>
      </c>
      <c r="I487">
        <v>0</v>
      </c>
      <c r="J487">
        <v>0</v>
      </c>
      <c r="K487" s="1">
        <v>41605</v>
      </c>
      <c r="L487">
        <v>85</v>
      </c>
      <c r="M487" t="str">
        <f t="shared" si="22"/>
        <v>Inactive</v>
      </c>
      <c r="N487">
        <v>0</v>
      </c>
      <c r="O487">
        <v>504</v>
      </c>
      <c r="P487">
        <v>13</v>
      </c>
      <c r="Q487">
        <v>131</v>
      </c>
      <c r="R487">
        <v>8</v>
      </c>
      <c r="S487">
        <v>0</v>
      </c>
      <c r="T487">
        <v>26</v>
      </c>
      <c r="U487">
        <v>682</v>
      </c>
      <c r="V487">
        <v>1</v>
      </c>
      <c r="W487">
        <v>9</v>
      </c>
      <c r="X487">
        <v>4</v>
      </c>
      <c r="Y487">
        <v>6</v>
      </c>
      <c r="Z487">
        <v>19</v>
      </c>
      <c r="AA487">
        <v>7</v>
      </c>
      <c r="AB487" t="str">
        <f t="shared" si="23"/>
        <v>Below average customer</v>
      </c>
    </row>
    <row r="488" spans="1:28" x14ac:dyDescent="0.35">
      <c r="A488">
        <v>3136</v>
      </c>
      <c r="B488">
        <v>1962</v>
      </c>
      <c r="C488" t="s">
        <v>25</v>
      </c>
      <c r="D488" t="s">
        <v>34</v>
      </c>
      <c r="E488" t="s">
        <v>35</v>
      </c>
      <c r="F488">
        <v>59432</v>
      </c>
      <c r="G488" t="str">
        <f t="shared" si="21"/>
        <v>Mid-high</v>
      </c>
      <c r="H488">
        <v>0</v>
      </c>
      <c r="I488">
        <v>1</v>
      </c>
      <c r="J488">
        <v>1</v>
      </c>
      <c r="K488" s="1">
        <v>41377</v>
      </c>
      <c r="L488">
        <v>88</v>
      </c>
      <c r="M488" t="str">
        <f t="shared" si="22"/>
        <v>Inactive</v>
      </c>
      <c r="N488">
        <v>0</v>
      </c>
      <c r="O488">
        <v>317</v>
      </c>
      <c r="P488">
        <v>25</v>
      </c>
      <c r="Q488">
        <v>265</v>
      </c>
      <c r="R488">
        <v>25</v>
      </c>
      <c r="S488">
        <v>19</v>
      </c>
      <c r="T488">
        <v>12</v>
      </c>
      <c r="U488">
        <v>663</v>
      </c>
      <c r="V488">
        <v>3</v>
      </c>
      <c r="W488">
        <v>5</v>
      </c>
      <c r="X488">
        <v>3</v>
      </c>
      <c r="Y488">
        <v>11</v>
      </c>
      <c r="Z488">
        <v>19</v>
      </c>
      <c r="AA488">
        <v>5</v>
      </c>
      <c r="AB488" t="str">
        <f t="shared" si="23"/>
        <v>Below average customer</v>
      </c>
    </row>
    <row r="489" spans="1:28" x14ac:dyDescent="0.35">
      <c r="A489">
        <v>8737</v>
      </c>
      <c r="B489">
        <v>1978</v>
      </c>
      <c r="C489" t="s">
        <v>31</v>
      </c>
      <c r="D489" t="s">
        <v>26</v>
      </c>
      <c r="E489" t="s">
        <v>35</v>
      </c>
      <c r="F489">
        <v>55563</v>
      </c>
      <c r="G489" t="str">
        <f t="shared" si="21"/>
        <v>Mid-high</v>
      </c>
      <c r="H489">
        <v>0</v>
      </c>
      <c r="I489">
        <v>1</v>
      </c>
      <c r="J489">
        <v>1</v>
      </c>
      <c r="K489" s="1">
        <v>41734</v>
      </c>
      <c r="L489">
        <v>22</v>
      </c>
      <c r="M489" t="str">
        <f t="shared" si="22"/>
        <v>Active</v>
      </c>
      <c r="N489">
        <v>0</v>
      </c>
      <c r="O489">
        <v>29</v>
      </c>
      <c r="P489">
        <v>1</v>
      </c>
      <c r="Q489">
        <v>9</v>
      </c>
      <c r="R489">
        <v>2</v>
      </c>
      <c r="S489">
        <v>0</v>
      </c>
      <c r="T489">
        <v>2</v>
      </c>
      <c r="U489">
        <v>43</v>
      </c>
      <c r="V489">
        <v>1</v>
      </c>
      <c r="W489">
        <v>2</v>
      </c>
      <c r="X489">
        <v>0</v>
      </c>
      <c r="Y489">
        <v>3</v>
      </c>
      <c r="Z489">
        <v>5</v>
      </c>
      <c r="AA489">
        <v>3</v>
      </c>
      <c r="AB489" t="str">
        <f t="shared" si="23"/>
        <v>Below average customer</v>
      </c>
    </row>
    <row r="490" spans="1:28" x14ac:dyDescent="0.35">
      <c r="A490">
        <v>11088</v>
      </c>
      <c r="B490">
        <v>1971</v>
      </c>
      <c r="C490" t="s">
        <v>28</v>
      </c>
      <c r="D490" t="s">
        <v>32</v>
      </c>
      <c r="E490" t="s">
        <v>29</v>
      </c>
      <c r="F490">
        <v>78642</v>
      </c>
      <c r="G490" t="str">
        <f t="shared" si="21"/>
        <v>High</v>
      </c>
      <c r="H490">
        <v>0</v>
      </c>
      <c r="I490">
        <v>1</v>
      </c>
      <c r="J490">
        <v>1</v>
      </c>
      <c r="K490" s="1">
        <v>41385</v>
      </c>
      <c r="L490">
        <v>83</v>
      </c>
      <c r="M490" t="str">
        <f t="shared" si="22"/>
        <v>Inactive</v>
      </c>
      <c r="N490">
        <v>0</v>
      </c>
      <c r="O490">
        <v>1396</v>
      </c>
      <c r="P490">
        <v>0</v>
      </c>
      <c r="Q490">
        <v>322</v>
      </c>
      <c r="R490">
        <v>46</v>
      </c>
      <c r="S490">
        <v>35</v>
      </c>
      <c r="T490">
        <v>17</v>
      </c>
      <c r="U490">
        <v>1816</v>
      </c>
      <c r="V490">
        <v>1</v>
      </c>
      <c r="W490">
        <v>4</v>
      </c>
      <c r="X490">
        <v>9</v>
      </c>
      <c r="Y490">
        <v>4</v>
      </c>
      <c r="Z490">
        <v>17</v>
      </c>
      <c r="AA490">
        <v>6</v>
      </c>
      <c r="AB490" t="str">
        <f t="shared" si="23"/>
        <v>Below average customer</v>
      </c>
    </row>
    <row r="491" spans="1:28" x14ac:dyDescent="0.35">
      <c r="A491">
        <v>716</v>
      </c>
      <c r="B491">
        <v>1949</v>
      </c>
      <c r="C491" t="s">
        <v>36</v>
      </c>
      <c r="D491" t="s">
        <v>32</v>
      </c>
      <c r="E491" t="s">
        <v>29</v>
      </c>
      <c r="F491">
        <v>67911</v>
      </c>
      <c r="G491" t="str">
        <f t="shared" si="21"/>
        <v>Mid-high</v>
      </c>
      <c r="H491">
        <v>0</v>
      </c>
      <c r="I491">
        <v>1</v>
      </c>
      <c r="J491">
        <v>1</v>
      </c>
      <c r="K491" s="1">
        <v>41781</v>
      </c>
      <c r="L491">
        <v>63</v>
      </c>
      <c r="M491" t="str">
        <f t="shared" si="22"/>
        <v>Inactive</v>
      </c>
      <c r="N491">
        <v>0</v>
      </c>
      <c r="O491">
        <v>529</v>
      </c>
      <c r="P491">
        <v>0</v>
      </c>
      <c r="Q491">
        <v>356</v>
      </c>
      <c r="R491">
        <v>63</v>
      </c>
      <c r="S491">
        <v>28</v>
      </c>
      <c r="T491">
        <v>0</v>
      </c>
      <c r="U491">
        <v>976</v>
      </c>
      <c r="V491">
        <v>3</v>
      </c>
      <c r="W491">
        <v>6</v>
      </c>
      <c r="X491">
        <v>7</v>
      </c>
      <c r="Y491">
        <v>11</v>
      </c>
      <c r="Z491">
        <v>24</v>
      </c>
      <c r="AA491">
        <v>3</v>
      </c>
      <c r="AB491" t="str">
        <f t="shared" si="23"/>
        <v>Below average customer</v>
      </c>
    </row>
    <row r="492" spans="1:28" x14ac:dyDescent="0.35">
      <c r="A492">
        <v>466</v>
      </c>
      <c r="B492">
        <v>1944</v>
      </c>
      <c r="C492" t="s">
        <v>36</v>
      </c>
      <c r="D492" t="s">
        <v>26</v>
      </c>
      <c r="E492" t="s">
        <v>33</v>
      </c>
      <c r="F492">
        <v>65275</v>
      </c>
      <c r="G492" t="str">
        <f t="shared" si="21"/>
        <v>Mid-high</v>
      </c>
      <c r="H492">
        <v>0</v>
      </c>
      <c r="I492">
        <v>0</v>
      </c>
      <c r="J492">
        <v>0</v>
      </c>
      <c r="K492" s="1">
        <v>41367</v>
      </c>
      <c r="L492">
        <v>9</v>
      </c>
      <c r="M492" t="str">
        <f t="shared" si="22"/>
        <v>Active</v>
      </c>
      <c r="N492">
        <v>0</v>
      </c>
      <c r="O492">
        <v>388</v>
      </c>
      <c r="P492">
        <v>14</v>
      </c>
      <c r="Q492">
        <v>218</v>
      </c>
      <c r="R492">
        <v>91</v>
      </c>
      <c r="S492">
        <v>14</v>
      </c>
      <c r="T492">
        <v>21</v>
      </c>
      <c r="U492">
        <v>746</v>
      </c>
      <c r="V492">
        <v>1</v>
      </c>
      <c r="W492">
        <v>4</v>
      </c>
      <c r="X492">
        <v>3</v>
      </c>
      <c r="Y492">
        <v>13</v>
      </c>
      <c r="Z492">
        <v>20</v>
      </c>
      <c r="AA492">
        <v>2</v>
      </c>
      <c r="AB492" t="str">
        <f t="shared" si="23"/>
        <v>Above average customer</v>
      </c>
    </row>
    <row r="493" spans="1:28" x14ac:dyDescent="0.35">
      <c r="A493">
        <v>9135</v>
      </c>
      <c r="B493">
        <v>1950</v>
      </c>
      <c r="C493" t="s">
        <v>36</v>
      </c>
      <c r="D493" t="s">
        <v>26</v>
      </c>
      <c r="E493" t="s">
        <v>29</v>
      </c>
      <c r="F493">
        <v>27203</v>
      </c>
      <c r="G493" t="str">
        <f t="shared" si="21"/>
        <v>Low</v>
      </c>
      <c r="H493">
        <v>1</v>
      </c>
      <c r="I493">
        <v>1</v>
      </c>
      <c r="J493">
        <v>2</v>
      </c>
      <c r="K493" s="1">
        <v>41127</v>
      </c>
      <c r="L493">
        <v>92</v>
      </c>
      <c r="M493" t="str">
        <f t="shared" si="22"/>
        <v>Inactive</v>
      </c>
      <c r="N493">
        <v>0</v>
      </c>
      <c r="O493">
        <v>13</v>
      </c>
      <c r="P493">
        <v>2</v>
      </c>
      <c r="Q493">
        <v>21</v>
      </c>
      <c r="R493">
        <v>4</v>
      </c>
      <c r="S493">
        <v>0</v>
      </c>
      <c r="T493">
        <v>24</v>
      </c>
      <c r="U493">
        <v>64</v>
      </c>
      <c r="V493">
        <v>2</v>
      </c>
      <c r="W493">
        <v>1</v>
      </c>
      <c r="X493">
        <v>1</v>
      </c>
      <c r="Y493">
        <v>2</v>
      </c>
      <c r="Z493">
        <v>4</v>
      </c>
      <c r="AA493">
        <v>8</v>
      </c>
      <c r="AB493" t="str">
        <f t="shared" si="23"/>
        <v>Below average customer</v>
      </c>
    </row>
    <row r="494" spans="1:28" x14ac:dyDescent="0.35">
      <c r="A494">
        <v>10623</v>
      </c>
      <c r="B494">
        <v>1961</v>
      </c>
      <c r="C494" t="s">
        <v>25</v>
      </c>
      <c r="D494" t="s">
        <v>34</v>
      </c>
      <c r="E494" t="s">
        <v>29</v>
      </c>
      <c r="F494">
        <v>48330</v>
      </c>
      <c r="G494" t="str">
        <f t="shared" si="21"/>
        <v>Mid-low</v>
      </c>
      <c r="H494">
        <v>0</v>
      </c>
      <c r="I494">
        <v>1</v>
      </c>
      <c r="J494">
        <v>1</v>
      </c>
      <c r="K494" s="1">
        <v>41593</v>
      </c>
      <c r="L494">
        <v>2</v>
      </c>
      <c r="M494" t="str">
        <f t="shared" si="22"/>
        <v>Active</v>
      </c>
      <c r="N494">
        <v>0</v>
      </c>
      <c r="O494">
        <v>28</v>
      </c>
      <c r="P494">
        <v>0</v>
      </c>
      <c r="Q494">
        <v>4</v>
      </c>
      <c r="R494">
        <v>0</v>
      </c>
      <c r="S494">
        <v>0</v>
      </c>
      <c r="T494">
        <v>0</v>
      </c>
      <c r="U494">
        <v>32</v>
      </c>
      <c r="V494">
        <v>1</v>
      </c>
      <c r="W494">
        <v>1</v>
      </c>
      <c r="X494">
        <v>0</v>
      </c>
      <c r="Y494">
        <v>3</v>
      </c>
      <c r="Z494">
        <v>4</v>
      </c>
      <c r="AA494">
        <v>5</v>
      </c>
      <c r="AB494" t="str">
        <f t="shared" si="23"/>
        <v>Below average customer</v>
      </c>
    </row>
    <row r="495" spans="1:28" x14ac:dyDescent="0.35">
      <c r="A495">
        <v>8151</v>
      </c>
      <c r="B495">
        <v>1990</v>
      </c>
      <c r="C495" t="s">
        <v>30</v>
      </c>
      <c r="D495" t="s">
        <v>37</v>
      </c>
      <c r="E495" t="s">
        <v>33</v>
      </c>
      <c r="F495">
        <v>24279</v>
      </c>
      <c r="G495" t="str">
        <f t="shared" si="21"/>
        <v>Low</v>
      </c>
      <c r="H495">
        <v>0</v>
      </c>
      <c r="I495">
        <v>0</v>
      </c>
      <c r="J495">
        <v>0</v>
      </c>
      <c r="K495" s="1">
        <v>41272</v>
      </c>
      <c r="L495">
        <v>6</v>
      </c>
      <c r="M495" t="str">
        <f t="shared" si="22"/>
        <v>Active</v>
      </c>
      <c r="N495">
        <v>0</v>
      </c>
      <c r="O495">
        <v>16</v>
      </c>
      <c r="P495">
        <v>36</v>
      </c>
      <c r="Q495">
        <v>21</v>
      </c>
      <c r="R495">
        <v>20</v>
      </c>
      <c r="S495">
        <v>62</v>
      </c>
      <c r="T495">
        <v>108</v>
      </c>
      <c r="U495">
        <v>263</v>
      </c>
      <c r="V495">
        <v>1</v>
      </c>
      <c r="W495">
        <v>4</v>
      </c>
      <c r="X495">
        <v>1</v>
      </c>
      <c r="Y495">
        <v>3</v>
      </c>
      <c r="Z495">
        <v>8</v>
      </c>
      <c r="AA495">
        <v>8</v>
      </c>
      <c r="AB495" t="str">
        <f t="shared" si="23"/>
        <v>Below average customer</v>
      </c>
    </row>
    <row r="496" spans="1:28" x14ac:dyDescent="0.35">
      <c r="A496">
        <v>5140</v>
      </c>
      <c r="B496">
        <v>1985</v>
      </c>
      <c r="C496" t="s">
        <v>30</v>
      </c>
      <c r="D496" t="s">
        <v>32</v>
      </c>
      <c r="E496" t="s">
        <v>33</v>
      </c>
      <c r="F496">
        <v>64355</v>
      </c>
      <c r="G496" t="str">
        <f t="shared" si="21"/>
        <v>Mid-high</v>
      </c>
      <c r="H496">
        <v>1</v>
      </c>
      <c r="I496">
        <v>0</v>
      </c>
      <c r="J496">
        <v>1</v>
      </c>
      <c r="K496" s="1">
        <v>41145</v>
      </c>
      <c r="L496">
        <v>66</v>
      </c>
      <c r="M496" t="str">
        <f t="shared" si="22"/>
        <v>Inactive</v>
      </c>
      <c r="N496">
        <v>0</v>
      </c>
      <c r="O496">
        <v>1047</v>
      </c>
      <c r="P496">
        <v>0</v>
      </c>
      <c r="Q496">
        <v>140</v>
      </c>
      <c r="R496">
        <v>67</v>
      </c>
      <c r="S496">
        <v>38</v>
      </c>
      <c r="T496">
        <v>153</v>
      </c>
      <c r="U496">
        <v>1445</v>
      </c>
      <c r="V496">
        <v>2</v>
      </c>
      <c r="W496">
        <v>4</v>
      </c>
      <c r="X496">
        <v>3</v>
      </c>
      <c r="Y496">
        <v>12</v>
      </c>
      <c r="Z496">
        <v>19</v>
      </c>
      <c r="AA496">
        <v>8</v>
      </c>
      <c r="AB496" t="str">
        <f t="shared" si="23"/>
        <v>Below average customer</v>
      </c>
    </row>
    <row r="497" spans="1:28" x14ac:dyDescent="0.35">
      <c r="A497">
        <v>4945</v>
      </c>
      <c r="B497">
        <v>1953</v>
      </c>
      <c r="C497" t="s">
        <v>25</v>
      </c>
      <c r="D497" t="s">
        <v>26</v>
      </c>
      <c r="E497" t="s">
        <v>38</v>
      </c>
      <c r="F497">
        <v>53653</v>
      </c>
      <c r="G497" t="str">
        <f t="shared" si="21"/>
        <v>Mid-high</v>
      </c>
      <c r="H497">
        <v>0</v>
      </c>
      <c r="I497">
        <v>0</v>
      </c>
      <c r="J497">
        <v>0</v>
      </c>
      <c r="K497" s="1">
        <v>41220</v>
      </c>
      <c r="L497">
        <v>29</v>
      </c>
      <c r="M497" t="str">
        <f t="shared" si="22"/>
        <v>Active</v>
      </c>
      <c r="N497">
        <v>0</v>
      </c>
      <c r="O497">
        <v>815</v>
      </c>
      <c r="P497">
        <v>10</v>
      </c>
      <c r="Q497">
        <v>239</v>
      </c>
      <c r="R497">
        <v>28</v>
      </c>
      <c r="S497">
        <v>10</v>
      </c>
      <c r="T497">
        <v>108</v>
      </c>
      <c r="U497">
        <v>1210</v>
      </c>
      <c r="V497">
        <v>2</v>
      </c>
      <c r="W497">
        <v>10</v>
      </c>
      <c r="X497">
        <v>4</v>
      </c>
      <c r="Y497">
        <v>12</v>
      </c>
      <c r="Z497">
        <v>26</v>
      </c>
      <c r="AA497">
        <v>6</v>
      </c>
      <c r="AB497" t="str">
        <f t="shared" si="23"/>
        <v>Above average customer</v>
      </c>
    </row>
    <row r="498" spans="1:28" x14ac:dyDescent="0.35">
      <c r="A498">
        <v>10584</v>
      </c>
      <c r="B498">
        <v>1976</v>
      </c>
      <c r="C498" t="s">
        <v>31</v>
      </c>
      <c r="D498" t="s">
        <v>26</v>
      </c>
      <c r="E498" t="s">
        <v>33</v>
      </c>
      <c r="F498">
        <v>65665</v>
      </c>
      <c r="G498" t="str">
        <f t="shared" si="21"/>
        <v>Mid-high</v>
      </c>
      <c r="H498">
        <v>0</v>
      </c>
      <c r="I498">
        <v>1</v>
      </c>
      <c r="J498">
        <v>1</v>
      </c>
      <c r="K498" s="1">
        <v>41610</v>
      </c>
      <c r="L498">
        <v>77</v>
      </c>
      <c r="M498" t="str">
        <f t="shared" si="22"/>
        <v>Inactive</v>
      </c>
      <c r="N498">
        <v>0</v>
      </c>
      <c r="O498">
        <v>225</v>
      </c>
      <c r="P498">
        <v>162</v>
      </c>
      <c r="Q498">
        <v>387</v>
      </c>
      <c r="R498">
        <v>106</v>
      </c>
      <c r="S498">
        <v>36</v>
      </c>
      <c r="T498">
        <v>29</v>
      </c>
      <c r="U498">
        <v>945</v>
      </c>
      <c r="V498">
        <v>1</v>
      </c>
      <c r="W498">
        <v>5</v>
      </c>
      <c r="X498">
        <v>10</v>
      </c>
      <c r="Y498">
        <v>8</v>
      </c>
      <c r="Z498">
        <v>23</v>
      </c>
      <c r="AA498">
        <v>3</v>
      </c>
      <c r="AB498" t="str">
        <f t="shared" si="23"/>
        <v>Below average customer</v>
      </c>
    </row>
    <row r="499" spans="1:28" x14ac:dyDescent="0.35">
      <c r="A499">
        <v>6071</v>
      </c>
      <c r="B499">
        <v>1989</v>
      </c>
      <c r="C499" t="s">
        <v>30</v>
      </c>
      <c r="D499" t="s">
        <v>26</v>
      </c>
      <c r="E499" t="s">
        <v>27</v>
      </c>
      <c r="F499">
        <v>81217</v>
      </c>
      <c r="G499" t="str">
        <f t="shared" si="21"/>
        <v>High</v>
      </c>
      <c r="H499">
        <v>0</v>
      </c>
      <c r="I499">
        <v>0</v>
      </c>
      <c r="J499">
        <v>0</v>
      </c>
      <c r="K499" s="1">
        <v>41474</v>
      </c>
      <c r="L499">
        <v>77</v>
      </c>
      <c r="M499" t="str">
        <f t="shared" si="22"/>
        <v>Inactive</v>
      </c>
      <c r="N499">
        <v>0</v>
      </c>
      <c r="O499">
        <v>493</v>
      </c>
      <c r="P499">
        <v>70</v>
      </c>
      <c r="Q499">
        <v>324</v>
      </c>
      <c r="R499">
        <v>146</v>
      </c>
      <c r="S499">
        <v>40</v>
      </c>
      <c r="T499">
        <v>84</v>
      </c>
      <c r="U499">
        <v>1157</v>
      </c>
      <c r="V499">
        <v>1</v>
      </c>
      <c r="W499">
        <v>3</v>
      </c>
      <c r="X499">
        <v>7</v>
      </c>
      <c r="Y499">
        <v>11</v>
      </c>
      <c r="Z499">
        <v>21</v>
      </c>
      <c r="AA499">
        <v>1</v>
      </c>
      <c r="AB499" t="str">
        <f t="shared" si="23"/>
        <v>Below average customer</v>
      </c>
    </row>
    <row r="500" spans="1:28" x14ac:dyDescent="0.35">
      <c r="A500">
        <v>3386</v>
      </c>
      <c r="B500">
        <v>1992</v>
      </c>
      <c r="C500" t="s">
        <v>30</v>
      </c>
      <c r="D500" t="s">
        <v>26</v>
      </c>
      <c r="E500" t="s">
        <v>33</v>
      </c>
      <c r="F500">
        <v>34935</v>
      </c>
      <c r="G500" t="str">
        <f t="shared" si="21"/>
        <v>Low</v>
      </c>
      <c r="H500">
        <v>0</v>
      </c>
      <c r="I500">
        <v>0</v>
      </c>
      <c r="J500">
        <v>0</v>
      </c>
      <c r="K500" s="1">
        <v>41446</v>
      </c>
      <c r="L500">
        <v>71</v>
      </c>
      <c r="M500" t="str">
        <f t="shared" si="22"/>
        <v>Inactive</v>
      </c>
      <c r="N500">
        <v>0</v>
      </c>
      <c r="O500">
        <v>34</v>
      </c>
      <c r="P500">
        <v>4</v>
      </c>
      <c r="Q500">
        <v>66</v>
      </c>
      <c r="R500">
        <v>3</v>
      </c>
      <c r="S500">
        <v>10</v>
      </c>
      <c r="T500">
        <v>20</v>
      </c>
      <c r="U500">
        <v>137</v>
      </c>
      <c r="V500">
        <v>1</v>
      </c>
      <c r="W500">
        <v>2</v>
      </c>
      <c r="X500">
        <v>1</v>
      </c>
      <c r="Y500">
        <v>4</v>
      </c>
      <c r="Z500">
        <v>7</v>
      </c>
      <c r="AA500">
        <v>7</v>
      </c>
      <c r="AB500" t="str">
        <f t="shared" si="23"/>
        <v>Below average customer</v>
      </c>
    </row>
    <row r="501" spans="1:28" x14ac:dyDescent="0.35">
      <c r="A501">
        <v>8939</v>
      </c>
      <c r="B501">
        <v>1959</v>
      </c>
      <c r="C501" t="s">
        <v>25</v>
      </c>
      <c r="D501" t="s">
        <v>26</v>
      </c>
      <c r="E501" t="s">
        <v>35</v>
      </c>
      <c r="F501">
        <v>61250</v>
      </c>
      <c r="G501" t="str">
        <f t="shared" si="21"/>
        <v>Mid-high</v>
      </c>
      <c r="H501">
        <v>0</v>
      </c>
      <c r="I501">
        <v>1</v>
      </c>
      <c r="J501">
        <v>1</v>
      </c>
      <c r="K501" s="1">
        <v>41259</v>
      </c>
      <c r="L501">
        <v>49</v>
      </c>
      <c r="M501" t="str">
        <f t="shared" si="22"/>
        <v>Inactive</v>
      </c>
      <c r="N501">
        <v>0</v>
      </c>
      <c r="O501">
        <v>382</v>
      </c>
      <c r="P501">
        <v>138</v>
      </c>
      <c r="Q501">
        <v>65</v>
      </c>
      <c r="R501">
        <v>60</v>
      </c>
      <c r="S501">
        <v>26</v>
      </c>
      <c r="T501">
        <v>59</v>
      </c>
      <c r="U501">
        <v>730</v>
      </c>
      <c r="V501">
        <v>6</v>
      </c>
      <c r="W501">
        <v>5</v>
      </c>
      <c r="X501">
        <v>2</v>
      </c>
      <c r="Y501">
        <v>12</v>
      </c>
      <c r="Z501">
        <v>19</v>
      </c>
      <c r="AA501">
        <v>5</v>
      </c>
      <c r="AB501" t="str">
        <f t="shared" si="23"/>
        <v>Below average customer</v>
      </c>
    </row>
    <row r="502" spans="1:28" x14ac:dyDescent="0.35">
      <c r="A502">
        <v>9925</v>
      </c>
      <c r="B502">
        <v>1981</v>
      </c>
      <c r="C502" t="s">
        <v>31</v>
      </c>
      <c r="D502" t="s">
        <v>32</v>
      </c>
      <c r="E502" t="s">
        <v>29</v>
      </c>
      <c r="F502">
        <v>39665</v>
      </c>
      <c r="G502" t="str">
        <f t="shared" si="21"/>
        <v>Mid-low</v>
      </c>
      <c r="H502">
        <v>1</v>
      </c>
      <c r="I502">
        <v>0</v>
      </c>
      <c r="J502">
        <v>1</v>
      </c>
      <c r="K502" s="1">
        <v>41419</v>
      </c>
      <c r="L502">
        <v>97</v>
      </c>
      <c r="M502" t="str">
        <f t="shared" si="22"/>
        <v>Inactive</v>
      </c>
      <c r="N502">
        <v>0</v>
      </c>
      <c r="O502">
        <v>127</v>
      </c>
      <c r="P502">
        <v>1</v>
      </c>
      <c r="Q502">
        <v>56</v>
      </c>
      <c r="R502">
        <v>0</v>
      </c>
      <c r="S502">
        <v>1</v>
      </c>
      <c r="T502">
        <v>31</v>
      </c>
      <c r="U502">
        <v>216</v>
      </c>
      <c r="V502">
        <v>3</v>
      </c>
      <c r="W502">
        <v>4</v>
      </c>
      <c r="X502">
        <v>2</v>
      </c>
      <c r="Y502">
        <v>3</v>
      </c>
      <c r="Z502">
        <v>9</v>
      </c>
      <c r="AA502">
        <v>7</v>
      </c>
      <c r="AB502" t="str">
        <f t="shared" si="23"/>
        <v>Below average customer</v>
      </c>
    </row>
    <row r="503" spans="1:28" x14ac:dyDescent="0.35">
      <c r="A503">
        <v>4320</v>
      </c>
      <c r="B503">
        <v>1979</v>
      </c>
      <c r="C503" t="s">
        <v>31</v>
      </c>
      <c r="D503" t="s">
        <v>26</v>
      </c>
      <c r="E503" t="s">
        <v>27</v>
      </c>
      <c r="F503">
        <v>60152</v>
      </c>
      <c r="G503" t="str">
        <f t="shared" si="21"/>
        <v>Mid-high</v>
      </c>
      <c r="H503">
        <v>0</v>
      </c>
      <c r="I503">
        <v>1</v>
      </c>
      <c r="J503">
        <v>1</v>
      </c>
      <c r="K503" s="1">
        <v>41361</v>
      </c>
      <c r="L503">
        <v>6</v>
      </c>
      <c r="M503" t="str">
        <f t="shared" si="22"/>
        <v>Active</v>
      </c>
      <c r="N503">
        <v>0</v>
      </c>
      <c r="O503">
        <v>325</v>
      </c>
      <c r="P503">
        <v>83</v>
      </c>
      <c r="Q503">
        <v>300</v>
      </c>
      <c r="R503">
        <v>86</v>
      </c>
      <c r="S503">
        <v>58</v>
      </c>
      <c r="T503">
        <v>91</v>
      </c>
      <c r="U503">
        <v>943</v>
      </c>
      <c r="V503">
        <v>1</v>
      </c>
      <c r="W503">
        <v>6</v>
      </c>
      <c r="X503">
        <v>4</v>
      </c>
      <c r="Y503">
        <v>12</v>
      </c>
      <c r="Z503">
        <v>22</v>
      </c>
      <c r="AA503">
        <v>3</v>
      </c>
      <c r="AB503" t="str">
        <f t="shared" si="23"/>
        <v>Above average customer</v>
      </c>
    </row>
    <row r="504" spans="1:28" x14ac:dyDescent="0.35">
      <c r="A504">
        <v>5389</v>
      </c>
      <c r="B504">
        <v>1964</v>
      </c>
      <c r="C504" t="s">
        <v>28</v>
      </c>
      <c r="D504" t="s">
        <v>26</v>
      </c>
      <c r="E504" t="s">
        <v>33</v>
      </c>
      <c r="F504">
        <v>48920</v>
      </c>
      <c r="G504" t="str">
        <f t="shared" si="21"/>
        <v>Mid-low</v>
      </c>
      <c r="H504">
        <v>0</v>
      </c>
      <c r="I504">
        <v>2</v>
      </c>
      <c r="J504">
        <v>2</v>
      </c>
      <c r="K504" s="1">
        <v>41567</v>
      </c>
      <c r="L504">
        <v>93</v>
      </c>
      <c r="M504" t="str">
        <f t="shared" si="22"/>
        <v>Inactive</v>
      </c>
      <c r="N504">
        <v>0</v>
      </c>
      <c r="O504">
        <v>238</v>
      </c>
      <c r="P504">
        <v>17</v>
      </c>
      <c r="Q504">
        <v>68</v>
      </c>
      <c r="R504">
        <v>8</v>
      </c>
      <c r="S504">
        <v>10</v>
      </c>
      <c r="T504">
        <v>6</v>
      </c>
      <c r="U504">
        <v>347</v>
      </c>
      <c r="V504">
        <v>3</v>
      </c>
      <c r="W504">
        <v>6</v>
      </c>
      <c r="X504">
        <v>2</v>
      </c>
      <c r="Y504">
        <v>5</v>
      </c>
      <c r="Z504">
        <v>13</v>
      </c>
      <c r="AA504">
        <v>7</v>
      </c>
      <c r="AB504" t="str">
        <f t="shared" si="23"/>
        <v>Below average customer</v>
      </c>
    </row>
    <row r="505" spans="1:28" x14ac:dyDescent="0.35">
      <c r="A505">
        <v>6036</v>
      </c>
      <c r="B505">
        <v>1959</v>
      </c>
      <c r="C505" t="s">
        <v>25</v>
      </c>
      <c r="D505" t="s">
        <v>34</v>
      </c>
      <c r="E505" t="s">
        <v>29</v>
      </c>
      <c r="F505">
        <v>89120</v>
      </c>
      <c r="G505" t="str">
        <f t="shared" si="21"/>
        <v>High</v>
      </c>
      <c r="H505">
        <v>0</v>
      </c>
      <c r="I505">
        <v>0</v>
      </c>
      <c r="J505">
        <v>0</v>
      </c>
      <c r="K505" s="1">
        <v>41715</v>
      </c>
      <c r="L505">
        <v>78</v>
      </c>
      <c r="M505" t="str">
        <f t="shared" si="22"/>
        <v>Inactive</v>
      </c>
      <c r="N505">
        <v>0</v>
      </c>
      <c r="O505">
        <v>1168</v>
      </c>
      <c r="P505">
        <v>92</v>
      </c>
      <c r="Q505">
        <v>408</v>
      </c>
      <c r="R505">
        <v>72</v>
      </c>
      <c r="S505">
        <v>129</v>
      </c>
      <c r="T505">
        <v>55</v>
      </c>
      <c r="U505">
        <v>1924</v>
      </c>
      <c r="V505">
        <v>1</v>
      </c>
      <c r="W505">
        <v>5</v>
      </c>
      <c r="X505">
        <v>6</v>
      </c>
      <c r="Y505">
        <v>7</v>
      </c>
      <c r="Z505">
        <v>18</v>
      </c>
      <c r="AA505">
        <v>1</v>
      </c>
      <c r="AB505" t="str">
        <f t="shared" si="23"/>
        <v>Below average customer</v>
      </c>
    </row>
    <row r="506" spans="1:28" x14ac:dyDescent="0.35">
      <c r="A506">
        <v>182</v>
      </c>
      <c r="B506">
        <v>1946</v>
      </c>
      <c r="C506" t="s">
        <v>36</v>
      </c>
      <c r="D506" t="s">
        <v>32</v>
      </c>
      <c r="E506" t="s">
        <v>29</v>
      </c>
      <c r="F506">
        <v>44124</v>
      </c>
      <c r="G506" t="str">
        <f t="shared" si="21"/>
        <v>Mid-low</v>
      </c>
      <c r="H506">
        <v>0</v>
      </c>
      <c r="I506">
        <v>1</v>
      </c>
      <c r="J506">
        <v>1</v>
      </c>
      <c r="K506" s="1">
        <v>41405</v>
      </c>
      <c r="L506">
        <v>62</v>
      </c>
      <c r="M506" t="str">
        <f t="shared" si="22"/>
        <v>Inactive</v>
      </c>
      <c r="N506">
        <v>0</v>
      </c>
      <c r="O506">
        <v>284</v>
      </c>
      <c r="P506">
        <v>0</v>
      </c>
      <c r="Q506">
        <v>55</v>
      </c>
      <c r="R506">
        <v>0</v>
      </c>
      <c r="S506">
        <v>6</v>
      </c>
      <c r="T506">
        <v>52</v>
      </c>
      <c r="U506">
        <v>397</v>
      </c>
      <c r="V506">
        <v>4</v>
      </c>
      <c r="W506">
        <v>6</v>
      </c>
      <c r="X506">
        <v>2</v>
      </c>
      <c r="Y506">
        <v>5</v>
      </c>
      <c r="Z506">
        <v>13</v>
      </c>
      <c r="AA506">
        <v>8</v>
      </c>
      <c r="AB506" t="str">
        <f t="shared" si="23"/>
        <v>Below average customer</v>
      </c>
    </row>
    <row r="507" spans="1:28" x14ac:dyDescent="0.35">
      <c r="A507">
        <v>203</v>
      </c>
      <c r="B507">
        <v>1975</v>
      </c>
      <c r="C507" t="s">
        <v>31</v>
      </c>
      <c r="D507" t="s">
        <v>34</v>
      </c>
      <c r="E507" t="s">
        <v>27</v>
      </c>
      <c r="F507">
        <v>81169</v>
      </c>
      <c r="G507" t="str">
        <f t="shared" si="21"/>
        <v>High</v>
      </c>
      <c r="H507">
        <v>0</v>
      </c>
      <c r="I507">
        <v>0</v>
      </c>
      <c r="J507">
        <v>0</v>
      </c>
      <c r="K507" s="1">
        <v>41378</v>
      </c>
      <c r="L507">
        <v>47</v>
      </c>
      <c r="M507" t="str">
        <f t="shared" si="22"/>
        <v>Active</v>
      </c>
      <c r="N507">
        <v>0</v>
      </c>
      <c r="O507">
        <v>1288</v>
      </c>
      <c r="P507">
        <v>20</v>
      </c>
      <c r="Q507">
        <v>613</v>
      </c>
      <c r="R507">
        <v>80</v>
      </c>
      <c r="S507">
        <v>61</v>
      </c>
      <c r="T507">
        <v>27</v>
      </c>
      <c r="U507">
        <v>2089</v>
      </c>
      <c r="V507">
        <v>1</v>
      </c>
      <c r="W507">
        <v>5</v>
      </c>
      <c r="X507">
        <v>7</v>
      </c>
      <c r="Y507">
        <v>9</v>
      </c>
      <c r="Z507">
        <v>21</v>
      </c>
      <c r="AA507">
        <v>2</v>
      </c>
      <c r="AB507" t="str">
        <f t="shared" si="23"/>
        <v>Above average customer</v>
      </c>
    </row>
    <row r="508" spans="1:28" x14ac:dyDescent="0.35">
      <c r="A508">
        <v>11025</v>
      </c>
      <c r="B508">
        <v>1961</v>
      </c>
      <c r="C508" t="s">
        <v>25</v>
      </c>
      <c r="D508" t="s">
        <v>26</v>
      </c>
      <c r="E508" t="s">
        <v>33</v>
      </c>
      <c r="F508">
        <v>36443</v>
      </c>
      <c r="G508" t="str">
        <f t="shared" si="21"/>
        <v>Mid-low</v>
      </c>
      <c r="H508">
        <v>1</v>
      </c>
      <c r="I508">
        <v>1</v>
      </c>
      <c r="J508">
        <v>2</v>
      </c>
      <c r="K508" s="1">
        <v>41308</v>
      </c>
      <c r="L508">
        <v>9</v>
      </c>
      <c r="M508" t="str">
        <f t="shared" si="22"/>
        <v>Active</v>
      </c>
      <c r="N508">
        <v>0</v>
      </c>
      <c r="O508">
        <v>65</v>
      </c>
      <c r="P508">
        <v>0</v>
      </c>
      <c r="Q508">
        <v>46</v>
      </c>
      <c r="R508">
        <v>4</v>
      </c>
      <c r="S508">
        <v>3</v>
      </c>
      <c r="T508">
        <v>20</v>
      </c>
      <c r="U508">
        <v>138</v>
      </c>
      <c r="V508">
        <v>4</v>
      </c>
      <c r="W508">
        <v>3</v>
      </c>
      <c r="X508">
        <v>1</v>
      </c>
      <c r="Y508">
        <v>3</v>
      </c>
      <c r="Z508">
        <v>7</v>
      </c>
      <c r="AA508">
        <v>8</v>
      </c>
      <c r="AB508" t="str">
        <f t="shared" si="23"/>
        <v>Below average customer</v>
      </c>
    </row>
    <row r="509" spans="1:28" x14ac:dyDescent="0.35">
      <c r="A509">
        <v>10203</v>
      </c>
      <c r="B509">
        <v>1990</v>
      </c>
      <c r="C509" t="s">
        <v>30</v>
      </c>
      <c r="D509" t="s">
        <v>26</v>
      </c>
      <c r="E509" t="s">
        <v>27</v>
      </c>
      <c r="F509">
        <v>26095</v>
      </c>
      <c r="G509" t="str">
        <f t="shared" si="21"/>
        <v>Low</v>
      </c>
      <c r="H509">
        <v>1</v>
      </c>
      <c r="I509">
        <v>0</v>
      </c>
      <c r="J509">
        <v>1</v>
      </c>
      <c r="K509" s="1">
        <v>41455</v>
      </c>
      <c r="L509">
        <v>77</v>
      </c>
      <c r="M509" t="str">
        <f t="shared" si="22"/>
        <v>Inactive</v>
      </c>
      <c r="N509">
        <v>0</v>
      </c>
      <c r="O509">
        <v>11</v>
      </c>
      <c r="P509">
        <v>7</v>
      </c>
      <c r="Q509">
        <v>9</v>
      </c>
      <c r="R509">
        <v>3</v>
      </c>
      <c r="S509">
        <v>1</v>
      </c>
      <c r="T509">
        <v>11</v>
      </c>
      <c r="U509">
        <v>42</v>
      </c>
      <c r="V509">
        <v>1</v>
      </c>
      <c r="W509">
        <v>1</v>
      </c>
      <c r="X509">
        <v>0</v>
      </c>
      <c r="Y509">
        <v>3</v>
      </c>
      <c r="Z509">
        <v>4</v>
      </c>
      <c r="AA509">
        <v>7</v>
      </c>
      <c r="AB509" t="str">
        <f t="shared" si="23"/>
        <v>Below average customer</v>
      </c>
    </row>
    <row r="510" spans="1:28" x14ac:dyDescent="0.35">
      <c r="A510">
        <v>4607</v>
      </c>
      <c r="B510">
        <v>1959</v>
      </c>
      <c r="C510" t="s">
        <v>25</v>
      </c>
      <c r="D510" t="s">
        <v>26</v>
      </c>
      <c r="E510" t="s">
        <v>29</v>
      </c>
      <c r="F510">
        <v>71367</v>
      </c>
      <c r="G510" t="str">
        <f t="shared" si="21"/>
        <v>High</v>
      </c>
      <c r="H510">
        <v>0</v>
      </c>
      <c r="I510">
        <v>0</v>
      </c>
      <c r="J510">
        <v>0</v>
      </c>
      <c r="K510" s="1">
        <v>41509</v>
      </c>
      <c r="L510">
        <v>24</v>
      </c>
      <c r="M510" t="str">
        <f t="shared" si="22"/>
        <v>Active</v>
      </c>
      <c r="N510">
        <v>0</v>
      </c>
      <c r="O510">
        <v>227</v>
      </c>
      <c r="P510">
        <v>23</v>
      </c>
      <c r="Q510">
        <v>389</v>
      </c>
      <c r="R510">
        <v>42</v>
      </c>
      <c r="S510">
        <v>21</v>
      </c>
      <c r="T510">
        <v>75</v>
      </c>
      <c r="U510">
        <v>777</v>
      </c>
      <c r="V510">
        <v>1</v>
      </c>
      <c r="W510">
        <v>4</v>
      </c>
      <c r="X510">
        <v>5</v>
      </c>
      <c r="Y510">
        <v>7</v>
      </c>
      <c r="Z510">
        <v>16</v>
      </c>
      <c r="AA510">
        <v>2</v>
      </c>
      <c r="AB510" t="str">
        <f t="shared" si="23"/>
        <v>Above average customer</v>
      </c>
    </row>
    <row r="511" spans="1:28" x14ac:dyDescent="0.35">
      <c r="A511">
        <v>3711</v>
      </c>
      <c r="B511">
        <v>1944</v>
      </c>
      <c r="C511" t="s">
        <v>36</v>
      </c>
      <c r="D511" t="s">
        <v>34</v>
      </c>
      <c r="E511" t="s">
        <v>33</v>
      </c>
      <c r="F511">
        <v>80184</v>
      </c>
      <c r="G511" t="str">
        <f t="shared" si="21"/>
        <v>High</v>
      </c>
      <c r="H511">
        <v>0</v>
      </c>
      <c r="I511">
        <v>0</v>
      </c>
      <c r="J511">
        <v>0</v>
      </c>
      <c r="K511" s="1">
        <v>41699</v>
      </c>
      <c r="L511">
        <v>19</v>
      </c>
      <c r="M511" t="str">
        <f t="shared" si="22"/>
        <v>Active</v>
      </c>
      <c r="N511">
        <v>0</v>
      </c>
      <c r="O511">
        <v>1035</v>
      </c>
      <c r="P511">
        <v>134</v>
      </c>
      <c r="Q511">
        <v>670</v>
      </c>
      <c r="R511">
        <v>25</v>
      </c>
      <c r="S511">
        <v>38</v>
      </c>
      <c r="T511">
        <v>0</v>
      </c>
      <c r="U511">
        <v>1902</v>
      </c>
      <c r="V511">
        <v>1</v>
      </c>
      <c r="W511">
        <v>6</v>
      </c>
      <c r="X511">
        <v>3</v>
      </c>
      <c r="Y511">
        <v>10</v>
      </c>
      <c r="Z511">
        <v>19</v>
      </c>
      <c r="AA511">
        <v>3</v>
      </c>
      <c r="AB511" t="str">
        <f t="shared" si="23"/>
        <v>Above average customer</v>
      </c>
    </row>
    <row r="512" spans="1:28" x14ac:dyDescent="0.35">
      <c r="A512">
        <v>3696</v>
      </c>
      <c r="B512">
        <v>1965</v>
      </c>
      <c r="C512" t="s">
        <v>28</v>
      </c>
      <c r="D512" t="s">
        <v>26</v>
      </c>
      <c r="E512" t="s">
        <v>35</v>
      </c>
      <c r="F512">
        <v>30630</v>
      </c>
      <c r="G512" t="str">
        <f t="shared" si="21"/>
        <v>Low</v>
      </c>
      <c r="H512">
        <v>1</v>
      </c>
      <c r="I512">
        <v>1</v>
      </c>
      <c r="J512">
        <v>2</v>
      </c>
      <c r="K512" s="1">
        <v>41666</v>
      </c>
      <c r="L512">
        <v>67</v>
      </c>
      <c r="M512" t="str">
        <f t="shared" si="22"/>
        <v>Inactive</v>
      </c>
      <c r="N512">
        <v>0</v>
      </c>
      <c r="O512">
        <v>27</v>
      </c>
      <c r="P512">
        <v>1</v>
      </c>
      <c r="Q512">
        <v>12</v>
      </c>
      <c r="R512">
        <v>2</v>
      </c>
      <c r="S512">
        <v>0</v>
      </c>
      <c r="T512">
        <v>10</v>
      </c>
      <c r="U512">
        <v>52</v>
      </c>
      <c r="V512">
        <v>2</v>
      </c>
      <c r="W512">
        <v>2</v>
      </c>
      <c r="X512">
        <v>0</v>
      </c>
      <c r="Y512">
        <v>3</v>
      </c>
      <c r="Z512">
        <v>5</v>
      </c>
      <c r="AA512">
        <v>7</v>
      </c>
      <c r="AB512" t="str">
        <f t="shared" si="23"/>
        <v>Below average customer</v>
      </c>
    </row>
    <row r="513" spans="1:28" x14ac:dyDescent="0.35">
      <c r="A513">
        <v>2532</v>
      </c>
      <c r="B513">
        <v>1987</v>
      </c>
      <c r="C513" t="s">
        <v>30</v>
      </c>
      <c r="D513" t="s">
        <v>34</v>
      </c>
      <c r="E513" t="s">
        <v>27</v>
      </c>
      <c r="F513">
        <v>73454</v>
      </c>
      <c r="G513" t="str">
        <f t="shared" si="21"/>
        <v>High</v>
      </c>
      <c r="H513">
        <v>0</v>
      </c>
      <c r="I513">
        <v>0</v>
      </c>
      <c r="J513">
        <v>0</v>
      </c>
      <c r="K513" s="1">
        <v>41699</v>
      </c>
      <c r="L513">
        <v>95</v>
      </c>
      <c r="M513" t="str">
        <f t="shared" si="22"/>
        <v>Inactive</v>
      </c>
      <c r="N513">
        <v>0</v>
      </c>
      <c r="O513">
        <v>982</v>
      </c>
      <c r="P513">
        <v>73</v>
      </c>
      <c r="Q513">
        <v>351</v>
      </c>
      <c r="R513">
        <v>56</v>
      </c>
      <c r="S513">
        <v>14</v>
      </c>
      <c r="T513">
        <v>175</v>
      </c>
      <c r="U513">
        <v>1651</v>
      </c>
      <c r="V513">
        <v>1</v>
      </c>
      <c r="W513">
        <v>2</v>
      </c>
      <c r="X513">
        <v>4</v>
      </c>
      <c r="Y513">
        <v>6</v>
      </c>
      <c r="Z513">
        <v>12</v>
      </c>
      <c r="AA513">
        <v>5</v>
      </c>
      <c r="AB513" t="str">
        <f t="shared" si="23"/>
        <v>Below average customer</v>
      </c>
    </row>
    <row r="514" spans="1:28" x14ac:dyDescent="0.35">
      <c r="A514">
        <v>9214</v>
      </c>
      <c r="B514">
        <v>1991</v>
      </c>
      <c r="C514" t="s">
        <v>30</v>
      </c>
      <c r="D514" t="s">
        <v>26</v>
      </c>
      <c r="E514" t="s">
        <v>33</v>
      </c>
      <c r="F514">
        <v>42691</v>
      </c>
      <c r="G514" t="str">
        <f t="shared" ref="G514:G577" si="24">IF(F514&lt;=_xlfn.PERCENTILE.INC($F$2:$F$2056,0.25),"Low",IF(F514&lt;=_xlfn.PERCENTILE.INC($F$2:$F$2056,0.5),"Mid-low",IF(F514&lt;=_xlfn.PERCENTILE.INC($F$2:$F$2056,0.75),"Mid-high","High")))</f>
        <v>Mid-low</v>
      </c>
      <c r="H514">
        <v>0</v>
      </c>
      <c r="I514">
        <v>0</v>
      </c>
      <c r="J514">
        <v>0</v>
      </c>
      <c r="K514" s="1">
        <v>41502</v>
      </c>
      <c r="L514">
        <v>48</v>
      </c>
      <c r="M514" t="str">
        <f t="shared" ref="M514:M577" si="25">IF(L514&gt;AVERAGE($L$2:$L$2056),"Inactive","Active")</f>
        <v>Active</v>
      </c>
      <c r="N514">
        <v>0</v>
      </c>
      <c r="O514">
        <v>179</v>
      </c>
      <c r="P514">
        <v>2</v>
      </c>
      <c r="Q514">
        <v>64</v>
      </c>
      <c r="R514">
        <v>38</v>
      </c>
      <c r="S514">
        <v>17</v>
      </c>
      <c r="T514">
        <v>58</v>
      </c>
      <c r="U514">
        <v>358</v>
      </c>
      <c r="V514">
        <v>1</v>
      </c>
      <c r="W514">
        <v>5</v>
      </c>
      <c r="X514">
        <v>1</v>
      </c>
      <c r="Y514">
        <v>6</v>
      </c>
      <c r="Z514">
        <v>12</v>
      </c>
      <c r="AA514">
        <v>5</v>
      </c>
      <c r="AB514" t="str">
        <f t="shared" ref="AB514:AB577" si="26">IF(AND(Z514&gt;AVERAGE($Z$2:$Z$2056),U514&gt;AVERAGE($U$2:$U$2056),N514=0,L514&lt;AVERAGE($L$2:$L$2056),F514&gt;AVERAGE($F$2:$F$2240)),"Above average customer","Below average customer")</f>
        <v>Below average customer</v>
      </c>
    </row>
    <row r="515" spans="1:28" x14ac:dyDescent="0.35">
      <c r="A515">
        <v>4943</v>
      </c>
      <c r="B515">
        <v>1953</v>
      </c>
      <c r="C515" t="s">
        <v>25</v>
      </c>
      <c r="D515" t="s">
        <v>26</v>
      </c>
      <c r="E515" t="s">
        <v>33</v>
      </c>
      <c r="F515">
        <v>70503</v>
      </c>
      <c r="G515" t="str">
        <f t="shared" si="24"/>
        <v>High</v>
      </c>
      <c r="H515">
        <v>0</v>
      </c>
      <c r="I515">
        <v>0</v>
      </c>
      <c r="J515">
        <v>0</v>
      </c>
      <c r="K515" s="1">
        <v>41182</v>
      </c>
      <c r="L515">
        <v>73</v>
      </c>
      <c r="M515" t="str">
        <f t="shared" si="25"/>
        <v>Inactive</v>
      </c>
      <c r="N515">
        <v>0</v>
      </c>
      <c r="O515">
        <v>1379</v>
      </c>
      <c r="P515">
        <v>33</v>
      </c>
      <c r="Q515">
        <v>216</v>
      </c>
      <c r="R515">
        <v>0</v>
      </c>
      <c r="S515">
        <v>33</v>
      </c>
      <c r="T515">
        <v>66</v>
      </c>
      <c r="U515">
        <v>1727</v>
      </c>
      <c r="V515">
        <v>1</v>
      </c>
      <c r="W515">
        <v>2</v>
      </c>
      <c r="X515">
        <v>4</v>
      </c>
      <c r="Y515">
        <v>9</v>
      </c>
      <c r="Z515">
        <v>15</v>
      </c>
      <c r="AA515">
        <v>6</v>
      </c>
      <c r="AB515" t="str">
        <f t="shared" si="26"/>
        <v>Below average customer</v>
      </c>
    </row>
    <row r="516" spans="1:28" x14ac:dyDescent="0.35">
      <c r="A516">
        <v>35</v>
      </c>
      <c r="B516">
        <v>1987</v>
      </c>
      <c r="C516" t="s">
        <v>30</v>
      </c>
      <c r="D516" t="s">
        <v>26</v>
      </c>
      <c r="E516" t="s">
        <v>33</v>
      </c>
      <c r="F516">
        <v>25545</v>
      </c>
      <c r="G516" t="str">
        <f t="shared" si="24"/>
        <v>Low</v>
      </c>
      <c r="H516">
        <v>1</v>
      </c>
      <c r="I516">
        <v>0</v>
      </c>
      <c r="J516">
        <v>1</v>
      </c>
      <c r="K516" s="1">
        <v>41160</v>
      </c>
      <c r="L516">
        <v>35</v>
      </c>
      <c r="M516" t="str">
        <f t="shared" si="25"/>
        <v>Active</v>
      </c>
      <c r="N516">
        <v>0</v>
      </c>
      <c r="O516">
        <v>32</v>
      </c>
      <c r="P516">
        <v>1</v>
      </c>
      <c r="Q516">
        <v>64</v>
      </c>
      <c r="R516">
        <v>16</v>
      </c>
      <c r="S516">
        <v>12</v>
      </c>
      <c r="T516">
        <v>85</v>
      </c>
      <c r="U516">
        <v>210</v>
      </c>
      <c r="V516">
        <v>3</v>
      </c>
      <c r="W516">
        <v>2</v>
      </c>
      <c r="X516">
        <v>2</v>
      </c>
      <c r="Y516">
        <v>3</v>
      </c>
      <c r="Z516">
        <v>7</v>
      </c>
      <c r="AA516">
        <v>6</v>
      </c>
      <c r="AB516" t="str">
        <f t="shared" si="26"/>
        <v>Below average customer</v>
      </c>
    </row>
    <row r="517" spans="1:28" x14ac:dyDescent="0.35">
      <c r="A517">
        <v>2258</v>
      </c>
      <c r="B517">
        <v>1986</v>
      </c>
      <c r="C517" t="s">
        <v>30</v>
      </c>
      <c r="D517" t="s">
        <v>26</v>
      </c>
      <c r="E517" t="s">
        <v>33</v>
      </c>
      <c r="F517">
        <v>32880</v>
      </c>
      <c r="G517" t="str">
        <f t="shared" si="24"/>
        <v>Low</v>
      </c>
      <c r="H517">
        <v>1</v>
      </c>
      <c r="I517">
        <v>0</v>
      </c>
      <c r="J517">
        <v>1</v>
      </c>
      <c r="K517" s="1">
        <v>41247</v>
      </c>
      <c r="L517">
        <v>76</v>
      </c>
      <c r="M517" t="str">
        <f t="shared" si="25"/>
        <v>Inactive</v>
      </c>
      <c r="N517">
        <v>0</v>
      </c>
      <c r="O517">
        <v>8</v>
      </c>
      <c r="P517">
        <v>4</v>
      </c>
      <c r="Q517">
        <v>15</v>
      </c>
      <c r="R517">
        <v>7</v>
      </c>
      <c r="S517">
        <v>6</v>
      </c>
      <c r="T517">
        <v>2</v>
      </c>
      <c r="U517">
        <v>42</v>
      </c>
      <c r="V517">
        <v>1</v>
      </c>
      <c r="W517">
        <v>1</v>
      </c>
      <c r="X517">
        <v>0</v>
      </c>
      <c r="Y517">
        <v>3</v>
      </c>
      <c r="Z517">
        <v>4</v>
      </c>
      <c r="AA517">
        <v>8</v>
      </c>
      <c r="AB517" t="str">
        <f t="shared" si="26"/>
        <v>Below average customer</v>
      </c>
    </row>
    <row r="518" spans="1:28" x14ac:dyDescent="0.35">
      <c r="A518">
        <v>4322</v>
      </c>
      <c r="B518">
        <v>1958</v>
      </c>
      <c r="C518" t="s">
        <v>25</v>
      </c>
      <c r="D518" t="s">
        <v>32</v>
      </c>
      <c r="E518" t="s">
        <v>29</v>
      </c>
      <c r="F518">
        <v>77863</v>
      </c>
      <c r="G518" t="str">
        <f t="shared" si="24"/>
        <v>High</v>
      </c>
      <c r="H518">
        <v>0</v>
      </c>
      <c r="I518">
        <v>0</v>
      </c>
      <c r="J518">
        <v>0</v>
      </c>
      <c r="K518" s="1">
        <v>41605</v>
      </c>
      <c r="L518">
        <v>20</v>
      </c>
      <c r="M518" t="str">
        <f t="shared" si="25"/>
        <v>Active</v>
      </c>
      <c r="N518">
        <v>0</v>
      </c>
      <c r="O518">
        <v>881</v>
      </c>
      <c r="P518">
        <v>38</v>
      </c>
      <c r="Q518">
        <v>319</v>
      </c>
      <c r="R518">
        <v>16</v>
      </c>
      <c r="S518">
        <v>25</v>
      </c>
      <c r="T518">
        <v>12</v>
      </c>
      <c r="U518">
        <v>1291</v>
      </c>
      <c r="V518">
        <v>1</v>
      </c>
      <c r="W518">
        <v>4</v>
      </c>
      <c r="X518">
        <v>5</v>
      </c>
      <c r="Y518">
        <v>10</v>
      </c>
      <c r="Z518">
        <v>19</v>
      </c>
      <c r="AA518">
        <v>2</v>
      </c>
      <c r="AB518" t="str">
        <f t="shared" si="26"/>
        <v>Above average customer</v>
      </c>
    </row>
    <row r="519" spans="1:28" x14ac:dyDescent="0.35">
      <c r="A519">
        <v>713</v>
      </c>
      <c r="B519">
        <v>1977</v>
      </c>
      <c r="C519" t="s">
        <v>31</v>
      </c>
      <c r="D519" t="s">
        <v>34</v>
      </c>
      <c r="E519" t="s">
        <v>33</v>
      </c>
      <c r="F519">
        <v>50353</v>
      </c>
      <c r="G519" t="str">
        <f t="shared" si="24"/>
        <v>Mid-low</v>
      </c>
      <c r="H519">
        <v>0</v>
      </c>
      <c r="I519">
        <v>0</v>
      </c>
      <c r="J519">
        <v>0</v>
      </c>
      <c r="K519" s="1">
        <v>41798</v>
      </c>
      <c r="L519">
        <v>72</v>
      </c>
      <c r="M519" t="str">
        <f t="shared" si="25"/>
        <v>Inactive</v>
      </c>
      <c r="N519">
        <v>0</v>
      </c>
      <c r="O519">
        <v>141</v>
      </c>
      <c r="P519">
        <v>15</v>
      </c>
      <c r="Q519">
        <v>153</v>
      </c>
      <c r="R519">
        <v>67</v>
      </c>
      <c r="S519">
        <v>31</v>
      </c>
      <c r="T519">
        <v>35</v>
      </c>
      <c r="U519">
        <v>442</v>
      </c>
      <c r="V519">
        <v>1</v>
      </c>
      <c r="W519">
        <v>4</v>
      </c>
      <c r="X519">
        <v>4</v>
      </c>
      <c r="Y519">
        <v>6</v>
      </c>
      <c r="Z519">
        <v>14</v>
      </c>
      <c r="AA519">
        <v>3</v>
      </c>
      <c r="AB519" t="str">
        <f t="shared" si="26"/>
        <v>Below average customer</v>
      </c>
    </row>
    <row r="520" spans="1:28" x14ac:dyDescent="0.35">
      <c r="A520">
        <v>4702</v>
      </c>
      <c r="B520">
        <v>1964</v>
      </c>
      <c r="C520" t="s">
        <v>28</v>
      </c>
      <c r="D520" t="s">
        <v>26</v>
      </c>
      <c r="E520" t="s">
        <v>27</v>
      </c>
      <c r="F520">
        <v>61839</v>
      </c>
      <c r="G520" t="str">
        <f t="shared" si="24"/>
        <v>Mid-high</v>
      </c>
      <c r="H520">
        <v>0</v>
      </c>
      <c r="I520">
        <v>0</v>
      </c>
      <c r="J520">
        <v>0</v>
      </c>
      <c r="K520" s="1">
        <v>41133</v>
      </c>
      <c r="L520">
        <v>20</v>
      </c>
      <c r="M520" t="str">
        <f t="shared" si="25"/>
        <v>Active</v>
      </c>
      <c r="N520">
        <v>0</v>
      </c>
      <c r="O520">
        <v>1000</v>
      </c>
      <c r="P520">
        <v>155</v>
      </c>
      <c r="Q520">
        <v>379</v>
      </c>
      <c r="R520">
        <v>224</v>
      </c>
      <c r="S520">
        <v>17</v>
      </c>
      <c r="T520">
        <v>120</v>
      </c>
      <c r="U520">
        <v>1895</v>
      </c>
      <c r="V520">
        <v>1</v>
      </c>
      <c r="W520">
        <v>4</v>
      </c>
      <c r="X520">
        <v>8</v>
      </c>
      <c r="Y520">
        <v>4</v>
      </c>
      <c r="Z520">
        <v>16</v>
      </c>
      <c r="AA520">
        <v>8</v>
      </c>
      <c r="AB520" t="str">
        <f t="shared" si="26"/>
        <v>Above average customer</v>
      </c>
    </row>
    <row r="521" spans="1:28" x14ac:dyDescent="0.35">
      <c r="A521">
        <v>3281</v>
      </c>
      <c r="B521">
        <v>1960</v>
      </c>
      <c r="C521" t="s">
        <v>25</v>
      </c>
      <c r="D521" t="s">
        <v>32</v>
      </c>
      <c r="E521" t="s">
        <v>33</v>
      </c>
      <c r="F521">
        <v>49154</v>
      </c>
      <c r="G521" t="str">
        <f t="shared" si="24"/>
        <v>Mid-low</v>
      </c>
      <c r="H521">
        <v>1</v>
      </c>
      <c r="I521">
        <v>1</v>
      </c>
      <c r="J521">
        <v>2</v>
      </c>
      <c r="K521" s="1">
        <v>41581</v>
      </c>
      <c r="L521">
        <v>69</v>
      </c>
      <c r="M521" t="str">
        <f t="shared" si="25"/>
        <v>Inactive</v>
      </c>
      <c r="N521">
        <v>0</v>
      </c>
      <c r="O521">
        <v>206</v>
      </c>
      <c r="P521">
        <v>10</v>
      </c>
      <c r="Q521">
        <v>67</v>
      </c>
      <c r="R521">
        <v>30</v>
      </c>
      <c r="S521">
        <v>27</v>
      </c>
      <c r="T521">
        <v>71</v>
      </c>
      <c r="U521">
        <v>411</v>
      </c>
      <c r="V521">
        <v>6</v>
      </c>
      <c r="W521">
        <v>4</v>
      </c>
      <c r="X521">
        <v>1</v>
      </c>
      <c r="Y521">
        <v>8</v>
      </c>
      <c r="Z521">
        <v>13</v>
      </c>
      <c r="AA521">
        <v>6</v>
      </c>
      <c r="AB521" t="str">
        <f t="shared" si="26"/>
        <v>Below average customer</v>
      </c>
    </row>
    <row r="522" spans="1:28" x14ac:dyDescent="0.35">
      <c r="A522">
        <v>702</v>
      </c>
      <c r="B522">
        <v>1975</v>
      </c>
      <c r="C522" t="s">
        <v>31</v>
      </c>
      <c r="D522" t="s">
        <v>34</v>
      </c>
      <c r="E522" t="s">
        <v>38</v>
      </c>
      <c r="F522">
        <v>47682</v>
      </c>
      <c r="G522" t="str">
        <f t="shared" si="24"/>
        <v>Mid-low</v>
      </c>
      <c r="H522">
        <v>0</v>
      </c>
      <c r="I522">
        <v>1</v>
      </c>
      <c r="J522">
        <v>1</v>
      </c>
      <c r="K522" s="1">
        <v>41320</v>
      </c>
      <c r="L522">
        <v>80</v>
      </c>
      <c r="M522" t="str">
        <f t="shared" si="25"/>
        <v>Inactive</v>
      </c>
      <c r="N522">
        <v>0</v>
      </c>
      <c r="O522">
        <v>162</v>
      </c>
      <c r="P522">
        <v>61</v>
      </c>
      <c r="Q522">
        <v>83</v>
      </c>
      <c r="R522">
        <v>97</v>
      </c>
      <c r="S522">
        <v>57</v>
      </c>
      <c r="T522">
        <v>61</v>
      </c>
      <c r="U522">
        <v>521</v>
      </c>
      <c r="V522">
        <v>4</v>
      </c>
      <c r="W522">
        <v>4</v>
      </c>
      <c r="X522">
        <v>3</v>
      </c>
      <c r="Y522">
        <v>8</v>
      </c>
      <c r="Z522">
        <v>15</v>
      </c>
      <c r="AA522">
        <v>5</v>
      </c>
      <c r="AB522" t="str">
        <f t="shared" si="26"/>
        <v>Below average customer</v>
      </c>
    </row>
    <row r="523" spans="1:28" x14ac:dyDescent="0.35">
      <c r="A523">
        <v>2004</v>
      </c>
      <c r="B523">
        <v>1969</v>
      </c>
      <c r="C523" t="s">
        <v>28</v>
      </c>
      <c r="D523" t="s">
        <v>26</v>
      </c>
      <c r="E523" t="s">
        <v>27</v>
      </c>
      <c r="F523">
        <v>72679</v>
      </c>
      <c r="G523" t="str">
        <f t="shared" si="24"/>
        <v>High</v>
      </c>
      <c r="H523">
        <v>0</v>
      </c>
      <c r="I523">
        <v>1</v>
      </c>
      <c r="J523">
        <v>1</v>
      </c>
      <c r="K523" s="1">
        <v>41535</v>
      </c>
      <c r="L523">
        <v>65</v>
      </c>
      <c r="M523" t="str">
        <f t="shared" si="25"/>
        <v>Inactive</v>
      </c>
      <c r="N523">
        <v>0</v>
      </c>
      <c r="O523">
        <v>619</v>
      </c>
      <c r="P523">
        <v>54</v>
      </c>
      <c r="Q523">
        <v>260</v>
      </c>
      <c r="R523">
        <v>127</v>
      </c>
      <c r="S523">
        <v>54</v>
      </c>
      <c r="T523">
        <v>54</v>
      </c>
      <c r="U523">
        <v>1168</v>
      </c>
      <c r="V523">
        <v>1</v>
      </c>
      <c r="W523">
        <v>4</v>
      </c>
      <c r="X523">
        <v>7</v>
      </c>
      <c r="Y523">
        <v>5</v>
      </c>
      <c r="Z523">
        <v>16</v>
      </c>
      <c r="AA523">
        <v>1</v>
      </c>
      <c r="AB523" t="str">
        <f t="shared" si="26"/>
        <v>Below average customer</v>
      </c>
    </row>
    <row r="524" spans="1:28" x14ac:dyDescent="0.35">
      <c r="A524">
        <v>4769</v>
      </c>
      <c r="B524">
        <v>1977</v>
      </c>
      <c r="C524" t="s">
        <v>31</v>
      </c>
      <c r="D524" t="s">
        <v>34</v>
      </c>
      <c r="E524" t="s">
        <v>29</v>
      </c>
      <c r="F524">
        <v>57954</v>
      </c>
      <c r="G524" t="str">
        <f t="shared" si="24"/>
        <v>Mid-high</v>
      </c>
      <c r="H524">
        <v>1</v>
      </c>
      <c r="I524">
        <v>1</v>
      </c>
      <c r="J524">
        <v>2</v>
      </c>
      <c r="K524" s="1">
        <v>41808</v>
      </c>
      <c r="L524">
        <v>52</v>
      </c>
      <c r="M524" t="str">
        <f t="shared" si="25"/>
        <v>Inactive</v>
      </c>
      <c r="N524">
        <v>0</v>
      </c>
      <c r="O524">
        <v>456</v>
      </c>
      <c r="P524">
        <v>4</v>
      </c>
      <c r="Q524">
        <v>24</v>
      </c>
      <c r="R524">
        <v>0</v>
      </c>
      <c r="S524">
        <v>0</v>
      </c>
      <c r="T524">
        <v>9</v>
      </c>
      <c r="U524">
        <v>493</v>
      </c>
      <c r="V524">
        <v>7</v>
      </c>
      <c r="W524">
        <v>8</v>
      </c>
      <c r="X524">
        <v>2</v>
      </c>
      <c r="Y524">
        <v>6</v>
      </c>
      <c r="Z524">
        <v>16</v>
      </c>
      <c r="AA524">
        <v>7</v>
      </c>
      <c r="AB524" t="str">
        <f t="shared" si="26"/>
        <v>Below average customer</v>
      </c>
    </row>
    <row r="525" spans="1:28" x14ac:dyDescent="0.35">
      <c r="A525">
        <v>4437</v>
      </c>
      <c r="B525">
        <v>1962</v>
      </c>
      <c r="C525" t="s">
        <v>25</v>
      </c>
      <c r="D525" t="s">
        <v>26</v>
      </c>
      <c r="E525" t="s">
        <v>33</v>
      </c>
      <c r="F525">
        <v>65316</v>
      </c>
      <c r="G525" t="str">
        <f t="shared" si="24"/>
        <v>Mid-high</v>
      </c>
      <c r="H525">
        <v>1</v>
      </c>
      <c r="I525">
        <v>1</v>
      </c>
      <c r="J525">
        <v>2</v>
      </c>
      <c r="K525" s="1">
        <v>41388</v>
      </c>
      <c r="L525">
        <v>65</v>
      </c>
      <c r="M525" t="str">
        <f t="shared" si="25"/>
        <v>Inactive</v>
      </c>
      <c r="N525">
        <v>0</v>
      </c>
      <c r="O525">
        <v>112</v>
      </c>
      <c r="P525">
        <v>6</v>
      </c>
      <c r="Q525">
        <v>92</v>
      </c>
      <c r="R525">
        <v>3</v>
      </c>
      <c r="S525">
        <v>9</v>
      </c>
      <c r="T525">
        <v>38</v>
      </c>
      <c r="U525">
        <v>260</v>
      </c>
      <c r="V525">
        <v>2</v>
      </c>
      <c r="W525">
        <v>3</v>
      </c>
      <c r="X525">
        <v>2</v>
      </c>
      <c r="Y525">
        <v>5</v>
      </c>
      <c r="Z525">
        <v>10</v>
      </c>
      <c r="AA525">
        <v>4</v>
      </c>
      <c r="AB525" t="str">
        <f t="shared" si="26"/>
        <v>Below average customer</v>
      </c>
    </row>
    <row r="526" spans="1:28" x14ac:dyDescent="0.35">
      <c r="A526">
        <v>8724</v>
      </c>
      <c r="B526">
        <v>1982</v>
      </c>
      <c r="C526" t="s">
        <v>31</v>
      </c>
      <c r="D526" t="s">
        <v>26</v>
      </c>
      <c r="E526" t="s">
        <v>27</v>
      </c>
      <c r="F526">
        <v>28567</v>
      </c>
      <c r="G526" t="str">
        <f t="shared" si="24"/>
        <v>Low</v>
      </c>
      <c r="H526">
        <v>1</v>
      </c>
      <c r="I526">
        <v>0</v>
      </c>
      <c r="J526">
        <v>1</v>
      </c>
      <c r="K526" s="1">
        <v>41442</v>
      </c>
      <c r="L526">
        <v>57</v>
      </c>
      <c r="M526" t="str">
        <f t="shared" si="25"/>
        <v>Inactive</v>
      </c>
      <c r="N526">
        <v>0</v>
      </c>
      <c r="O526">
        <v>11</v>
      </c>
      <c r="P526">
        <v>3</v>
      </c>
      <c r="Q526">
        <v>22</v>
      </c>
      <c r="R526">
        <v>2</v>
      </c>
      <c r="S526">
        <v>2</v>
      </c>
      <c r="T526">
        <v>6</v>
      </c>
      <c r="U526">
        <v>46</v>
      </c>
      <c r="V526">
        <v>2</v>
      </c>
      <c r="W526">
        <v>2</v>
      </c>
      <c r="X526">
        <v>0</v>
      </c>
      <c r="Y526">
        <v>3</v>
      </c>
      <c r="Z526">
        <v>5</v>
      </c>
      <c r="AA526">
        <v>6</v>
      </c>
      <c r="AB526" t="str">
        <f t="shared" si="26"/>
        <v>Below average customer</v>
      </c>
    </row>
    <row r="527" spans="1:28" x14ac:dyDescent="0.35">
      <c r="A527">
        <v>10741</v>
      </c>
      <c r="B527">
        <v>1951</v>
      </c>
      <c r="C527" t="s">
        <v>36</v>
      </c>
      <c r="D527" t="s">
        <v>34</v>
      </c>
      <c r="E527" t="s">
        <v>29</v>
      </c>
      <c r="F527">
        <v>47352</v>
      </c>
      <c r="G527" t="str">
        <f t="shared" si="24"/>
        <v>Mid-low</v>
      </c>
      <c r="H527">
        <v>0</v>
      </c>
      <c r="I527">
        <v>1</v>
      </c>
      <c r="J527">
        <v>1</v>
      </c>
      <c r="K527" s="1">
        <v>41375</v>
      </c>
      <c r="L527">
        <v>70</v>
      </c>
      <c r="M527" t="str">
        <f t="shared" si="25"/>
        <v>Inactive</v>
      </c>
      <c r="N527">
        <v>0</v>
      </c>
      <c r="O527">
        <v>172</v>
      </c>
      <c r="P527">
        <v>12</v>
      </c>
      <c r="Q527">
        <v>112</v>
      </c>
      <c r="R527">
        <v>8</v>
      </c>
      <c r="S527">
        <v>0</v>
      </c>
      <c r="T527">
        <v>15</v>
      </c>
      <c r="U527">
        <v>319</v>
      </c>
      <c r="V527">
        <v>4</v>
      </c>
      <c r="W527">
        <v>6</v>
      </c>
      <c r="X527">
        <v>1</v>
      </c>
      <c r="Y527">
        <v>5</v>
      </c>
      <c r="Z527">
        <v>12</v>
      </c>
      <c r="AA527">
        <v>7</v>
      </c>
      <c r="AB527" t="str">
        <f t="shared" si="26"/>
        <v>Below average customer</v>
      </c>
    </row>
    <row r="528" spans="1:28" x14ac:dyDescent="0.35">
      <c r="A528">
        <v>1991</v>
      </c>
      <c r="B528">
        <v>1967</v>
      </c>
      <c r="C528" t="s">
        <v>28</v>
      </c>
      <c r="D528" t="s">
        <v>26</v>
      </c>
      <c r="E528" t="s">
        <v>29</v>
      </c>
      <c r="F528">
        <v>44931</v>
      </c>
      <c r="G528" t="str">
        <f t="shared" si="24"/>
        <v>Mid-low</v>
      </c>
      <c r="H528">
        <v>0</v>
      </c>
      <c r="I528">
        <v>1</v>
      </c>
      <c r="J528">
        <v>1</v>
      </c>
      <c r="K528" s="1">
        <v>41657</v>
      </c>
      <c r="L528">
        <v>0</v>
      </c>
      <c r="M528" t="str">
        <f t="shared" si="25"/>
        <v>Active</v>
      </c>
      <c r="N528">
        <v>0</v>
      </c>
      <c r="O528">
        <v>78</v>
      </c>
      <c r="P528">
        <v>0</v>
      </c>
      <c r="Q528">
        <v>11</v>
      </c>
      <c r="R528">
        <v>0</v>
      </c>
      <c r="S528">
        <v>0</v>
      </c>
      <c r="T528">
        <v>7</v>
      </c>
      <c r="U528">
        <v>96</v>
      </c>
      <c r="V528">
        <v>1</v>
      </c>
      <c r="W528">
        <v>2</v>
      </c>
      <c r="X528">
        <v>1</v>
      </c>
      <c r="Y528">
        <v>3</v>
      </c>
      <c r="Z528">
        <v>6</v>
      </c>
      <c r="AA528">
        <v>5</v>
      </c>
      <c r="AB528" t="str">
        <f t="shared" si="26"/>
        <v>Below average customer</v>
      </c>
    </row>
    <row r="529" spans="1:28" x14ac:dyDescent="0.35">
      <c r="A529">
        <v>6931</v>
      </c>
      <c r="B529">
        <v>1967</v>
      </c>
      <c r="C529" t="s">
        <v>28</v>
      </c>
      <c r="D529" t="s">
        <v>26</v>
      </c>
      <c r="E529" t="s">
        <v>35</v>
      </c>
      <c r="F529">
        <v>76982</v>
      </c>
      <c r="G529" t="str">
        <f t="shared" si="24"/>
        <v>High</v>
      </c>
      <c r="H529">
        <v>0</v>
      </c>
      <c r="I529">
        <v>0</v>
      </c>
      <c r="J529">
        <v>0</v>
      </c>
      <c r="K529" s="1">
        <v>41685</v>
      </c>
      <c r="L529">
        <v>19</v>
      </c>
      <c r="M529" t="str">
        <f t="shared" si="25"/>
        <v>Active</v>
      </c>
      <c r="N529">
        <v>0</v>
      </c>
      <c r="O529">
        <v>464</v>
      </c>
      <c r="P529">
        <v>151</v>
      </c>
      <c r="Q529">
        <v>292</v>
      </c>
      <c r="R529">
        <v>65</v>
      </c>
      <c r="S529">
        <v>60</v>
      </c>
      <c r="T529">
        <v>30</v>
      </c>
      <c r="U529">
        <v>1062</v>
      </c>
      <c r="V529">
        <v>1</v>
      </c>
      <c r="W529">
        <v>8</v>
      </c>
      <c r="X529">
        <v>3</v>
      </c>
      <c r="Y529">
        <v>4</v>
      </c>
      <c r="Z529">
        <v>15</v>
      </c>
      <c r="AA529">
        <v>4</v>
      </c>
      <c r="AB529" t="str">
        <f t="shared" si="26"/>
        <v>Above average customer</v>
      </c>
    </row>
    <row r="530" spans="1:28" x14ac:dyDescent="0.35">
      <c r="A530">
        <v>11096</v>
      </c>
      <c r="B530">
        <v>1952</v>
      </c>
      <c r="C530" t="s">
        <v>36</v>
      </c>
      <c r="D530" t="s">
        <v>34</v>
      </c>
      <c r="E530" t="s">
        <v>29</v>
      </c>
      <c r="F530">
        <v>57247</v>
      </c>
      <c r="G530" t="str">
        <f t="shared" si="24"/>
        <v>Mid-high</v>
      </c>
      <c r="H530">
        <v>0</v>
      </c>
      <c r="I530">
        <v>1</v>
      </c>
      <c r="J530">
        <v>1</v>
      </c>
      <c r="K530" s="1">
        <v>41494</v>
      </c>
      <c r="L530">
        <v>50</v>
      </c>
      <c r="M530" t="str">
        <f t="shared" si="25"/>
        <v>Inactive</v>
      </c>
      <c r="N530">
        <v>0</v>
      </c>
      <c r="O530">
        <v>99</v>
      </c>
      <c r="P530">
        <v>4</v>
      </c>
      <c r="Q530">
        <v>32</v>
      </c>
      <c r="R530">
        <v>37</v>
      </c>
      <c r="S530">
        <v>54</v>
      </c>
      <c r="T530">
        <v>6</v>
      </c>
      <c r="U530">
        <v>232</v>
      </c>
      <c r="V530">
        <v>2</v>
      </c>
      <c r="W530">
        <v>2</v>
      </c>
      <c r="X530">
        <v>1</v>
      </c>
      <c r="Y530">
        <v>7</v>
      </c>
      <c r="Z530">
        <v>10</v>
      </c>
      <c r="AA530">
        <v>2</v>
      </c>
      <c r="AB530" t="str">
        <f t="shared" si="26"/>
        <v>Below average customer</v>
      </c>
    </row>
    <row r="531" spans="1:28" x14ac:dyDescent="0.35">
      <c r="A531">
        <v>304</v>
      </c>
      <c r="B531">
        <v>1981</v>
      </c>
      <c r="C531" t="s">
        <v>31</v>
      </c>
      <c r="D531" t="s">
        <v>34</v>
      </c>
      <c r="E531" t="s">
        <v>27</v>
      </c>
      <c r="F531">
        <v>22944</v>
      </c>
      <c r="G531" t="str">
        <f t="shared" si="24"/>
        <v>Low</v>
      </c>
      <c r="H531">
        <v>1</v>
      </c>
      <c r="I531">
        <v>0</v>
      </c>
      <c r="J531">
        <v>1</v>
      </c>
      <c r="K531" s="1">
        <v>41631</v>
      </c>
      <c r="L531">
        <v>67</v>
      </c>
      <c r="M531" t="str">
        <f t="shared" si="25"/>
        <v>Inactive</v>
      </c>
      <c r="N531">
        <v>0</v>
      </c>
      <c r="O531">
        <v>19</v>
      </c>
      <c r="P531">
        <v>3</v>
      </c>
      <c r="Q531">
        <v>19</v>
      </c>
      <c r="R531">
        <v>4</v>
      </c>
      <c r="S531">
        <v>5</v>
      </c>
      <c r="T531">
        <v>26</v>
      </c>
      <c r="U531">
        <v>76</v>
      </c>
      <c r="V531">
        <v>3</v>
      </c>
      <c r="W531">
        <v>3</v>
      </c>
      <c r="X531">
        <v>0</v>
      </c>
      <c r="Y531">
        <v>3</v>
      </c>
      <c r="Z531">
        <v>6</v>
      </c>
      <c r="AA531">
        <v>7</v>
      </c>
      <c r="AB531" t="str">
        <f t="shared" si="26"/>
        <v>Below average customer</v>
      </c>
    </row>
    <row r="532" spans="1:28" x14ac:dyDescent="0.35">
      <c r="A532">
        <v>3665</v>
      </c>
      <c r="B532">
        <v>1977</v>
      </c>
      <c r="C532" t="s">
        <v>31</v>
      </c>
      <c r="D532" t="s">
        <v>34</v>
      </c>
      <c r="E532" t="s">
        <v>29</v>
      </c>
      <c r="F532">
        <v>25315</v>
      </c>
      <c r="G532" t="str">
        <f t="shared" si="24"/>
        <v>Low</v>
      </c>
      <c r="H532">
        <v>1</v>
      </c>
      <c r="I532">
        <v>0</v>
      </c>
      <c r="J532">
        <v>1</v>
      </c>
      <c r="K532" s="1">
        <v>41585</v>
      </c>
      <c r="L532">
        <v>46</v>
      </c>
      <c r="M532" t="str">
        <f t="shared" si="25"/>
        <v>Active</v>
      </c>
      <c r="N532">
        <v>0</v>
      </c>
      <c r="O532">
        <v>1</v>
      </c>
      <c r="P532">
        <v>9</v>
      </c>
      <c r="Q532">
        <v>8</v>
      </c>
      <c r="R532">
        <v>11</v>
      </c>
      <c r="S532">
        <v>3</v>
      </c>
      <c r="T532">
        <v>22</v>
      </c>
      <c r="U532">
        <v>54</v>
      </c>
      <c r="V532">
        <v>3</v>
      </c>
      <c r="W532">
        <v>3</v>
      </c>
      <c r="X532">
        <v>0</v>
      </c>
      <c r="Y532">
        <v>3</v>
      </c>
      <c r="Z532">
        <v>6</v>
      </c>
      <c r="AA532">
        <v>8</v>
      </c>
      <c r="AB532" t="str">
        <f t="shared" si="26"/>
        <v>Below average customer</v>
      </c>
    </row>
    <row r="533" spans="1:28" x14ac:dyDescent="0.35">
      <c r="A533">
        <v>10591</v>
      </c>
      <c r="B533">
        <v>1969</v>
      </c>
      <c r="C533" t="s">
        <v>28</v>
      </c>
      <c r="D533" t="s">
        <v>26</v>
      </c>
      <c r="E533" t="s">
        <v>38</v>
      </c>
      <c r="F533">
        <v>43638</v>
      </c>
      <c r="G533" t="str">
        <f t="shared" si="24"/>
        <v>Mid-low</v>
      </c>
      <c r="H533">
        <v>0</v>
      </c>
      <c r="I533">
        <v>1</v>
      </c>
      <c r="J533">
        <v>1</v>
      </c>
      <c r="K533" s="1">
        <v>41127</v>
      </c>
      <c r="L533">
        <v>37</v>
      </c>
      <c r="M533" t="str">
        <f t="shared" si="25"/>
        <v>Active</v>
      </c>
      <c r="N533">
        <v>0</v>
      </c>
      <c r="O533">
        <v>63</v>
      </c>
      <c r="P533">
        <v>10</v>
      </c>
      <c r="Q533">
        <v>83</v>
      </c>
      <c r="R533">
        <v>7</v>
      </c>
      <c r="S533">
        <v>19</v>
      </c>
      <c r="T533">
        <v>19</v>
      </c>
      <c r="U533">
        <v>201</v>
      </c>
      <c r="V533">
        <v>2</v>
      </c>
      <c r="W533">
        <v>4</v>
      </c>
      <c r="X533">
        <v>1</v>
      </c>
      <c r="Y533">
        <v>4</v>
      </c>
      <c r="Z533">
        <v>9</v>
      </c>
      <c r="AA533">
        <v>7</v>
      </c>
      <c r="AB533" t="str">
        <f t="shared" si="26"/>
        <v>Below average customer</v>
      </c>
    </row>
    <row r="534" spans="1:28" x14ac:dyDescent="0.35">
      <c r="A534">
        <v>5036</v>
      </c>
      <c r="B534">
        <v>1984</v>
      </c>
      <c r="C534" t="s">
        <v>30</v>
      </c>
      <c r="D534" t="s">
        <v>32</v>
      </c>
      <c r="E534" t="s">
        <v>27</v>
      </c>
      <c r="F534">
        <v>42710</v>
      </c>
      <c r="G534" t="str">
        <f t="shared" si="24"/>
        <v>Mid-low</v>
      </c>
      <c r="H534">
        <v>1</v>
      </c>
      <c r="I534">
        <v>0</v>
      </c>
      <c r="J534">
        <v>1</v>
      </c>
      <c r="K534" s="1">
        <v>41241</v>
      </c>
      <c r="L534">
        <v>38</v>
      </c>
      <c r="M534" t="str">
        <f t="shared" si="25"/>
        <v>Active</v>
      </c>
      <c r="N534">
        <v>0</v>
      </c>
      <c r="O534">
        <v>252</v>
      </c>
      <c r="P534">
        <v>3</v>
      </c>
      <c r="Q534">
        <v>42</v>
      </c>
      <c r="R534">
        <v>4</v>
      </c>
      <c r="S534">
        <v>3</v>
      </c>
      <c r="T534">
        <v>102</v>
      </c>
      <c r="U534">
        <v>406</v>
      </c>
      <c r="V534">
        <v>2</v>
      </c>
      <c r="W534">
        <v>4</v>
      </c>
      <c r="X534">
        <v>5</v>
      </c>
      <c r="Y534">
        <v>3</v>
      </c>
      <c r="Z534">
        <v>12</v>
      </c>
      <c r="AA534">
        <v>6</v>
      </c>
      <c r="AB534" t="str">
        <f t="shared" si="26"/>
        <v>Below average customer</v>
      </c>
    </row>
    <row r="535" spans="1:28" x14ac:dyDescent="0.35">
      <c r="A535">
        <v>5547</v>
      </c>
      <c r="B535">
        <v>1982</v>
      </c>
      <c r="C535" t="s">
        <v>31</v>
      </c>
      <c r="D535" t="s">
        <v>32</v>
      </c>
      <c r="E535" t="s">
        <v>33</v>
      </c>
      <c r="F535">
        <v>84169</v>
      </c>
      <c r="G535" t="str">
        <f t="shared" si="24"/>
        <v>High</v>
      </c>
      <c r="H535">
        <v>0</v>
      </c>
      <c r="I535">
        <v>0</v>
      </c>
      <c r="J535">
        <v>0</v>
      </c>
      <c r="K535" s="1">
        <v>41493</v>
      </c>
      <c r="L535">
        <v>9</v>
      </c>
      <c r="M535" t="str">
        <f t="shared" si="25"/>
        <v>Active</v>
      </c>
      <c r="N535">
        <v>0</v>
      </c>
      <c r="O535">
        <v>1478</v>
      </c>
      <c r="P535">
        <v>19</v>
      </c>
      <c r="Q535">
        <v>403</v>
      </c>
      <c r="R535">
        <v>0</v>
      </c>
      <c r="S535">
        <v>19</v>
      </c>
      <c r="T535">
        <v>0</v>
      </c>
      <c r="U535">
        <v>1919</v>
      </c>
      <c r="V535">
        <v>1</v>
      </c>
      <c r="W535">
        <v>7</v>
      </c>
      <c r="X535">
        <v>6</v>
      </c>
      <c r="Y535">
        <v>6</v>
      </c>
      <c r="Z535">
        <v>19</v>
      </c>
      <c r="AA535">
        <v>3</v>
      </c>
      <c r="AB535" t="str">
        <f t="shared" si="26"/>
        <v>Above average customer</v>
      </c>
    </row>
    <row r="536" spans="1:28" x14ac:dyDescent="0.35">
      <c r="A536">
        <v>7822</v>
      </c>
      <c r="B536">
        <v>1976</v>
      </c>
      <c r="C536" t="s">
        <v>31</v>
      </c>
      <c r="D536" t="s">
        <v>26</v>
      </c>
      <c r="E536" t="s">
        <v>29</v>
      </c>
      <c r="F536">
        <v>54058</v>
      </c>
      <c r="G536" t="str">
        <f t="shared" si="24"/>
        <v>Mid-high</v>
      </c>
      <c r="H536">
        <v>0</v>
      </c>
      <c r="I536">
        <v>1</v>
      </c>
      <c r="J536">
        <v>1</v>
      </c>
      <c r="K536" s="1">
        <v>41429</v>
      </c>
      <c r="L536">
        <v>56</v>
      </c>
      <c r="M536" t="str">
        <f t="shared" si="25"/>
        <v>Inactive</v>
      </c>
      <c r="N536">
        <v>0</v>
      </c>
      <c r="O536">
        <v>198</v>
      </c>
      <c r="P536">
        <v>18</v>
      </c>
      <c r="Q536">
        <v>252</v>
      </c>
      <c r="R536">
        <v>32</v>
      </c>
      <c r="S536">
        <v>108</v>
      </c>
      <c r="T536">
        <v>54</v>
      </c>
      <c r="U536">
        <v>662</v>
      </c>
      <c r="V536">
        <v>2</v>
      </c>
      <c r="W536">
        <v>4</v>
      </c>
      <c r="X536">
        <v>6</v>
      </c>
      <c r="Y536">
        <v>8</v>
      </c>
      <c r="Z536">
        <v>18</v>
      </c>
      <c r="AA536">
        <v>3</v>
      </c>
      <c r="AB536" t="str">
        <f t="shared" si="26"/>
        <v>Below average customer</v>
      </c>
    </row>
    <row r="537" spans="1:28" x14ac:dyDescent="0.35">
      <c r="A537">
        <v>8541</v>
      </c>
      <c r="B537">
        <v>1990</v>
      </c>
      <c r="C537" t="s">
        <v>30</v>
      </c>
      <c r="D537" t="s">
        <v>34</v>
      </c>
      <c r="E537" t="s">
        <v>33</v>
      </c>
      <c r="F537">
        <v>24683</v>
      </c>
      <c r="G537" t="str">
        <f t="shared" si="24"/>
        <v>Low</v>
      </c>
      <c r="H537">
        <v>1</v>
      </c>
      <c r="I537">
        <v>0</v>
      </c>
      <c r="J537">
        <v>1</v>
      </c>
      <c r="K537" s="1">
        <v>41706</v>
      </c>
      <c r="L537">
        <v>98</v>
      </c>
      <c r="M537" t="str">
        <f t="shared" si="25"/>
        <v>Inactive</v>
      </c>
      <c r="N537">
        <v>0</v>
      </c>
      <c r="O537">
        <v>8</v>
      </c>
      <c r="P537">
        <v>4</v>
      </c>
      <c r="Q537">
        <v>10</v>
      </c>
      <c r="R537">
        <v>6</v>
      </c>
      <c r="S537">
        <v>7</v>
      </c>
      <c r="T537">
        <v>6</v>
      </c>
      <c r="U537">
        <v>41</v>
      </c>
      <c r="V537">
        <v>2</v>
      </c>
      <c r="W537">
        <v>2</v>
      </c>
      <c r="X537">
        <v>0</v>
      </c>
      <c r="Y537">
        <v>4</v>
      </c>
      <c r="Z537">
        <v>6</v>
      </c>
      <c r="AA537">
        <v>5</v>
      </c>
      <c r="AB537" t="str">
        <f t="shared" si="26"/>
        <v>Below average customer</v>
      </c>
    </row>
    <row r="538" spans="1:28" x14ac:dyDescent="0.35">
      <c r="A538">
        <v>10955</v>
      </c>
      <c r="B538">
        <v>1964</v>
      </c>
      <c r="C538" t="s">
        <v>28</v>
      </c>
      <c r="D538" t="s">
        <v>26</v>
      </c>
      <c r="E538" t="s">
        <v>38</v>
      </c>
      <c r="F538">
        <v>85620</v>
      </c>
      <c r="G538" t="str">
        <f t="shared" si="24"/>
        <v>High</v>
      </c>
      <c r="H538">
        <v>0</v>
      </c>
      <c r="I538">
        <v>0</v>
      </c>
      <c r="J538">
        <v>0</v>
      </c>
      <c r="K538" s="1">
        <v>41646</v>
      </c>
      <c r="L538">
        <v>68</v>
      </c>
      <c r="M538" t="str">
        <f t="shared" si="25"/>
        <v>Inactive</v>
      </c>
      <c r="N538">
        <v>0</v>
      </c>
      <c r="O538">
        <v>416</v>
      </c>
      <c r="P538">
        <v>46</v>
      </c>
      <c r="Q538">
        <v>925</v>
      </c>
      <c r="R538">
        <v>60</v>
      </c>
      <c r="S538">
        <v>107</v>
      </c>
      <c r="T538">
        <v>46</v>
      </c>
      <c r="U538">
        <v>1600</v>
      </c>
      <c r="V538">
        <v>1</v>
      </c>
      <c r="W538">
        <v>3</v>
      </c>
      <c r="X538">
        <v>6</v>
      </c>
      <c r="Y538">
        <v>4</v>
      </c>
      <c r="Z538">
        <v>13</v>
      </c>
      <c r="AA538">
        <v>1</v>
      </c>
      <c r="AB538" t="str">
        <f t="shared" si="26"/>
        <v>Below average customer</v>
      </c>
    </row>
    <row r="539" spans="1:28" x14ac:dyDescent="0.35">
      <c r="A539">
        <v>4368</v>
      </c>
      <c r="B539">
        <v>1980</v>
      </c>
      <c r="C539" t="s">
        <v>31</v>
      </c>
      <c r="D539" t="s">
        <v>26</v>
      </c>
      <c r="E539" t="s">
        <v>33</v>
      </c>
      <c r="F539">
        <v>47850</v>
      </c>
      <c r="G539" t="str">
        <f t="shared" si="24"/>
        <v>Mid-low</v>
      </c>
      <c r="H539">
        <v>1</v>
      </c>
      <c r="I539">
        <v>0</v>
      </c>
      <c r="J539">
        <v>1</v>
      </c>
      <c r="K539" s="1">
        <v>41611</v>
      </c>
      <c r="L539">
        <v>72</v>
      </c>
      <c r="M539" t="str">
        <f t="shared" si="25"/>
        <v>Inactive</v>
      </c>
      <c r="N539">
        <v>0</v>
      </c>
      <c r="O539">
        <v>42</v>
      </c>
      <c r="P539">
        <v>7</v>
      </c>
      <c r="Q539">
        <v>43</v>
      </c>
      <c r="R539">
        <v>20</v>
      </c>
      <c r="S539">
        <v>12</v>
      </c>
      <c r="T539">
        <v>10</v>
      </c>
      <c r="U539">
        <v>134</v>
      </c>
      <c r="V539">
        <v>1</v>
      </c>
      <c r="W539">
        <v>3</v>
      </c>
      <c r="X539">
        <v>0</v>
      </c>
      <c r="Y539">
        <v>4</v>
      </c>
      <c r="Z539">
        <v>7</v>
      </c>
      <c r="AA539">
        <v>6</v>
      </c>
      <c r="AB539" t="str">
        <f t="shared" si="26"/>
        <v>Below average customer</v>
      </c>
    </row>
    <row r="540" spans="1:28" x14ac:dyDescent="0.35">
      <c r="A540">
        <v>9671</v>
      </c>
      <c r="B540">
        <v>1968</v>
      </c>
      <c r="C540" t="s">
        <v>28</v>
      </c>
      <c r="D540" t="s">
        <v>26</v>
      </c>
      <c r="E540" t="s">
        <v>33</v>
      </c>
      <c r="F540">
        <v>19514</v>
      </c>
      <c r="G540" t="str">
        <f t="shared" si="24"/>
        <v>Low</v>
      </c>
      <c r="H540">
        <v>1</v>
      </c>
      <c r="I540">
        <v>1</v>
      </c>
      <c r="J540">
        <v>2</v>
      </c>
      <c r="K540" s="1">
        <v>41665</v>
      </c>
      <c r="L540">
        <v>47</v>
      </c>
      <c r="M540" t="str">
        <f t="shared" si="25"/>
        <v>Active</v>
      </c>
      <c r="N540">
        <v>0</v>
      </c>
      <c r="O540">
        <v>14</v>
      </c>
      <c r="P540">
        <v>3</v>
      </c>
      <c r="Q540">
        <v>21</v>
      </c>
      <c r="R540">
        <v>2</v>
      </c>
      <c r="S540">
        <v>1</v>
      </c>
      <c r="T540">
        <v>28</v>
      </c>
      <c r="U540">
        <v>69</v>
      </c>
      <c r="V540">
        <v>4</v>
      </c>
      <c r="W540">
        <v>3</v>
      </c>
      <c r="X540">
        <v>1</v>
      </c>
      <c r="Y540">
        <v>2</v>
      </c>
      <c r="Z540">
        <v>6</v>
      </c>
      <c r="AA540">
        <v>8</v>
      </c>
      <c r="AB540" t="str">
        <f t="shared" si="26"/>
        <v>Below average customer</v>
      </c>
    </row>
    <row r="541" spans="1:28" x14ac:dyDescent="0.35">
      <c r="A541">
        <v>2256</v>
      </c>
      <c r="B541">
        <v>1973</v>
      </c>
      <c r="C541" t="s">
        <v>31</v>
      </c>
      <c r="D541" t="s">
        <v>34</v>
      </c>
      <c r="E541" t="s">
        <v>33</v>
      </c>
      <c r="F541">
        <v>27159</v>
      </c>
      <c r="G541" t="str">
        <f t="shared" si="24"/>
        <v>Low</v>
      </c>
      <c r="H541">
        <v>1</v>
      </c>
      <c r="I541">
        <v>1</v>
      </c>
      <c r="J541">
        <v>2</v>
      </c>
      <c r="K541" s="1">
        <v>41727</v>
      </c>
      <c r="L541">
        <v>33</v>
      </c>
      <c r="M541" t="str">
        <f t="shared" si="25"/>
        <v>Active</v>
      </c>
      <c r="N541">
        <v>0</v>
      </c>
      <c r="O541">
        <v>17</v>
      </c>
      <c r="P541">
        <v>0</v>
      </c>
      <c r="Q541">
        <v>3</v>
      </c>
      <c r="R541">
        <v>0</v>
      </c>
      <c r="S541">
        <v>0</v>
      </c>
      <c r="T541">
        <v>1</v>
      </c>
      <c r="U541">
        <v>21</v>
      </c>
      <c r="V541">
        <v>2</v>
      </c>
      <c r="W541">
        <v>1</v>
      </c>
      <c r="X541">
        <v>0</v>
      </c>
      <c r="Y541">
        <v>3</v>
      </c>
      <c r="Z541">
        <v>4</v>
      </c>
      <c r="AA541">
        <v>6</v>
      </c>
      <c r="AB541" t="str">
        <f t="shared" si="26"/>
        <v>Below average customer</v>
      </c>
    </row>
    <row r="542" spans="1:28" x14ac:dyDescent="0.35">
      <c r="A542">
        <v>4279</v>
      </c>
      <c r="B542">
        <v>1963</v>
      </c>
      <c r="C542" t="s">
        <v>28</v>
      </c>
      <c r="D542" t="s">
        <v>34</v>
      </c>
      <c r="E542" t="s">
        <v>27</v>
      </c>
      <c r="F542">
        <v>39548</v>
      </c>
      <c r="G542" t="str">
        <f t="shared" si="24"/>
        <v>Mid-low</v>
      </c>
      <c r="H542">
        <v>1</v>
      </c>
      <c r="I542">
        <v>1</v>
      </c>
      <c r="J542">
        <v>2</v>
      </c>
      <c r="K542" s="1">
        <v>41729</v>
      </c>
      <c r="L542">
        <v>87</v>
      </c>
      <c r="M542" t="str">
        <f t="shared" si="25"/>
        <v>Inactive</v>
      </c>
      <c r="N542">
        <v>0</v>
      </c>
      <c r="O542">
        <v>15</v>
      </c>
      <c r="P542">
        <v>4</v>
      </c>
      <c r="Q542">
        <v>10</v>
      </c>
      <c r="R542">
        <v>3</v>
      </c>
      <c r="S542">
        <v>4</v>
      </c>
      <c r="T542">
        <v>18</v>
      </c>
      <c r="U542">
        <v>54</v>
      </c>
      <c r="V542">
        <v>2</v>
      </c>
      <c r="W542">
        <v>1</v>
      </c>
      <c r="X542">
        <v>1</v>
      </c>
      <c r="Y542">
        <v>3</v>
      </c>
      <c r="Z542">
        <v>5</v>
      </c>
      <c r="AA542">
        <v>3</v>
      </c>
      <c r="AB542" t="str">
        <f t="shared" si="26"/>
        <v>Below average customer</v>
      </c>
    </row>
    <row r="543" spans="1:28" x14ac:dyDescent="0.35">
      <c r="A543">
        <v>5371</v>
      </c>
      <c r="B543">
        <v>1989</v>
      </c>
      <c r="C543" t="s">
        <v>30</v>
      </c>
      <c r="D543" t="s">
        <v>26</v>
      </c>
      <c r="E543" t="s">
        <v>27</v>
      </c>
      <c r="F543">
        <v>21474</v>
      </c>
      <c r="G543" t="str">
        <f t="shared" si="24"/>
        <v>Low</v>
      </c>
      <c r="H543">
        <v>1</v>
      </c>
      <c r="I543">
        <v>0</v>
      </c>
      <c r="J543">
        <v>1</v>
      </c>
      <c r="K543" s="1">
        <v>41737</v>
      </c>
      <c r="L543">
        <v>0</v>
      </c>
      <c r="M543" t="str">
        <f t="shared" si="25"/>
        <v>Active</v>
      </c>
      <c r="N543">
        <v>0</v>
      </c>
      <c r="O543">
        <v>6</v>
      </c>
      <c r="P543">
        <v>16</v>
      </c>
      <c r="Q543">
        <v>24</v>
      </c>
      <c r="R543">
        <v>11</v>
      </c>
      <c r="S543">
        <v>0</v>
      </c>
      <c r="T543">
        <v>34</v>
      </c>
      <c r="U543">
        <v>91</v>
      </c>
      <c r="V543">
        <v>2</v>
      </c>
      <c r="W543">
        <v>3</v>
      </c>
      <c r="X543">
        <v>1</v>
      </c>
      <c r="Y543">
        <v>2</v>
      </c>
      <c r="Z543">
        <v>6</v>
      </c>
      <c r="AA543">
        <v>7</v>
      </c>
      <c r="AB543" t="str">
        <f t="shared" si="26"/>
        <v>Below average customer</v>
      </c>
    </row>
    <row r="544" spans="1:28" x14ac:dyDescent="0.35">
      <c r="A544">
        <v>9240</v>
      </c>
      <c r="B544">
        <v>1971</v>
      </c>
      <c r="C544" t="s">
        <v>28</v>
      </c>
      <c r="D544" t="s">
        <v>32</v>
      </c>
      <c r="E544" t="s">
        <v>27</v>
      </c>
      <c r="F544">
        <v>60504</v>
      </c>
      <c r="G544" t="str">
        <f t="shared" si="24"/>
        <v>Mid-high</v>
      </c>
      <c r="H544">
        <v>0</v>
      </c>
      <c r="I544">
        <v>1</v>
      </c>
      <c r="J544">
        <v>1</v>
      </c>
      <c r="K544" s="1">
        <v>41677</v>
      </c>
      <c r="L544">
        <v>73</v>
      </c>
      <c r="M544" t="str">
        <f t="shared" si="25"/>
        <v>Inactive</v>
      </c>
      <c r="N544">
        <v>0</v>
      </c>
      <c r="O544">
        <v>458</v>
      </c>
      <c r="P544">
        <v>0</v>
      </c>
      <c r="Q544">
        <v>24</v>
      </c>
      <c r="R544">
        <v>6</v>
      </c>
      <c r="S544">
        <v>4</v>
      </c>
      <c r="T544">
        <v>34</v>
      </c>
      <c r="U544">
        <v>526</v>
      </c>
      <c r="V544">
        <v>2</v>
      </c>
      <c r="W544">
        <v>6</v>
      </c>
      <c r="X544">
        <v>2</v>
      </c>
      <c r="Y544">
        <v>8</v>
      </c>
      <c r="Z544">
        <v>16</v>
      </c>
      <c r="AA544">
        <v>6</v>
      </c>
      <c r="AB544" t="str">
        <f t="shared" si="26"/>
        <v>Below average customer</v>
      </c>
    </row>
    <row r="545" spans="1:28" x14ac:dyDescent="0.35">
      <c r="A545">
        <v>9460</v>
      </c>
      <c r="B545">
        <v>1963</v>
      </c>
      <c r="C545" t="s">
        <v>28</v>
      </c>
      <c r="D545" t="s">
        <v>26</v>
      </c>
      <c r="E545" t="s">
        <v>33</v>
      </c>
      <c r="F545">
        <v>22419</v>
      </c>
      <c r="G545" t="str">
        <f t="shared" si="24"/>
        <v>Low</v>
      </c>
      <c r="H545">
        <v>0</v>
      </c>
      <c r="I545">
        <v>0</v>
      </c>
      <c r="J545">
        <v>0</v>
      </c>
      <c r="K545" s="1">
        <v>41382</v>
      </c>
      <c r="L545">
        <v>74</v>
      </c>
      <c r="M545" t="str">
        <f t="shared" si="25"/>
        <v>Inactive</v>
      </c>
      <c r="N545">
        <v>0</v>
      </c>
      <c r="O545">
        <v>30</v>
      </c>
      <c r="P545">
        <v>3</v>
      </c>
      <c r="Q545">
        <v>47</v>
      </c>
      <c r="R545">
        <v>19</v>
      </c>
      <c r="S545">
        <v>21</v>
      </c>
      <c r="T545">
        <v>42</v>
      </c>
      <c r="U545">
        <v>162</v>
      </c>
      <c r="V545">
        <v>1</v>
      </c>
      <c r="W545">
        <v>3</v>
      </c>
      <c r="X545">
        <v>2</v>
      </c>
      <c r="Y545">
        <v>2</v>
      </c>
      <c r="Z545">
        <v>7</v>
      </c>
      <c r="AA545">
        <v>8</v>
      </c>
      <c r="AB545" t="str">
        <f t="shared" si="26"/>
        <v>Below average customer</v>
      </c>
    </row>
    <row r="546" spans="1:28" x14ac:dyDescent="0.35">
      <c r="A546">
        <v>9504</v>
      </c>
      <c r="B546">
        <v>1949</v>
      </c>
      <c r="C546" t="s">
        <v>36</v>
      </c>
      <c r="D546" t="s">
        <v>34</v>
      </c>
      <c r="E546" t="s">
        <v>33</v>
      </c>
      <c r="F546">
        <v>81698</v>
      </c>
      <c r="G546" t="str">
        <f t="shared" si="24"/>
        <v>High</v>
      </c>
      <c r="H546">
        <v>0</v>
      </c>
      <c r="I546">
        <v>0</v>
      </c>
      <c r="J546">
        <v>0</v>
      </c>
      <c r="K546" s="1">
        <v>41584</v>
      </c>
      <c r="L546">
        <v>4</v>
      </c>
      <c r="M546" t="str">
        <f t="shared" si="25"/>
        <v>Active</v>
      </c>
      <c r="N546">
        <v>0</v>
      </c>
      <c r="O546">
        <v>179</v>
      </c>
      <c r="P546">
        <v>28</v>
      </c>
      <c r="Q546">
        <v>520</v>
      </c>
      <c r="R546">
        <v>111</v>
      </c>
      <c r="S546">
        <v>123</v>
      </c>
      <c r="T546">
        <v>47</v>
      </c>
      <c r="U546">
        <v>1008</v>
      </c>
      <c r="V546">
        <v>1</v>
      </c>
      <c r="W546">
        <v>3</v>
      </c>
      <c r="X546">
        <v>8</v>
      </c>
      <c r="Y546">
        <v>13</v>
      </c>
      <c r="Z546">
        <v>24</v>
      </c>
      <c r="AA546">
        <v>1</v>
      </c>
      <c r="AB546" t="str">
        <f t="shared" si="26"/>
        <v>Above average customer</v>
      </c>
    </row>
    <row r="547" spans="1:28" x14ac:dyDescent="0.35">
      <c r="A547">
        <v>8692</v>
      </c>
      <c r="B547">
        <v>1952</v>
      </c>
      <c r="C547" t="s">
        <v>36</v>
      </c>
      <c r="D547" t="s">
        <v>26</v>
      </c>
      <c r="E547" t="s">
        <v>29</v>
      </c>
      <c r="F547">
        <v>43462</v>
      </c>
      <c r="G547" t="str">
        <f t="shared" si="24"/>
        <v>Mid-low</v>
      </c>
      <c r="H547">
        <v>1</v>
      </c>
      <c r="I547">
        <v>1</v>
      </c>
      <c r="J547">
        <v>2</v>
      </c>
      <c r="K547" s="1">
        <v>41164</v>
      </c>
      <c r="L547">
        <v>50</v>
      </c>
      <c r="M547" t="str">
        <f t="shared" si="25"/>
        <v>Inactive</v>
      </c>
      <c r="N547">
        <v>0</v>
      </c>
      <c r="O547">
        <v>90</v>
      </c>
      <c r="P547">
        <v>17</v>
      </c>
      <c r="Q547">
        <v>97</v>
      </c>
      <c r="R547">
        <v>15</v>
      </c>
      <c r="S547">
        <v>6</v>
      </c>
      <c r="T547">
        <v>15</v>
      </c>
      <c r="U547">
        <v>240</v>
      </c>
      <c r="V547">
        <v>6</v>
      </c>
      <c r="W547">
        <v>4</v>
      </c>
      <c r="X547">
        <v>1</v>
      </c>
      <c r="Y547">
        <v>5</v>
      </c>
      <c r="Z547">
        <v>10</v>
      </c>
      <c r="AA547">
        <v>8</v>
      </c>
      <c r="AB547" t="str">
        <f t="shared" si="26"/>
        <v>Below average customer</v>
      </c>
    </row>
    <row r="548" spans="1:28" x14ac:dyDescent="0.35">
      <c r="A548">
        <v>448</v>
      </c>
      <c r="B548">
        <v>1978</v>
      </c>
      <c r="C548" t="s">
        <v>31</v>
      </c>
      <c r="D548" t="s">
        <v>32</v>
      </c>
      <c r="E548" t="s">
        <v>27</v>
      </c>
      <c r="F548">
        <v>54880</v>
      </c>
      <c r="G548" t="str">
        <f t="shared" si="24"/>
        <v>Mid-high</v>
      </c>
      <c r="H548">
        <v>1</v>
      </c>
      <c r="I548">
        <v>0</v>
      </c>
      <c r="J548">
        <v>1</v>
      </c>
      <c r="K548" s="1">
        <v>41334</v>
      </c>
      <c r="L548">
        <v>57</v>
      </c>
      <c r="M548" t="str">
        <f t="shared" si="25"/>
        <v>Inactive</v>
      </c>
      <c r="N548">
        <v>0</v>
      </c>
      <c r="O548">
        <v>308</v>
      </c>
      <c r="P548">
        <v>85</v>
      </c>
      <c r="Q548">
        <v>137</v>
      </c>
      <c r="R548">
        <v>102</v>
      </c>
      <c r="S548">
        <v>45</v>
      </c>
      <c r="T548">
        <v>118</v>
      </c>
      <c r="U548">
        <v>795</v>
      </c>
      <c r="V548">
        <v>2</v>
      </c>
      <c r="W548">
        <v>6</v>
      </c>
      <c r="X548">
        <v>2</v>
      </c>
      <c r="Y548">
        <v>11</v>
      </c>
      <c r="Z548">
        <v>19</v>
      </c>
      <c r="AA548">
        <v>5</v>
      </c>
      <c r="AB548" t="str">
        <f t="shared" si="26"/>
        <v>Below average customer</v>
      </c>
    </row>
    <row r="549" spans="1:28" x14ac:dyDescent="0.35">
      <c r="A549">
        <v>8314</v>
      </c>
      <c r="B549">
        <v>1982</v>
      </c>
      <c r="C549" t="s">
        <v>31</v>
      </c>
      <c r="D549" t="s">
        <v>26</v>
      </c>
      <c r="E549" t="s">
        <v>33</v>
      </c>
      <c r="F549">
        <v>79908</v>
      </c>
      <c r="G549" t="str">
        <f t="shared" si="24"/>
        <v>High</v>
      </c>
      <c r="H549">
        <v>0</v>
      </c>
      <c r="I549">
        <v>0</v>
      </c>
      <c r="J549">
        <v>0</v>
      </c>
      <c r="K549" s="1">
        <v>41369</v>
      </c>
      <c r="L549">
        <v>30</v>
      </c>
      <c r="M549" t="str">
        <f t="shared" si="25"/>
        <v>Active</v>
      </c>
      <c r="N549">
        <v>0</v>
      </c>
      <c r="O549">
        <v>557</v>
      </c>
      <c r="P549">
        <v>129</v>
      </c>
      <c r="Q549">
        <v>761</v>
      </c>
      <c r="R549">
        <v>29</v>
      </c>
      <c r="S549">
        <v>185</v>
      </c>
      <c r="T549">
        <v>111</v>
      </c>
      <c r="U549">
        <v>1772</v>
      </c>
      <c r="V549">
        <v>1</v>
      </c>
      <c r="W549">
        <v>5</v>
      </c>
      <c r="X549">
        <v>6</v>
      </c>
      <c r="Y549">
        <v>7</v>
      </c>
      <c r="Z549">
        <v>18</v>
      </c>
      <c r="AA549">
        <v>2</v>
      </c>
      <c r="AB549" t="str">
        <f t="shared" si="26"/>
        <v>Above average customer</v>
      </c>
    </row>
    <row r="550" spans="1:28" x14ac:dyDescent="0.35">
      <c r="A550">
        <v>8420</v>
      </c>
      <c r="B550">
        <v>1970</v>
      </c>
      <c r="C550" t="s">
        <v>28</v>
      </c>
      <c r="D550" t="s">
        <v>34</v>
      </c>
      <c r="E550" t="s">
        <v>33</v>
      </c>
      <c r="F550">
        <v>15315</v>
      </c>
      <c r="G550" t="str">
        <f t="shared" si="24"/>
        <v>Low</v>
      </c>
      <c r="H550">
        <v>0</v>
      </c>
      <c r="I550">
        <v>0</v>
      </c>
      <c r="J550">
        <v>0</v>
      </c>
      <c r="K550" s="1">
        <v>41489</v>
      </c>
      <c r="L550">
        <v>27</v>
      </c>
      <c r="M550" t="str">
        <f t="shared" si="25"/>
        <v>Active</v>
      </c>
      <c r="N550">
        <v>0</v>
      </c>
      <c r="O550">
        <v>7</v>
      </c>
      <c r="P550">
        <v>4</v>
      </c>
      <c r="Q550">
        <v>13</v>
      </c>
      <c r="R550">
        <v>15</v>
      </c>
      <c r="S550">
        <v>8</v>
      </c>
      <c r="T550">
        <v>17</v>
      </c>
      <c r="U550">
        <v>64</v>
      </c>
      <c r="V550">
        <v>2</v>
      </c>
      <c r="W550">
        <v>2</v>
      </c>
      <c r="X550">
        <v>0</v>
      </c>
      <c r="Y550">
        <v>4</v>
      </c>
      <c r="Z550">
        <v>6</v>
      </c>
      <c r="AA550">
        <v>5</v>
      </c>
      <c r="AB550" t="str">
        <f t="shared" si="26"/>
        <v>Below average customer</v>
      </c>
    </row>
    <row r="551" spans="1:28" x14ac:dyDescent="0.35">
      <c r="A551">
        <v>3174</v>
      </c>
      <c r="B551">
        <v>1959</v>
      </c>
      <c r="C551" t="s">
        <v>25</v>
      </c>
      <c r="D551" t="s">
        <v>26</v>
      </c>
      <c r="E551" t="s">
        <v>29</v>
      </c>
      <c r="F551">
        <v>87771</v>
      </c>
      <c r="G551" t="str">
        <f t="shared" si="24"/>
        <v>High</v>
      </c>
      <c r="H551">
        <v>0</v>
      </c>
      <c r="I551">
        <v>1</v>
      </c>
      <c r="J551">
        <v>1</v>
      </c>
      <c r="K551" s="1">
        <v>41416</v>
      </c>
      <c r="L551">
        <v>61</v>
      </c>
      <c r="M551" t="str">
        <f t="shared" si="25"/>
        <v>Inactive</v>
      </c>
      <c r="N551">
        <v>0</v>
      </c>
      <c r="O551">
        <v>1492</v>
      </c>
      <c r="P551">
        <v>38</v>
      </c>
      <c r="Q551">
        <v>287</v>
      </c>
      <c r="R551">
        <v>50</v>
      </c>
      <c r="S551">
        <v>57</v>
      </c>
      <c r="T551">
        <v>33</v>
      </c>
      <c r="U551">
        <v>1957</v>
      </c>
      <c r="V551">
        <v>1</v>
      </c>
      <c r="W551">
        <v>5</v>
      </c>
      <c r="X551">
        <v>10</v>
      </c>
      <c r="Y551">
        <v>4</v>
      </c>
      <c r="Z551">
        <v>19</v>
      </c>
      <c r="AA551">
        <v>6</v>
      </c>
      <c r="AB551" t="str">
        <f t="shared" si="26"/>
        <v>Below average customer</v>
      </c>
    </row>
    <row r="552" spans="1:28" x14ac:dyDescent="0.35">
      <c r="A552">
        <v>7685</v>
      </c>
      <c r="B552">
        <v>1978</v>
      </c>
      <c r="C552" t="s">
        <v>31</v>
      </c>
      <c r="D552" t="s">
        <v>26</v>
      </c>
      <c r="E552" t="s">
        <v>33</v>
      </c>
      <c r="F552">
        <v>33039</v>
      </c>
      <c r="G552" t="str">
        <f t="shared" si="24"/>
        <v>Low</v>
      </c>
      <c r="H552">
        <v>1</v>
      </c>
      <c r="I552">
        <v>0</v>
      </c>
      <c r="J552">
        <v>1</v>
      </c>
      <c r="K552" s="1">
        <v>41526</v>
      </c>
      <c r="L552">
        <v>4</v>
      </c>
      <c r="M552" t="str">
        <f t="shared" si="25"/>
        <v>Active</v>
      </c>
      <c r="N552">
        <v>0</v>
      </c>
      <c r="O552">
        <v>30</v>
      </c>
      <c r="P552">
        <v>8</v>
      </c>
      <c r="Q552">
        <v>12</v>
      </c>
      <c r="R552">
        <v>8</v>
      </c>
      <c r="S552">
        <v>8</v>
      </c>
      <c r="T552">
        <v>12</v>
      </c>
      <c r="U552">
        <v>78</v>
      </c>
      <c r="V552">
        <v>1</v>
      </c>
      <c r="W552">
        <v>2</v>
      </c>
      <c r="X552">
        <v>0</v>
      </c>
      <c r="Y552">
        <v>4</v>
      </c>
      <c r="Z552">
        <v>6</v>
      </c>
      <c r="AA552">
        <v>5</v>
      </c>
      <c r="AB552" t="str">
        <f t="shared" si="26"/>
        <v>Below average customer</v>
      </c>
    </row>
    <row r="553" spans="1:28" x14ac:dyDescent="0.35">
      <c r="A553">
        <v>3179</v>
      </c>
      <c r="B553">
        <v>1980</v>
      </c>
      <c r="C553" t="s">
        <v>31</v>
      </c>
      <c r="D553" t="s">
        <v>26</v>
      </c>
      <c r="E553" t="s">
        <v>27</v>
      </c>
      <c r="F553">
        <v>81741</v>
      </c>
      <c r="G553" t="str">
        <f t="shared" si="24"/>
        <v>High</v>
      </c>
      <c r="H553">
        <v>0</v>
      </c>
      <c r="I553">
        <v>0</v>
      </c>
      <c r="J553">
        <v>0</v>
      </c>
      <c r="K553" s="1">
        <v>41441</v>
      </c>
      <c r="L553">
        <v>75</v>
      </c>
      <c r="M553" t="str">
        <f t="shared" si="25"/>
        <v>Inactive</v>
      </c>
      <c r="N553">
        <v>0</v>
      </c>
      <c r="O553">
        <v>249</v>
      </c>
      <c r="P553">
        <v>153</v>
      </c>
      <c r="Q553">
        <v>940</v>
      </c>
      <c r="R553">
        <v>58</v>
      </c>
      <c r="S553">
        <v>134</v>
      </c>
      <c r="T553">
        <v>38</v>
      </c>
      <c r="U553">
        <v>1572</v>
      </c>
      <c r="V553">
        <v>0</v>
      </c>
      <c r="W553">
        <v>6</v>
      </c>
      <c r="X553">
        <v>6</v>
      </c>
      <c r="Y553">
        <v>7</v>
      </c>
      <c r="Z553">
        <v>19</v>
      </c>
      <c r="AA553">
        <v>2</v>
      </c>
      <c r="AB553" t="str">
        <f t="shared" si="26"/>
        <v>Below average customer</v>
      </c>
    </row>
    <row r="554" spans="1:28" x14ac:dyDescent="0.35">
      <c r="A554">
        <v>9780</v>
      </c>
      <c r="B554">
        <v>1971</v>
      </c>
      <c r="C554" t="s">
        <v>28</v>
      </c>
      <c r="D554" t="s">
        <v>34</v>
      </c>
      <c r="E554" t="s">
        <v>29</v>
      </c>
      <c r="F554">
        <v>71499</v>
      </c>
      <c r="G554" t="str">
        <f t="shared" si="24"/>
        <v>High</v>
      </c>
      <c r="H554">
        <v>0</v>
      </c>
      <c r="I554">
        <v>1</v>
      </c>
      <c r="J554">
        <v>1</v>
      </c>
      <c r="K554" s="1">
        <v>41450</v>
      </c>
      <c r="L554">
        <v>12</v>
      </c>
      <c r="M554" t="str">
        <f t="shared" si="25"/>
        <v>Active</v>
      </c>
      <c r="N554">
        <v>0</v>
      </c>
      <c r="O554">
        <v>465</v>
      </c>
      <c r="P554">
        <v>25</v>
      </c>
      <c r="Q554">
        <v>132</v>
      </c>
      <c r="R554">
        <v>136</v>
      </c>
      <c r="S554">
        <v>0</v>
      </c>
      <c r="T554">
        <v>37</v>
      </c>
      <c r="U554">
        <v>795</v>
      </c>
      <c r="V554">
        <v>2</v>
      </c>
      <c r="W554">
        <v>8</v>
      </c>
      <c r="X554">
        <v>3</v>
      </c>
      <c r="Y554">
        <v>13</v>
      </c>
      <c r="Z554">
        <v>24</v>
      </c>
      <c r="AA554">
        <v>4</v>
      </c>
      <c r="AB554" t="str">
        <f t="shared" si="26"/>
        <v>Above average customer</v>
      </c>
    </row>
    <row r="555" spans="1:28" x14ac:dyDescent="0.35">
      <c r="A555">
        <v>10681</v>
      </c>
      <c r="B555">
        <v>1970</v>
      </c>
      <c r="C555" t="s">
        <v>28</v>
      </c>
      <c r="D555" t="s">
        <v>34</v>
      </c>
      <c r="E555" t="s">
        <v>33</v>
      </c>
      <c r="F555">
        <v>62466</v>
      </c>
      <c r="G555" t="str">
        <f t="shared" si="24"/>
        <v>Mid-high</v>
      </c>
      <c r="H555">
        <v>0</v>
      </c>
      <c r="I555">
        <v>1</v>
      </c>
      <c r="J555">
        <v>1</v>
      </c>
      <c r="K555" s="1">
        <v>41654</v>
      </c>
      <c r="L555">
        <v>13</v>
      </c>
      <c r="M555" t="str">
        <f t="shared" si="25"/>
        <v>Active</v>
      </c>
      <c r="N555">
        <v>0</v>
      </c>
      <c r="O555">
        <v>129</v>
      </c>
      <c r="P555">
        <v>129</v>
      </c>
      <c r="Q555">
        <v>259</v>
      </c>
      <c r="R555">
        <v>168</v>
      </c>
      <c r="S555">
        <v>121</v>
      </c>
      <c r="T555">
        <v>83</v>
      </c>
      <c r="U555">
        <v>889</v>
      </c>
      <c r="V555">
        <v>5</v>
      </c>
      <c r="W555">
        <v>6</v>
      </c>
      <c r="X555">
        <v>3</v>
      </c>
      <c r="Y555">
        <v>12</v>
      </c>
      <c r="Z555">
        <v>21</v>
      </c>
      <c r="AA555">
        <v>4</v>
      </c>
      <c r="AB555" t="str">
        <f t="shared" si="26"/>
        <v>Above average customer</v>
      </c>
    </row>
    <row r="556" spans="1:28" x14ac:dyDescent="0.35">
      <c r="A556">
        <v>10232</v>
      </c>
      <c r="B556">
        <v>1963</v>
      </c>
      <c r="C556" t="s">
        <v>28</v>
      </c>
      <c r="D556" t="s">
        <v>32</v>
      </c>
      <c r="E556" t="s">
        <v>35</v>
      </c>
      <c r="F556">
        <v>48799</v>
      </c>
      <c r="G556" t="str">
        <f t="shared" si="24"/>
        <v>Mid-low</v>
      </c>
      <c r="H556">
        <v>0</v>
      </c>
      <c r="I556">
        <v>1</v>
      </c>
      <c r="J556">
        <v>1</v>
      </c>
      <c r="K556" s="1">
        <v>41583</v>
      </c>
      <c r="L556">
        <v>9</v>
      </c>
      <c r="M556" t="str">
        <f t="shared" si="25"/>
        <v>Active</v>
      </c>
      <c r="N556">
        <v>0</v>
      </c>
      <c r="O556">
        <v>174</v>
      </c>
      <c r="P556">
        <v>18</v>
      </c>
      <c r="Q556">
        <v>81</v>
      </c>
      <c r="R556">
        <v>28</v>
      </c>
      <c r="S556">
        <v>6</v>
      </c>
      <c r="T556">
        <v>24</v>
      </c>
      <c r="U556">
        <v>331</v>
      </c>
      <c r="V556">
        <v>3</v>
      </c>
      <c r="W556">
        <v>3</v>
      </c>
      <c r="X556">
        <v>2</v>
      </c>
      <c r="Y556">
        <v>7</v>
      </c>
      <c r="Z556">
        <v>12</v>
      </c>
      <c r="AA556">
        <v>3</v>
      </c>
      <c r="AB556" t="str">
        <f t="shared" si="26"/>
        <v>Below average customer</v>
      </c>
    </row>
    <row r="557" spans="1:28" x14ac:dyDescent="0.35">
      <c r="A557">
        <v>4184</v>
      </c>
      <c r="B557">
        <v>1950</v>
      </c>
      <c r="C557" t="s">
        <v>36</v>
      </c>
      <c r="D557" t="s">
        <v>32</v>
      </c>
      <c r="E557" t="s">
        <v>29</v>
      </c>
      <c r="F557">
        <v>52157</v>
      </c>
      <c r="G557" t="str">
        <f t="shared" si="24"/>
        <v>Mid-high</v>
      </c>
      <c r="H557">
        <v>0</v>
      </c>
      <c r="I557">
        <v>1</v>
      </c>
      <c r="J557">
        <v>1</v>
      </c>
      <c r="K557" s="1">
        <v>41797</v>
      </c>
      <c r="L557">
        <v>48</v>
      </c>
      <c r="M557" t="str">
        <f t="shared" si="25"/>
        <v>Active</v>
      </c>
      <c r="N557">
        <v>0</v>
      </c>
      <c r="O557">
        <v>189</v>
      </c>
      <c r="P557">
        <v>2</v>
      </c>
      <c r="Q557">
        <v>29</v>
      </c>
      <c r="R557">
        <v>3</v>
      </c>
      <c r="S557">
        <v>2</v>
      </c>
      <c r="T557">
        <v>40</v>
      </c>
      <c r="U557">
        <v>265</v>
      </c>
      <c r="V557">
        <v>2</v>
      </c>
      <c r="W557">
        <v>3</v>
      </c>
      <c r="X557">
        <v>2</v>
      </c>
      <c r="Y557">
        <v>5</v>
      </c>
      <c r="Z557">
        <v>10</v>
      </c>
      <c r="AA557">
        <v>4</v>
      </c>
      <c r="AB557" t="str">
        <f t="shared" si="26"/>
        <v>Below average customer</v>
      </c>
    </row>
    <row r="558" spans="1:28" x14ac:dyDescent="0.35">
      <c r="A558">
        <v>9120</v>
      </c>
      <c r="B558">
        <v>1962</v>
      </c>
      <c r="C558" t="s">
        <v>25</v>
      </c>
      <c r="D558" t="s">
        <v>26</v>
      </c>
      <c r="E558" t="s">
        <v>27</v>
      </c>
      <c r="F558">
        <v>66565</v>
      </c>
      <c r="G558" t="str">
        <f t="shared" si="24"/>
        <v>Mid-high</v>
      </c>
      <c r="H558">
        <v>0</v>
      </c>
      <c r="I558">
        <v>1</v>
      </c>
      <c r="J558">
        <v>1</v>
      </c>
      <c r="K558" s="1">
        <v>41248</v>
      </c>
      <c r="L558">
        <v>80</v>
      </c>
      <c r="M558" t="str">
        <f t="shared" si="25"/>
        <v>Inactive</v>
      </c>
      <c r="N558">
        <v>0</v>
      </c>
      <c r="O558">
        <v>747</v>
      </c>
      <c r="P558">
        <v>10</v>
      </c>
      <c r="Q558">
        <v>161</v>
      </c>
      <c r="R558">
        <v>65</v>
      </c>
      <c r="S558">
        <v>40</v>
      </c>
      <c r="T558">
        <v>42</v>
      </c>
      <c r="U558">
        <v>1065</v>
      </c>
      <c r="V558">
        <v>4</v>
      </c>
      <c r="W558">
        <v>4</v>
      </c>
      <c r="X558">
        <v>2</v>
      </c>
      <c r="Y558">
        <v>9</v>
      </c>
      <c r="Z558">
        <v>15</v>
      </c>
      <c r="AA558">
        <v>8</v>
      </c>
      <c r="AB558" t="str">
        <f t="shared" si="26"/>
        <v>Below average customer</v>
      </c>
    </row>
    <row r="559" spans="1:28" x14ac:dyDescent="0.35">
      <c r="A559">
        <v>891</v>
      </c>
      <c r="B559">
        <v>1951</v>
      </c>
      <c r="C559" t="s">
        <v>36</v>
      </c>
      <c r="D559" t="s">
        <v>34</v>
      </c>
      <c r="E559" t="s">
        <v>29</v>
      </c>
      <c r="F559">
        <v>29298</v>
      </c>
      <c r="G559" t="str">
        <f t="shared" si="24"/>
        <v>Low</v>
      </c>
      <c r="H559">
        <v>1</v>
      </c>
      <c r="I559">
        <v>1</v>
      </c>
      <c r="J559">
        <v>2</v>
      </c>
      <c r="K559" s="1">
        <v>41524</v>
      </c>
      <c r="L559">
        <v>60</v>
      </c>
      <c r="M559" t="str">
        <f t="shared" si="25"/>
        <v>Inactive</v>
      </c>
      <c r="N559">
        <v>0</v>
      </c>
      <c r="O559">
        <v>6</v>
      </c>
      <c r="P559">
        <v>0</v>
      </c>
      <c r="Q559">
        <v>2</v>
      </c>
      <c r="R559">
        <v>2</v>
      </c>
      <c r="S559">
        <v>0</v>
      </c>
      <c r="T559">
        <v>1</v>
      </c>
      <c r="U559">
        <v>11</v>
      </c>
      <c r="V559">
        <v>1</v>
      </c>
      <c r="W559">
        <v>1</v>
      </c>
      <c r="X559">
        <v>0</v>
      </c>
      <c r="Y559">
        <v>2</v>
      </c>
      <c r="Z559">
        <v>3</v>
      </c>
      <c r="AA559">
        <v>5</v>
      </c>
      <c r="AB559" t="str">
        <f t="shared" si="26"/>
        <v>Below average customer</v>
      </c>
    </row>
    <row r="560" spans="1:28" x14ac:dyDescent="0.35">
      <c r="A560">
        <v>10381</v>
      </c>
      <c r="B560">
        <v>1979</v>
      </c>
      <c r="C560" t="s">
        <v>31</v>
      </c>
      <c r="D560" t="s">
        <v>26</v>
      </c>
      <c r="E560" t="s">
        <v>27</v>
      </c>
      <c r="F560">
        <v>47691</v>
      </c>
      <c r="G560" t="str">
        <f t="shared" si="24"/>
        <v>Mid-low</v>
      </c>
      <c r="H560">
        <v>0</v>
      </c>
      <c r="I560">
        <v>1</v>
      </c>
      <c r="J560">
        <v>1</v>
      </c>
      <c r="K560" s="1">
        <v>41460</v>
      </c>
      <c r="L560">
        <v>43</v>
      </c>
      <c r="M560" t="str">
        <f t="shared" si="25"/>
        <v>Active</v>
      </c>
      <c r="N560">
        <v>0</v>
      </c>
      <c r="O560">
        <v>14</v>
      </c>
      <c r="P560">
        <v>0</v>
      </c>
      <c r="Q560">
        <v>3</v>
      </c>
      <c r="R560">
        <v>0</v>
      </c>
      <c r="S560">
        <v>0</v>
      </c>
      <c r="T560">
        <v>4</v>
      </c>
      <c r="U560">
        <v>21</v>
      </c>
      <c r="V560">
        <v>1</v>
      </c>
      <c r="W560">
        <v>1</v>
      </c>
      <c r="X560">
        <v>0</v>
      </c>
      <c r="Y560">
        <v>2</v>
      </c>
      <c r="Z560">
        <v>3</v>
      </c>
      <c r="AA560">
        <v>6</v>
      </c>
      <c r="AB560" t="str">
        <f t="shared" si="26"/>
        <v>Below average customer</v>
      </c>
    </row>
    <row r="561" spans="1:28" x14ac:dyDescent="0.35">
      <c r="A561">
        <v>3525</v>
      </c>
      <c r="B561">
        <v>1970</v>
      </c>
      <c r="C561" t="s">
        <v>28</v>
      </c>
      <c r="D561" t="s">
        <v>26</v>
      </c>
      <c r="E561" t="s">
        <v>29</v>
      </c>
      <c r="F561">
        <v>38200</v>
      </c>
      <c r="G561" t="str">
        <f t="shared" si="24"/>
        <v>Mid-low</v>
      </c>
      <c r="H561">
        <v>1</v>
      </c>
      <c r="I561">
        <v>1</v>
      </c>
      <c r="J561">
        <v>2</v>
      </c>
      <c r="K561" s="1">
        <v>41250</v>
      </c>
      <c r="L561">
        <v>19</v>
      </c>
      <c r="M561" t="str">
        <f t="shared" si="25"/>
        <v>Active</v>
      </c>
      <c r="N561">
        <v>0</v>
      </c>
      <c r="O561">
        <v>12</v>
      </c>
      <c r="P561">
        <v>0</v>
      </c>
      <c r="Q561">
        <v>4</v>
      </c>
      <c r="R561">
        <v>0</v>
      </c>
      <c r="S561">
        <v>0</v>
      </c>
      <c r="T561">
        <v>1</v>
      </c>
      <c r="U561">
        <v>17</v>
      </c>
      <c r="V561">
        <v>1</v>
      </c>
      <c r="W561">
        <v>1</v>
      </c>
      <c r="X561">
        <v>0</v>
      </c>
      <c r="Y561">
        <v>2</v>
      </c>
      <c r="Z561">
        <v>3</v>
      </c>
      <c r="AA561">
        <v>7</v>
      </c>
      <c r="AB561" t="str">
        <f t="shared" si="26"/>
        <v>Below average customer</v>
      </c>
    </row>
    <row r="562" spans="1:28" x14ac:dyDescent="0.35">
      <c r="A562">
        <v>6818</v>
      </c>
      <c r="B562">
        <v>1974</v>
      </c>
      <c r="C562" t="s">
        <v>31</v>
      </c>
      <c r="D562" t="s">
        <v>26</v>
      </c>
      <c r="E562" t="s">
        <v>33</v>
      </c>
      <c r="F562">
        <v>44989</v>
      </c>
      <c r="G562" t="str">
        <f t="shared" si="24"/>
        <v>Mid-low</v>
      </c>
      <c r="H562">
        <v>0</v>
      </c>
      <c r="I562">
        <v>1</v>
      </c>
      <c r="J562">
        <v>1</v>
      </c>
      <c r="K562" s="1">
        <v>41164</v>
      </c>
      <c r="L562">
        <v>26</v>
      </c>
      <c r="M562" t="str">
        <f t="shared" si="25"/>
        <v>Active</v>
      </c>
      <c r="N562">
        <v>0</v>
      </c>
      <c r="O562">
        <v>98</v>
      </c>
      <c r="P562">
        <v>0</v>
      </c>
      <c r="Q562">
        <v>106</v>
      </c>
      <c r="R562">
        <v>49</v>
      </c>
      <c r="S562">
        <v>10</v>
      </c>
      <c r="T562">
        <v>106</v>
      </c>
      <c r="U562">
        <v>369</v>
      </c>
      <c r="V562">
        <v>5</v>
      </c>
      <c r="W562">
        <v>5</v>
      </c>
      <c r="X562">
        <v>1</v>
      </c>
      <c r="Y562">
        <v>5</v>
      </c>
      <c r="Z562">
        <v>11</v>
      </c>
      <c r="AA562">
        <v>6</v>
      </c>
      <c r="AB562" t="str">
        <f t="shared" si="26"/>
        <v>Below average customer</v>
      </c>
    </row>
    <row r="563" spans="1:28" x14ac:dyDescent="0.35">
      <c r="A563">
        <v>3526</v>
      </c>
      <c r="B563">
        <v>1968</v>
      </c>
      <c r="C563" t="s">
        <v>28</v>
      </c>
      <c r="D563" t="s">
        <v>32</v>
      </c>
      <c r="E563" t="s">
        <v>33</v>
      </c>
      <c r="F563">
        <v>38443</v>
      </c>
      <c r="G563" t="str">
        <f t="shared" si="24"/>
        <v>Mid-low</v>
      </c>
      <c r="H563">
        <v>1</v>
      </c>
      <c r="I563">
        <v>1</v>
      </c>
      <c r="J563">
        <v>2</v>
      </c>
      <c r="K563" s="1">
        <v>41666</v>
      </c>
      <c r="L563">
        <v>58</v>
      </c>
      <c r="M563" t="str">
        <f t="shared" si="25"/>
        <v>Inactive</v>
      </c>
      <c r="N563">
        <v>0</v>
      </c>
      <c r="O563">
        <v>32</v>
      </c>
      <c r="P563">
        <v>0</v>
      </c>
      <c r="Q563">
        <v>5</v>
      </c>
      <c r="R563">
        <v>0</v>
      </c>
      <c r="S563">
        <v>0</v>
      </c>
      <c r="T563">
        <v>1</v>
      </c>
      <c r="U563">
        <v>38</v>
      </c>
      <c r="V563">
        <v>2</v>
      </c>
      <c r="W563">
        <v>1</v>
      </c>
      <c r="X563">
        <v>0</v>
      </c>
      <c r="Y563">
        <v>3</v>
      </c>
      <c r="Z563">
        <v>4</v>
      </c>
      <c r="AA563">
        <v>7</v>
      </c>
      <c r="AB563" t="str">
        <f t="shared" si="26"/>
        <v>Below average customer</v>
      </c>
    </row>
    <row r="564" spans="1:28" x14ac:dyDescent="0.35">
      <c r="A564">
        <v>8181</v>
      </c>
      <c r="B564">
        <v>1978</v>
      </c>
      <c r="C564" t="s">
        <v>31</v>
      </c>
      <c r="D564" t="s">
        <v>34</v>
      </c>
      <c r="E564" t="s">
        <v>27</v>
      </c>
      <c r="F564">
        <v>38593</v>
      </c>
      <c r="G564" t="str">
        <f t="shared" si="24"/>
        <v>Mid-low</v>
      </c>
      <c r="H564">
        <v>1</v>
      </c>
      <c r="I564">
        <v>0</v>
      </c>
      <c r="J564">
        <v>1</v>
      </c>
      <c r="K564" s="1">
        <v>41530</v>
      </c>
      <c r="L564">
        <v>42</v>
      </c>
      <c r="M564" t="str">
        <f t="shared" si="25"/>
        <v>Active</v>
      </c>
      <c r="N564">
        <v>0</v>
      </c>
      <c r="O564">
        <v>51</v>
      </c>
      <c r="P564">
        <v>12</v>
      </c>
      <c r="Q564">
        <v>49</v>
      </c>
      <c r="R564">
        <v>17</v>
      </c>
      <c r="S564">
        <v>24</v>
      </c>
      <c r="T564">
        <v>24</v>
      </c>
      <c r="U564">
        <v>177</v>
      </c>
      <c r="V564">
        <v>3</v>
      </c>
      <c r="W564">
        <v>4</v>
      </c>
      <c r="X564">
        <v>1</v>
      </c>
      <c r="Y564">
        <v>3</v>
      </c>
      <c r="Z564">
        <v>8</v>
      </c>
      <c r="AA564">
        <v>8</v>
      </c>
      <c r="AB564" t="str">
        <f t="shared" si="26"/>
        <v>Below average customer</v>
      </c>
    </row>
    <row r="565" spans="1:28" x14ac:dyDescent="0.35">
      <c r="A565">
        <v>1029</v>
      </c>
      <c r="B565">
        <v>1970</v>
      </c>
      <c r="C565" t="s">
        <v>28</v>
      </c>
      <c r="D565" t="s">
        <v>32</v>
      </c>
      <c r="E565" t="s">
        <v>29</v>
      </c>
      <c r="F565">
        <v>64413</v>
      </c>
      <c r="G565" t="str">
        <f t="shared" si="24"/>
        <v>Mid-high</v>
      </c>
      <c r="H565">
        <v>0</v>
      </c>
      <c r="I565">
        <v>1</v>
      </c>
      <c r="J565">
        <v>1</v>
      </c>
      <c r="K565" s="1">
        <v>41487</v>
      </c>
      <c r="L565">
        <v>27</v>
      </c>
      <c r="M565" t="str">
        <f t="shared" si="25"/>
        <v>Active</v>
      </c>
      <c r="N565">
        <v>0</v>
      </c>
      <c r="O565">
        <v>200</v>
      </c>
      <c r="P565">
        <v>5</v>
      </c>
      <c r="Q565">
        <v>44</v>
      </c>
      <c r="R565">
        <v>0</v>
      </c>
      <c r="S565">
        <v>10</v>
      </c>
      <c r="T565">
        <v>20</v>
      </c>
      <c r="U565">
        <v>279</v>
      </c>
      <c r="V565">
        <v>1</v>
      </c>
      <c r="W565">
        <v>5</v>
      </c>
      <c r="X565">
        <v>1</v>
      </c>
      <c r="Y565">
        <v>5</v>
      </c>
      <c r="Z565">
        <v>11</v>
      </c>
      <c r="AA565">
        <v>5</v>
      </c>
      <c r="AB565" t="str">
        <f t="shared" si="26"/>
        <v>Below average customer</v>
      </c>
    </row>
    <row r="566" spans="1:28" x14ac:dyDescent="0.35">
      <c r="A566">
        <v>7369</v>
      </c>
      <c r="B566">
        <v>1981</v>
      </c>
      <c r="C566" t="s">
        <v>31</v>
      </c>
      <c r="D566" t="s">
        <v>34</v>
      </c>
      <c r="E566" t="s">
        <v>33</v>
      </c>
      <c r="F566">
        <v>36959</v>
      </c>
      <c r="G566" t="str">
        <f t="shared" si="24"/>
        <v>Mid-low</v>
      </c>
      <c r="H566">
        <v>1</v>
      </c>
      <c r="I566">
        <v>0</v>
      </c>
      <c r="J566">
        <v>1</v>
      </c>
      <c r="K566" s="1">
        <v>41549</v>
      </c>
      <c r="L566">
        <v>56</v>
      </c>
      <c r="M566" t="str">
        <f t="shared" si="25"/>
        <v>Inactive</v>
      </c>
      <c r="N566">
        <v>0</v>
      </c>
      <c r="O566">
        <v>25</v>
      </c>
      <c r="P566">
        <v>6</v>
      </c>
      <c r="Q566">
        <v>25</v>
      </c>
      <c r="R566">
        <v>6</v>
      </c>
      <c r="S566">
        <v>0</v>
      </c>
      <c r="T566">
        <v>0</v>
      </c>
      <c r="U566">
        <v>62</v>
      </c>
      <c r="V566">
        <v>2</v>
      </c>
      <c r="W566">
        <v>2</v>
      </c>
      <c r="X566">
        <v>0</v>
      </c>
      <c r="Y566">
        <v>3</v>
      </c>
      <c r="Z566">
        <v>5</v>
      </c>
      <c r="AA566">
        <v>8</v>
      </c>
      <c r="AB566" t="str">
        <f t="shared" si="26"/>
        <v>Below average customer</v>
      </c>
    </row>
    <row r="567" spans="1:28" x14ac:dyDescent="0.35">
      <c r="A567">
        <v>2574</v>
      </c>
      <c r="B567">
        <v>1977</v>
      </c>
      <c r="C567" t="s">
        <v>31</v>
      </c>
      <c r="D567" t="s">
        <v>32</v>
      </c>
      <c r="E567" t="s">
        <v>33</v>
      </c>
      <c r="F567">
        <v>61996</v>
      </c>
      <c r="G567" t="str">
        <f t="shared" si="24"/>
        <v>Mid-high</v>
      </c>
      <c r="H567">
        <v>0</v>
      </c>
      <c r="I567">
        <v>1</v>
      </c>
      <c r="J567">
        <v>1</v>
      </c>
      <c r="K567" s="1">
        <v>41305</v>
      </c>
      <c r="L567">
        <v>27</v>
      </c>
      <c r="M567" t="str">
        <f t="shared" si="25"/>
        <v>Active</v>
      </c>
      <c r="N567">
        <v>0</v>
      </c>
      <c r="O567">
        <v>1050</v>
      </c>
      <c r="P567">
        <v>12</v>
      </c>
      <c r="Q567">
        <v>144</v>
      </c>
      <c r="R567">
        <v>0</v>
      </c>
      <c r="S567">
        <v>0</v>
      </c>
      <c r="T567">
        <v>24</v>
      </c>
      <c r="U567">
        <v>1230</v>
      </c>
      <c r="V567">
        <v>3</v>
      </c>
      <c r="W567">
        <v>6</v>
      </c>
      <c r="X567">
        <v>4</v>
      </c>
      <c r="Y567">
        <v>8</v>
      </c>
      <c r="Z567">
        <v>18</v>
      </c>
      <c r="AA567">
        <v>5</v>
      </c>
      <c r="AB567" t="str">
        <f t="shared" si="26"/>
        <v>Above average customer</v>
      </c>
    </row>
    <row r="568" spans="1:28" x14ac:dyDescent="0.35">
      <c r="A568">
        <v>8159</v>
      </c>
      <c r="B568">
        <v>1968</v>
      </c>
      <c r="C568" t="s">
        <v>28</v>
      </c>
      <c r="D568" t="s">
        <v>26</v>
      </c>
      <c r="E568" t="s">
        <v>33</v>
      </c>
      <c r="F568">
        <v>51287</v>
      </c>
      <c r="G568" t="str">
        <f t="shared" si="24"/>
        <v>Mid-low</v>
      </c>
      <c r="H568">
        <v>1</v>
      </c>
      <c r="I568">
        <v>1</v>
      </c>
      <c r="J568">
        <v>2</v>
      </c>
      <c r="K568" s="1">
        <v>41730</v>
      </c>
      <c r="L568">
        <v>10</v>
      </c>
      <c r="M568" t="str">
        <f t="shared" si="25"/>
        <v>Active</v>
      </c>
      <c r="N568">
        <v>0</v>
      </c>
      <c r="O568">
        <v>117</v>
      </c>
      <c r="P568">
        <v>0</v>
      </c>
      <c r="Q568">
        <v>22</v>
      </c>
      <c r="R568">
        <v>13</v>
      </c>
      <c r="S568">
        <v>0</v>
      </c>
      <c r="T568">
        <v>30</v>
      </c>
      <c r="U568">
        <v>182</v>
      </c>
      <c r="V568">
        <v>3</v>
      </c>
      <c r="W568">
        <v>4</v>
      </c>
      <c r="X568">
        <v>1</v>
      </c>
      <c r="Y568">
        <v>3</v>
      </c>
      <c r="Z568">
        <v>8</v>
      </c>
      <c r="AA568">
        <v>7</v>
      </c>
      <c r="AB568" t="str">
        <f t="shared" si="26"/>
        <v>Below average customer</v>
      </c>
    </row>
    <row r="569" spans="1:28" x14ac:dyDescent="0.35">
      <c r="A569">
        <v>1160</v>
      </c>
      <c r="B569">
        <v>1970</v>
      </c>
      <c r="C569" t="s">
        <v>28</v>
      </c>
      <c r="D569" t="s">
        <v>26</v>
      </c>
      <c r="E569" t="s">
        <v>33</v>
      </c>
      <c r="F569">
        <v>13260</v>
      </c>
      <c r="G569" t="str">
        <f t="shared" si="24"/>
        <v>Low</v>
      </c>
      <c r="H569">
        <v>1</v>
      </c>
      <c r="I569">
        <v>1</v>
      </c>
      <c r="J569">
        <v>2</v>
      </c>
      <c r="K569" s="1">
        <v>41509</v>
      </c>
      <c r="L569">
        <v>48</v>
      </c>
      <c r="M569" t="str">
        <f t="shared" si="25"/>
        <v>Active</v>
      </c>
      <c r="N569">
        <v>0</v>
      </c>
      <c r="O569">
        <v>9</v>
      </c>
      <c r="P569">
        <v>4</v>
      </c>
      <c r="Q569">
        <v>17</v>
      </c>
      <c r="R569">
        <v>10</v>
      </c>
      <c r="S569">
        <v>2</v>
      </c>
      <c r="T569">
        <v>7</v>
      </c>
      <c r="U569">
        <v>49</v>
      </c>
      <c r="V569">
        <v>4</v>
      </c>
      <c r="W569">
        <v>3</v>
      </c>
      <c r="X569">
        <v>0</v>
      </c>
      <c r="Y569">
        <v>3</v>
      </c>
      <c r="Z569">
        <v>6</v>
      </c>
      <c r="AA569">
        <v>8</v>
      </c>
      <c r="AB569" t="str">
        <f t="shared" si="26"/>
        <v>Below average customer</v>
      </c>
    </row>
    <row r="570" spans="1:28" x14ac:dyDescent="0.35">
      <c r="A570">
        <v>10242</v>
      </c>
      <c r="B570">
        <v>1966</v>
      </c>
      <c r="C570" t="s">
        <v>28</v>
      </c>
      <c r="D570" t="s">
        <v>32</v>
      </c>
      <c r="E570" t="s">
        <v>29</v>
      </c>
      <c r="F570">
        <v>47472</v>
      </c>
      <c r="G570" t="str">
        <f t="shared" si="24"/>
        <v>Mid-low</v>
      </c>
      <c r="H570">
        <v>1</v>
      </c>
      <c r="I570">
        <v>1</v>
      </c>
      <c r="J570">
        <v>2</v>
      </c>
      <c r="K570" s="1">
        <v>41533</v>
      </c>
      <c r="L570">
        <v>39</v>
      </c>
      <c r="M570" t="str">
        <f t="shared" si="25"/>
        <v>Active</v>
      </c>
      <c r="N570">
        <v>0</v>
      </c>
      <c r="O570">
        <v>56</v>
      </c>
      <c r="P570">
        <v>0</v>
      </c>
      <c r="Q570">
        <v>11</v>
      </c>
      <c r="R570">
        <v>0</v>
      </c>
      <c r="S570">
        <v>0</v>
      </c>
      <c r="T570">
        <v>8</v>
      </c>
      <c r="U570">
        <v>75</v>
      </c>
      <c r="V570">
        <v>2</v>
      </c>
      <c r="W570">
        <v>2</v>
      </c>
      <c r="X570">
        <v>0</v>
      </c>
      <c r="Y570">
        <v>4</v>
      </c>
      <c r="Z570">
        <v>6</v>
      </c>
      <c r="AA570">
        <v>5</v>
      </c>
      <c r="AB570" t="str">
        <f t="shared" si="26"/>
        <v>Below average customer</v>
      </c>
    </row>
    <row r="571" spans="1:28" x14ac:dyDescent="0.35">
      <c r="A571">
        <v>5253</v>
      </c>
      <c r="B571">
        <v>1956</v>
      </c>
      <c r="C571" t="s">
        <v>25</v>
      </c>
      <c r="D571" t="s">
        <v>34</v>
      </c>
      <c r="E571" t="s">
        <v>29</v>
      </c>
      <c r="F571">
        <v>54603</v>
      </c>
      <c r="G571" t="str">
        <f t="shared" si="24"/>
        <v>Mid-high</v>
      </c>
      <c r="H571">
        <v>1</v>
      </c>
      <c r="I571">
        <v>1</v>
      </c>
      <c r="J571">
        <v>2</v>
      </c>
      <c r="K571" s="1">
        <v>41464</v>
      </c>
      <c r="L571">
        <v>85</v>
      </c>
      <c r="M571" t="str">
        <f t="shared" si="25"/>
        <v>Inactive</v>
      </c>
      <c r="N571">
        <v>0</v>
      </c>
      <c r="O571">
        <v>145</v>
      </c>
      <c r="P571">
        <v>13</v>
      </c>
      <c r="Q571">
        <v>46</v>
      </c>
      <c r="R571">
        <v>17</v>
      </c>
      <c r="S571">
        <v>2</v>
      </c>
      <c r="T571">
        <v>4</v>
      </c>
      <c r="U571">
        <v>227</v>
      </c>
      <c r="V571">
        <v>6</v>
      </c>
      <c r="W571">
        <v>4</v>
      </c>
      <c r="X571">
        <v>2</v>
      </c>
      <c r="Y571">
        <v>4</v>
      </c>
      <c r="Z571">
        <v>10</v>
      </c>
      <c r="AA571">
        <v>7</v>
      </c>
      <c r="AB571" t="str">
        <f t="shared" si="26"/>
        <v>Below average customer</v>
      </c>
    </row>
    <row r="572" spans="1:28" x14ac:dyDescent="0.35">
      <c r="A572">
        <v>5966</v>
      </c>
      <c r="B572">
        <v>1974</v>
      </c>
      <c r="C572" t="s">
        <v>31</v>
      </c>
      <c r="D572" t="s">
        <v>32</v>
      </c>
      <c r="E572" t="s">
        <v>33</v>
      </c>
      <c r="F572">
        <v>45207</v>
      </c>
      <c r="G572" t="str">
        <f t="shared" si="24"/>
        <v>Mid-low</v>
      </c>
      <c r="H572">
        <v>1</v>
      </c>
      <c r="I572">
        <v>1</v>
      </c>
      <c r="J572">
        <v>2</v>
      </c>
      <c r="K572" s="1">
        <v>41223</v>
      </c>
      <c r="L572">
        <v>64</v>
      </c>
      <c r="M572" t="str">
        <f t="shared" si="25"/>
        <v>Inactive</v>
      </c>
      <c r="N572">
        <v>0</v>
      </c>
      <c r="O572">
        <v>203</v>
      </c>
      <c r="P572">
        <v>0</v>
      </c>
      <c r="Q572">
        <v>10</v>
      </c>
      <c r="R572">
        <v>0</v>
      </c>
      <c r="S572">
        <v>0</v>
      </c>
      <c r="T572">
        <v>2</v>
      </c>
      <c r="U572">
        <v>215</v>
      </c>
      <c r="V572">
        <v>5</v>
      </c>
      <c r="W572">
        <v>3</v>
      </c>
      <c r="X572">
        <v>1</v>
      </c>
      <c r="Y572">
        <v>6</v>
      </c>
      <c r="Z572">
        <v>10</v>
      </c>
      <c r="AA572">
        <v>6</v>
      </c>
      <c r="AB572" t="str">
        <f t="shared" si="26"/>
        <v>Below average customer</v>
      </c>
    </row>
    <row r="573" spans="1:28" x14ac:dyDescent="0.35">
      <c r="A573">
        <v>5081</v>
      </c>
      <c r="B573">
        <v>1967</v>
      </c>
      <c r="C573" t="s">
        <v>28</v>
      </c>
      <c r="D573" t="s">
        <v>34</v>
      </c>
      <c r="E573" t="s">
        <v>29</v>
      </c>
      <c r="F573">
        <v>47821</v>
      </c>
      <c r="G573" t="str">
        <f t="shared" si="24"/>
        <v>Mid-low</v>
      </c>
      <c r="H573">
        <v>1</v>
      </c>
      <c r="I573">
        <v>1</v>
      </c>
      <c r="J573">
        <v>2</v>
      </c>
      <c r="K573" s="1">
        <v>41567</v>
      </c>
      <c r="L573">
        <v>54</v>
      </c>
      <c r="M573" t="str">
        <f t="shared" si="25"/>
        <v>Inactive</v>
      </c>
      <c r="N573">
        <v>0</v>
      </c>
      <c r="O573">
        <v>9</v>
      </c>
      <c r="P573">
        <v>0</v>
      </c>
      <c r="Q573">
        <v>16</v>
      </c>
      <c r="R573">
        <v>6</v>
      </c>
      <c r="S573">
        <v>6</v>
      </c>
      <c r="T573">
        <v>10</v>
      </c>
      <c r="U573">
        <v>47</v>
      </c>
      <c r="V573">
        <v>1</v>
      </c>
      <c r="W573">
        <v>1</v>
      </c>
      <c r="X573">
        <v>0</v>
      </c>
      <c r="Y573">
        <v>3</v>
      </c>
      <c r="Z573">
        <v>4</v>
      </c>
      <c r="AA573">
        <v>8</v>
      </c>
      <c r="AB573" t="str">
        <f t="shared" si="26"/>
        <v>Below average customer</v>
      </c>
    </row>
    <row r="574" spans="1:28" x14ac:dyDescent="0.35">
      <c r="A574">
        <v>5123</v>
      </c>
      <c r="B574">
        <v>1951</v>
      </c>
      <c r="C574" t="s">
        <v>36</v>
      </c>
      <c r="D574" t="s">
        <v>34</v>
      </c>
      <c r="E574" t="s">
        <v>33</v>
      </c>
      <c r="F574">
        <v>27450</v>
      </c>
      <c r="G574" t="str">
        <f t="shared" si="24"/>
        <v>Low</v>
      </c>
      <c r="H574">
        <v>0</v>
      </c>
      <c r="I574">
        <v>0</v>
      </c>
      <c r="J574">
        <v>0</v>
      </c>
      <c r="K574" s="1">
        <v>41379</v>
      </c>
      <c r="L574">
        <v>57</v>
      </c>
      <c r="M574" t="str">
        <f t="shared" si="25"/>
        <v>Inactive</v>
      </c>
      <c r="N574">
        <v>0</v>
      </c>
      <c r="O574">
        <v>37</v>
      </c>
      <c r="P574">
        <v>12</v>
      </c>
      <c r="Q574">
        <v>23</v>
      </c>
      <c r="R574">
        <v>8</v>
      </c>
      <c r="S574">
        <v>11</v>
      </c>
      <c r="T574">
        <v>52</v>
      </c>
      <c r="U574">
        <v>143</v>
      </c>
      <c r="V574">
        <v>1</v>
      </c>
      <c r="W574">
        <v>2</v>
      </c>
      <c r="X574">
        <v>1</v>
      </c>
      <c r="Y574">
        <v>3</v>
      </c>
      <c r="Z574">
        <v>6</v>
      </c>
      <c r="AA574">
        <v>7</v>
      </c>
      <c r="AB574" t="str">
        <f t="shared" si="26"/>
        <v>Below average customer</v>
      </c>
    </row>
    <row r="575" spans="1:28" x14ac:dyDescent="0.35">
      <c r="A575">
        <v>5756</v>
      </c>
      <c r="B575">
        <v>1983</v>
      </c>
      <c r="C575" t="s">
        <v>30</v>
      </c>
      <c r="D575" t="s">
        <v>26</v>
      </c>
      <c r="E575" t="s">
        <v>29</v>
      </c>
      <c r="F575">
        <v>39453</v>
      </c>
      <c r="G575" t="str">
        <f t="shared" si="24"/>
        <v>Mid-low</v>
      </c>
      <c r="H575">
        <v>1</v>
      </c>
      <c r="I575">
        <v>0</v>
      </c>
      <c r="J575">
        <v>1</v>
      </c>
      <c r="K575" s="1">
        <v>41732</v>
      </c>
      <c r="L575">
        <v>64</v>
      </c>
      <c r="M575" t="str">
        <f t="shared" si="25"/>
        <v>Inactive</v>
      </c>
      <c r="N575">
        <v>0</v>
      </c>
      <c r="O575">
        <v>46</v>
      </c>
      <c r="P575">
        <v>0</v>
      </c>
      <c r="Q575">
        <v>7</v>
      </c>
      <c r="R575">
        <v>0</v>
      </c>
      <c r="S575">
        <v>0</v>
      </c>
      <c r="T575">
        <v>2</v>
      </c>
      <c r="U575">
        <v>55</v>
      </c>
      <c r="V575">
        <v>2</v>
      </c>
      <c r="W575">
        <v>2</v>
      </c>
      <c r="X575">
        <v>0</v>
      </c>
      <c r="Y575">
        <v>3</v>
      </c>
      <c r="Z575">
        <v>5</v>
      </c>
      <c r="AA575">
        <v>6</v>
      </c>
      <c r="AB575" t="str">
        <f t="shared" si="26"/>
        <v>Below average customer</v>
      </c>
    </row>
    <row r="576" spans="1:28" x14ac:dyDescent="0.35">
      <c r="A576">
        <v>8036</v>
      </c>
      <c r="B576">
        <v>1971</v>
      </c>
      <c r="C576" t="s">
        <v>28</v>
      </c>
      <c r="D576" t="s">
        <v>34</v>
      </c>
      <c r="E576" t="s">
        <v>29</v>
      </c>
      <c r="F576">
        <v>26850</v>
      </c>
      <c r="G576" t="str">
        <f t="shared" si="24"/>
        <v>Low</v>
      </c>
      <c r="H576">
        <v>1</v>
      </c>
      <c r="I576">
        <v>1</v>
      </c>
      <c r="J576">
        <v>2</v>
      </c>
      <c r="K576" s="1">
        <v>41747</v>
      </c>
      <c r="L576">
        <v>10</v>
      </c>
      <c r="M576" t="str">
        <f t="shared" si="25"/>
        <v>Active</v>
      </c>
      <c r="N576">
        <v>0</v>
      </c>
      <c r="O576">
        <v>31</v>
      </c>
      <c r="P576">
        <v>1</v>
      </c>
      <c r="Q576">
        <v>13</v>
      </c>
      <c r="R576">
        <v>7</v>
      </c>
      <c r="S576">
        <v>2</v>
      </c>
      <c r="T576">
        <v>9</v>
      </c>
      <c r="U576">
        <v>63</v>
      </c>
      <c r="V576">
        <v>4</v>
      </c>
      <c r="W576">
        <v>2</v>
      </c>
      <c r="X576">
        <v>1</v>
      </c>
      <c r="Y576">
        <v>4</v>
      </c>
      <c r="Z576">
        <v>7</v>
      </c>
      <c r="AA576">
        <v>4</v>
      </c>
      <c r="AB576" t="str">
        <f t="shared" si="26"/>
        <v>Below average customer</v>
      </c>
    </row>
    <row r="577" spans="1:28" x14ac:dyDescent="0.35">
      <c r="A577">
        <v>9058</v>
      </c>
      <c r="B577">
        <v>1955</v>
      </c>
      <c r="C577" t="s">
        <v>25</v>
      </c>
      <c r="D577" t="s">
        <v>26</v>
      </c>
      <c r="E577" t="s">
        <v>38</v>
      </c>
      <c r="F577">
        <v>79800</v>
      </c>
      <c r="G577" t="str">
        <f t="shared" si="24"/>
        <v>High</v>
      </c>
      <c r="H577">
        <v>0</v>
      </c>
      <c r="I577">
        <v>0</v>
      </c>
      <c r="J577">
        <v>0</v>
      </c>
      <c r="K577" s="1">
        <v>41175</v>
      </c>
      <c r="L577">
        <v>65</v>
      </c>
      <c r="M577" t="str">
        <f t="shared" si="25"/>
        <v>Inactive</v>
      </c>
      <c r="N577">
        <v>0</v>
      </c>
      <c r="O577">
        <v>1060</v>
      </c>
      <c r="P577">
        <v>21</v>
      </c>
      <c r="Q577">
        <v>530</v>
      </c>
      <c r="R577">
        <v>32</v>
      </c>
      <c r="S577">
        <v>0</v>
      </c>
      <c r="T577">
        <v>224</v>
      </c>
      <c r="U577">
        <v>1867</v>
      </c>
      <c r="V577">
        <v>1</v>
      </c>
      <c r="W577">
        <v>5</v>
      </c>
      <c r="X577">
        <v>11</v>
      </c>
      <c r="Y577">
        <v>5</v>
      </c>
      <c r="Z577">
        <v>21</v>
      </c>
      <c r="AA577">
        <v>3</v>
      </c>
      <c r="AB577" t="str">
        <f t="shared" si="26"/>
        <v>Below average customer</v>
      </c>
    </row>
    <row r="578" spans="1:28" x14ac:dyDescent="0.35">
      <c r="A578">
        <v>5057</v>
      </c>
      <c r="B578">
        <v>1961</v>
      </c>
      <c r="C578" t="s">
        <v>25</v>
      </c>
      <c r="D578" t="s">
        <v>34</v>
      </c>
      <c r="E578" t="s">
        <v>33</v>
      </c>
      <c r="F578">
        <v>61794</v>
      </c>
      <c r="G578" t="str">
        <f t="shared" ref="G578:G641" si="27">IF(F578&lt;=_xlfn.PERCENTILE.INC($F$2:$F$2056,0.25),"Low",IF(F578&lt;=_xlfn.PERCENTILE.INC($F$2:$F$2056,0.5),"Mid-low",IF(F578&lt;=_xlfn.PERCENTILE.INC($F$2:$F$2056,0.75),"Mid-high","High")))</f>
        <v>Mid-high</v>
      </c>
      <c r="H578">
        <v>0</v>
      </c>
      <c r="I578">
        <v>1</v>
      </c>
      <c r="J578">
        <v>1</v>
      </c>
      <c r="K578" s="1">
        <v>41531</v>
      </c>
      <c r="L578">
        <v>74</v>
      </c>
      <c r="M578" t="str">
        <f t="shared" ref="M578:M641" si="28">IF(L578&gt;AVERAGE($L$2:$L$2056),"Inactive","Active")</f>
        <v>Inactive</v>
      </c>
      <c r="N578">
        <v>0</v>
      </c>
      <c r="O578">
        <v>264</v>
      </c>
      <c r="P578">
        <v>47</v>
      </c>
      <c r="Q578">
        <v>188</v>
      </c>
      <c r="R578">
        <v>54</v>
      </c>
      <c r="S578">
        <v>47</v>
      </c>
      <c r="T578">
        <v>11</v>
      </c>
      <c r="U578">
        <v>611</v>
      </c>
      <c r="V578">
        <v>2</v>
      </c>
      <c r="W578">
        <v>4</v>
      </c>
      <c r="X578">
        <v>4</v>
      </c>
      <c r="Y578">
        <v>10</v>
      </c>
      <c r="Z578">
        <v>18</v>
      </c>
      <c r="AA578">
        <v>2</v>
      </c>
      <c r="AB578" t="str">
        <f t="shared" ref="AB578:AB641" si="29">IF(AND(Z578&gt;AVERAGE($Z$2:$Z$2056),U578&gt;AVERAGE($U$2:$U$2056),N578=0,L578&lt;AVERAGE($L$2:$L$2056),F578&gt;AVERAGE($F$2:$F$2240)),"Above average customer","Below average customer")</f>
        <v>Below average customer</v>
      </c>
    </row>
    <row r="579" spans="1:28" x14ac:dyDescent="0.35">
      <c r="A579">
        <v>254</v>
      </c>
      <c r="B579">
        <v>1955</v>
      </c>
      <c r="C579" t="s">
        <v>25</v>
      </c>
      <c r="D579" t="s">
        <v>26</v>
      </c>
      <c r="E579" t="s">
        <v>29</v>
      </c>
      <c r="F579">
        <v>53863</v>
      </c>
      <c r="G579" t="str">
        <f t="shared" si="27"/>
        <v>Mid-high</v>
      </c>
      <c r="H579">
        <v>0</v>
      </c>
      <c r="I579">
        <v>1</v>
      </c>
      <c r="J579">
        <v>1</v>
      </c>
      <c r="K579" s="1">
        <v>41776</v>
      </c>
      <c r="L579">
        <v>4</v>
      </c>
      <c r="M579" t="str">
        <f t="shared" si="28"/>
        <v>Active</v>
      </c>
      <c r="N579">
        <v>0</v>
      </c>
      <c r="O579">
        <v>399</v>
      </c>
      <c r="P579">
        <v>4</v>
      </c>
      <c r="Q579">
        <v>30</v>
      </c>
      <c r="R579">
        <v>6</v>
      </c>
      <c r="S579">
        <v>4</v>
      </c>
      <c r="T579">
        <v>30</v>
      </c>
      <c r="U579">
        <v>473</v>
      </c>
      <c r="V579">
        <v>3</v>
      </c>
      <c r="W579">
        <v>7</v>
      </c>
      <c r="X579">
        <v>1</v>
      </c>
      <c r="Y579">
        <v>7</v>
      </c>
      <c r="Z579">
        <v>15</v>
      </c>
      <c r="AA579">
        <v>7</v>
      </c>
      <c r="AB579" t="str">
        <f t="shared" si="29"/>
        <v>Below average customer</v>
      </c>
    </row>
    <row r="580" spans="1:28" x14ac:dyDescent="0.35">
      <c r="A580">
        <v>4179</v>
      </c>
      <c r="B580">
        <v>1959</v>
      </c>
      <c r="C580" t="s">
        <v>25</v>
      </c>
      <c r="D580" t="s">
        <v>26</v>
      </c>
      <c r="E580" t="s">
        <v>29</v>
      </c>
      <c r="F580">
        <v>24221</v>
      </c>
      <c r="G580" t="str">
        <f t="shared" si="27"/>
        <v>Low</v>
      </c>
      <c r="H580">
        <v>0</v>
      </c>
      <c r="I580">
        <v>0</v>
      </c>
      <c r="J580">
        <v>0</v>
      </c>
      <c r="K580" s="1">
        <v>41506</v>
      </c>
      <c r="L580">
        <v>94</v>
      </c>
      <c r="M580" t="str">
        <f t="shared" si="28"/>
        <v>Inactive</v>
      </c>
      <c r="N580">
        <v>0</v>
      </c>
      <c r="O580">
        <v>8</v>
      </c>
      <c r="P580">
        <v>9</v>
      </c>
      <c r="Q580">
        <v>9</v>
      </c>
      <c r="R580">
        <v>2</v>
      </c>
      <c r="S580">
        <v>5</v>
      </c>
      <c r="T580">
        <v>22</v>
      </c>
      <c r="U580">
        <v>55</v>
      </c>
      <c r="V580">
        <v>1</v>
      </c>
      <c r="W580">
        <v>1</v>
      </c>
      <c r="X580">
        <v>1</v>
      </c>
      <c r="Y580">
        <v>3</v>
      </c>
      <c r="Z580">
        <v>5</v>
      </c>
      <c r="AA580">
        <v>4</v>
      </c>
      <c r="AB580" t="str">
        <f t="shared" si="29"/>
        <v>Below average customer</v>
      </c>
    </row>
    <row r="581" spans="1:28" x14ac:dyDescent="0.35">
      <c r="A581">
        <v>3710</v>
      </c>
      <c r="B581">
        <v>1984</v>
      </c>
      <c r="C581" t="s">
        <v>30</v>
      </c>
      <c r="D581" t="s">
        <v>32</v>
      </c>
      <c r="E581" t="s">
        <v>27</v>
      </c>
      <c r="F581">
        <v>39684</v>
      </c>
      <c r="G581" t="str">
        <f t="shared" si="27"/>
        <v>Mid-low</v>
      </c>
      <c r="H581">
        <v>1</v>
      </c>
      <c r="I581">
        <v>0</v>
      </c>
      <c r="J581">
        <v>1</v>
      </c>
      <c r="K581" s="1">
        <v>41194</v>
      </c>
      <c r="L581">
        <v>41</v>
      </c>
      <c r="M581" t="str">
        <f t="shared" si="28"/>
        <v>Active</v>
      </c>
      <c r="N581">
        <v>1</v>
      </c>
      <c r="O581">
        <v>19</v>
      </c>
      <c r="P581">
        <v>0</v>
      </c>
      <c r="Q581">
        <v>35</v>
      </c>
      <c r="R581">
        <v>6</v>
      </c>
      <c r="S581">
        <v>4</v>
      </c>
      <c r="T581">
        <v>17</v>
      </c>
      <c r="U581">
        <v>81</v>
      </c>
      <c r="V581">
        <v>2</v>
      </c>
      <c r="W581">
        <v>2</v>
      </c>
      <c r="X581">
        <v>1</v>
      </c>
      <c r="Y581">
        <v>2</v>
      </c>
      <c r="Z581">
        <v>5</v>
      </c>
      <c r="AA581">
        <v>7</v>
      </c>
      <c r="AB581" t="str">
        <f t="shared" si="29"/>
        <v>Below average customer</v>
      </c>
    </row>
    <row r="582" spans="1:28" x14ac:dyDescent="0.35">
      <c r="A582">
        <v>7627</v>
      </c>
      <c r="B582">
        <v>1975</v>
      </c>
      <c r="C582" t="s">
        <v>31</v>
      </c>
      <c r="D582" t="s">
        <v>34</v>
      </c>
      <c r="E582" t="s">
        <v>33</v>
      </c>
      <c r="F582">
        <v>92163</v>
      </c>
      <c r="G582" t="str">
        <f t="shared" si="27"/>
        <v>High</v>
      </c>
      <c r="H582">
        <v>0</v>
      </c>
      <c r="I582">
        <v>0</v>
      </c>
      <c r="J582">
        <v>0</v>
      </c>
      <c r="K582" s="1">
        <v>41255</v>
      </c>
      <c r="L582">
        <v>25</v>
      </c>
      <c r="M582" t="str">
        <f t="shared" si="28"/>
        <v>Active</v>
      </c>
      <c r="N582">
        <v>0</v>
      </c>
      <c r="O582">
        <v>817</v>
      </c>
      <c r="P582">
        <v>183</v>
      </c>
      <c r="Q582">
        <v>797</v>
      </c>
      <c r="R582">
        <v>106</v>
      </c>
      <c r="S582">
        <v>163</v>
      </c>
      <c r="T582">
        <v>20</v>
      </c>
      <c r="U582">
        <v>2086</v>
      </c>
      <c r="V582">
        <v>0</v>
      </c>
      <c r="W582">
        <v>5</v>
      </c>
      <c r="X582">
        <v>11</v>
      </c>
      <c r="Y582">
        <v>5</v>
      </c>
      <c r="Z582">
        <v>21</v>
      </c>
      <c r="AA582">
        <v>2</v>
      </c>
      <c r="AB582" t="str">
        <f t="shared" si="29"/>
        <v>Above average customer</v>
      </c>
    </row>
    <row r="583" spans="1:28" x14ac:dyDescent="0.35">
      <c r="A583">
        <v>4501</v>
      </c>
      <c r="B583">
        <v>1965</v>
      </c>
      <c r="C583" t="s">
        <v>28</v>
      </c>
      <c r="D583" t="s">
        <v>34</v>
      </c>
      <c r="E583" t="s">
        <v>27</v>
      </c>
      <c r="F583">
        <v>69882</v>
      </c>
      <c r="G583" t="str">
        <f t="shared" si="27"/>
        <v>High</v>
      </c>
      <c r="H583">
        <v>0</v>
      </c>
      <c r="I583">
        <v>0</v>
      </c>
      <c r="J583">
        <v>0</v>
      </c>
      <c r="K583" s="1">
        <v>41588</v>
      </c>
      <c r="L583">
        <v>94</v>
      </c>
      <c r="M583" t="str">
        <f t="shared" si="28"/>
        <v>Inactive</v>
      </c>
      <c r="N583">
        <v>0</v>
      </c>
      <c r="O583">
        <v>292</v>
      </c>
      <c r="P583">
        <v>127</v>
      </c>
      <c r="Q583">
        <v>635</v>
      </c>
      <c r="R583">
        <v>132</v>
      </c>
      <c r="S583">
        <v>127</v>
      </c>
      <c r="T583">
        <v>165</v>
      </c>
      <c r="U583">
        <v>1478</v>
      </c>
      <c r="V583">
        <v>1</v>
      </c>
      <c r="W583">
        <v>3</v>
      </c>
      <c r="X583">
        <v>7</v>
      </c>
      <c r="Y583">
        <v>9</v>
      </c>
      <c r="Z583">
        <v>19</v>
      </c>
      <c r="AA583">
        <v>1</v>
      </c>
      <c r="AB583" t="str">
        <f t="shared" si="29"/>
        <v>Below average customer</v>
      </c>
    </row>
    <row r="584" spans="1:28" x14ac:dyDescent="0.35">
      <c r="A584">
        <v>6424</v>
      </c>
      <c r="B584">
        <v>1977</v>
      </c>
      <c r="C584" t="s">
        <v>31</v>
      </c>
      <c r="D584" t="s">
        <v>26</v>
      </c>
      <c r="E584" t="s">
        <v>29</v>
      </c>
      <c r="F584">
        <v>33178</v>
      </c>
      <c r="G584" t="str">
        <f t="shared" si="27"/>
        <v>Low</v>
      </c>
      <c r="H584">
        <v>1</v>
      </c>
      <c r="I584">
        <v>0</v>
      </c>
      <c r="J584">
        <v>1</v>
      </c>
      <c r="K584" s="1">
        <v>41669</v>
      </c>
      <c r="L584">
        <v>9</v>
      </c>
      <c r="M584" t="str">
        <f t="shared" si="28"/>
        <v>Active</v>
      </c>
      <c r="N584">
        <v>0</v>
      </c>
      <c r="O584">
        <v>12</v>
      </c>
      <c r="P584">
        <v>6</v>
      </c>
      <c r="Q584">
        <v>2</v>
      </c>
      <c r="R584">
        <v>11</v>
      </c>
      <c r="S584">
        <v>2</v>
      </c>
      <c r="T584">
        <v>16</v>
      </c>
      <c r="U584">
        <v>49</v>
      </c>
      <c r="V584">
        <v>1</v>
      </c>
      <c r="W584">
        <v>1</v>
      </c>
      <c r="X584">
        <v>0</v>
      </c>
      <c r="Y584">
        <v>3</v>
      </c>
      <c r="Z584">
        <v>4</v>
      </c>
      <c r="AA584">
        <v>4</v>
      </c>
      <c r="AB584" t="str">
        <f t="shared" si="29"/>
        <v>Below average customer</v>
      </c>
    </row>
    <row r="585" spans="1:28" x14ac:dyDescent="0.35">
      <c r="A585">
        <v>3075</v>
      </c>
      <c r="B585">
        <v>1972</v>
      </c>
      <c r="C585" t="s">
        <v>28</v>
      </c>
      <c r="D585" t="s">
        <v>32</v>
      </c>
      <c r="E585" t="s">
        <v>33</v>
      </c>
      <c r="F585">
        <v>59973</v>
      </c>
      <c r="G585" t="str">
        <f t="shared" si="27"/>
        <v>Mid-high</v>
      </c>
      <c r="H585">
        <v>0</v>
      </c>
      <c r="I585">
        <v>0</v>
      </c>
      <c r="J585">
        <v>0</v>
      </c>
      <c r="K585" s="1">
        <v>41528</v>
      </c>
      <c r="L585">
        <v>47</v>
      </c>
      <c r="M585" t="str">
        <f t="shared" si="28"/>
        <v>Active</v>
      </c>
      <c r="N585">
        <v>0</v>
      </c>
      <c r="O585">
        <v>130</v>
      </c>
      <c r="P585">
        <v>30</v>
      </c>
      <c r="Q585">
        <v>168</v>
      </c>
      <c r="R585">
        <v>20</v>
      </c>
      <c r="S585">
        <v>34</v>
      </c>
      <c r="T585">
        <v>0</v>
      </c>
      <c r="U585">
        <v>382</v>
      </c>
      <c r="V585">
        <v>1</v>
      </c>
      <c r="W585">
        <v>3</v>
      </c>
      <c r="X585">
        <v>4</v>
      </c>
      <c r="Y585">
        <v>7</v>
      </c>
      <c r="Z585">
        <v>14</v>
      </c>
      <c r="AA585">
        <v>1</v>
      </c>
      <c r="AB585" t="str">
        <f t="shared" si="29"/>
        <v>Below average customer</v>
      </c>
    </row>
    <row r="586" spans="1:28" x14ac:dyDescent="0.35">
      <c r="A586">
        <v>4992</v>
      </c>
      <c r="B586">
        <v>1975</v>
      </c>
      <c r="C586" t="s">
        <v>31</v>
      </c>
      <c r="D586" t="s">
        <v>34</v>
      </c>
      <c r="E586" t="s">
        <v>29</v>
      </c>
      <c r="F586">
        <v>17459</v>
      </c>
      <c r="G586" t="str">
        <f t="shared" si="27"/>
        <v>Low</v>
      </c>
      <c r="H586">
        <v>1</v>
      </c>
      <c r="I586">
        <v>0</v>
      </c>
      <c r="J586">
        <v>1</v>
      </c>
      <c r="K586" s="1">
        <v>41536</v>
      </c>
      <c r="L586">
        <v>12</v>
      </c>
      <c r="M586" t="str">
        <f t="shared" si="28"/>
        <v>Active</v>
      </c>
      <c r="N586">
        <v>0</v>
      </c>
      <c r="O586">
        <v>6</v>
      </c>
      <c r="P586">
        <v>4</v>
      </c>
      <c r="Q586">
        <v>16</v>
      </c>
      <c r="R586">
        <v>3</v>
      </c>
      <c r="S586">
        <v>10</v>
      </c>
      <c r="T586">
        <v>30</v>
      </c>
      <c r="U586">
        <v>69</v>
      </c>
      <c r="V586">
        <v>3</v>
      </c>
      <c r="W586">
        <v>3</v>
      </c>
      <c r="X586">
        <v>1</v>
      </c>
      <c r="Y586">
        <v>2</v>
      </c>
      <c r="Z586">
        <v>6</v>
      </c>
      <c r="AA586">
        <v>7</v>
      </c>
      <c r="AB586" t="str">
        <f t="shared" si="29"/>
        <v>Below average customer</v>
      </c>
    </row>
    <row r="587" spans="1:28" x14ac:dyDescent="0.35">
      <c r="A587">
        <v>5252</v>
      </c>
      <c r="B587">
        <v>1969</v>
      </c>
      <c r="C587" t="s">
        <v>28</v>
      </c>
      <c r="D587" t="s">
        <v>26</v>
      </c>
      <c r="E587" t="s">
        <v>35</v>
      </c>
      <c r="F587">
        <v>23910</v>
      </c>
      <c r="G587" t="str">
        <f t="shared" si="27"/>
        <v>Low</v>
      </c>
      <c r="H587">
        <v>1</v>
      </c>
      <c r="I587">
        <v>0</v>
      </c>
      <c r="J587">
        <v>1</v>
      </c>
      <c r="K587" s="1">
        <v>41208</v>
      </c>
      <c r="L587">
        <v>80</v>
      </c>
      <c r="M587" t="str">
        <f t="shared" si="28"/>
        <v>Inactive</v>
      </c>
      <c r="N587">
        <v>0</v>
      </c>
      <c r="O587">
        <v>16</v>
      </c>
      <c r="P587">
        <v>12</v>
      </c>
      <c r="Q587">
        <v>18</v>
      </c>
      <c r="R587">
        <v>7</v>
      </c>
      <c r="S587">
        <v>1</v>
      </c>
      <c r="T587">
        <v>13</v>
      </c>
      <c r="U587">
        <v>67</v>
      </c>
      <c r="V587">
        <v>1</v>
      </c>
      <c r="W587">
        <v>2</v>
      </c>
      <c r="X587">
        <v>0</v>
      </c>
      <c r="Y587">
        <v>3</v>
      </c>
      <c r="Z587">
        <v>5</v>
      </c>
      <c r="AA587">
        <v>7</v>
      </c>
      <c r="AB587" t="str">
        <f t="shared" si="29"/>
        <v>Below average customer</v>
      </c>
    </row>
    <row r="588" spans="1:28" x14ac:dyDescent="0.35">
      <c r="A588">
        <v>7444</v>
      </c>
      <c r="B588">
        <v>1969</v>
      </c>
      <c r="C588" t="s">
        <v>28</v>
      </c>
      <c r="D588" t="s">
        <v>34</v>
      </c>
      <c r="E588" t="s">
        <v>33</v>
      </c>
      <c r="F588">
        <v>42169</v>
      </c>
      <c r="G588" t="str">
        <f t="shared" si="27"/>
        <v>Mid-low</v>
      </c>
      <c r="H588">
        <v>1</v>
      </c>
      <c r="I588">
        <v>1</v>
      </c>
      <c r="J588">
        <v>2</v>
      </c>
      <c r="K588" s="1">
        <v>41566</v>
      </c>
      <c r="L588">
        <v>20</v>
      </c>
      <c r="M588" t="str">
        <f t="shared" si="28"/>
        <v>Active</v>
      </c>
      <c r="N588">
        <v>0</v>
      </c>
      <c r="O588">
        <v>19</v>
      </c>
      <c r="P588">
        <v>0</v>
      </c>
      <c r="Q588">
        <v>9</v>
      </c>
      <c r="R588">
        <v>0</v>
      </c>
      <c r="S588">
        <v>0</v>
      </c>
      <c r="T588">
        <v>2</v>
      </c>
      <c r="U588">
        <v>30</v>
      </c>
      <c r="V588">
        <v>2</v>
      </c>
      <c r="W588">
        <v>1</v>
      </c>
      <c r="X588">
        <v>0</v>
      </c>
      <c r="Y588">
        <v>3</v>
      </c>
      <c r="Z588">
        <v>4</v>
      </c>
      <c r="AA588">
        <v>8</v>
      </c>
      <c r="AB588" t="str">
        <f t="shared" si="29"/>
        <v>Below average customer</v>
      </c>
    </row>
    <row r="589" spans="1:28" x14ac:dyDescent="0.35">
      <c r="A589">
        <v>6919</v>
      </c>
      <c r="B589">
        <v>1978</v>
      </c>
      <c r="C589" t="s">
        <v>31</v>
      </c>
      <c r="D589" t="s">
        <v>34</v>
      </c>
      <c r="E589" t="s">
        <v>33</v>
      </c>
      <c r="F589">
        <v>26224</v>
      </c>
      <c r="G589" t="str">
        <f t="shared" si="27"/>
        <v>Low</v>
      </c>
      <c r="H589">
        <v>1</v>
      </c>
      <c r="I589">
        <v>0</v>
      </c>
      <c r="J589">
        <v>1</v>
      </c>
      <c r="K589" s="1">
        <v>41429</v>
      </c>
      <c r="L589">
        <v>39</v>
      </c>
      <c r="M589" t="str">
        <f t="shared" si="28"/>
        <v>Active</v>
      </c>
      <c r="N589">
        <v>0</v>
      </c>
      <c r="O589">
        <v>4</v>
      </c>
      <c r="P589">
        <v>7</v>
      </c>
      <c r="Q589">
        <v>15</v>
      </c>
      <c r="R589">
        <v>13</v>
      </c>
      <c r="S589">
        <v>9</v>
      </c>
      <c r="T589">
        <v>15</v>
      </c>
      <c r="U589">
        <v>63</v>
      </c>
      <c r="V589">
        <v>3</v>
      </c>
      <c r="W589">
        <v>2</v>
      </c>
      <c r="X589">
        <v>1</v>
      </c>
      <c r="Y589">
        <v>3</v>
      </c>
      <c r="Z589">
        <v>6</v>
      </c>
      <c r="AA589">
        <v>6</v>
      </c>
      <c r="AB589" t="str">
        <f t="shared" si="29"/>
        <v>Below average customer</v>
      </c>
    </row>
    <row r="590" spans="1:28" x14ac:dyDescent="0.35">
      <c r="A590">
        <v>3537</v>
      </c>
      <c r="B590">
        <v>1981</v>
      </c>
      <c r="C590" t="s">
        <v>31</v>
      </c>
      <c r="D590" t="s">
        <v>26</v>
      </c>
      <c r="E590" t="s">
        <v>29</v>
      </c>
      <c r="F590">
        <v>31089</v>
      </c>
      <c r="G590" t="str">
        <f t="shared" si="27"/>
        <v>Low</v>
      </c>
      <c r="H590">
        <v>1</v>
      </c>
      <c r="I590">
        <v>0</v>
      </c>
      <c r="J590">
        <v>1</v>
      </c>
      <c r="K590" s="1">
        <v>41138</v>
      </c>
      <c r="L590">
        <v>57</v>
      </c>
      <c r="M590" t="str">
        <f t="shared" si="28"/>
        <v>Inactive</v>
      </c>
      <c r="N590">
        <v>0</v>
      </c>
      <c r="O590">
        <v>31</v>
      </c>
      <c r="P590">
        <v>3</v>
      </c>
      <c r="Q590">
        <v>31</v>
      </c>
      <c r="R590">
        <v>2</v>
      </c>
      <c r="S590">
        <v>8</v>
      </c>
      <c r="T590">
        <v>4</v>
      </c>
      <c r="U590">
        <v>79</v>
      </c>
      <c r="V590">
        <v>3</v>
      </c>
      <c r="W590">
        <v>3</v>
      </c>
      <c r="X590">
        <v>0</v>
      </c>
      <c r="Y590">
        <v>4</v>
      </c>
      <c r="Z590">
        <v>7</v>
      </c>
      <c r="AA590">
        <v>8</v>
      </c>
      <c r="AB590" t="str">
        <f t="shared" si="29"/>
        <v>Below average customer</v>
      </c>
    </row>
    <row r="591" spans="1:28" x14ac:dyDescent="0.35">
      <c r="A591">
        <v>10277</v>
      </c>
      <c r="B591">
        <v>1961</v>
      </c>
      <c r="C591" t="s">
        <v>25</v>
      </c>
      <c r="D591" t="s">
        <v>26</v>
      </c>
      <c r="E591" t="s">
        <v>27</v>
      </c>
      <c r="F591">
        <v>30081</v>
      </c>
      <c r="G591" t="str">
        <f t="shared" si="27"/>
        <v>Low</v>
      </c>
      <c r="H591">
        <v>0</v>
      </c>
      <c r="I591">
        <v>1</v>
      </c>
      <c r="J591">
        <v>1</v>
      </c>
      <c r="K591" s="1">
        <v>41326</v>
      </c>
      <c r="L591">
        <v>27</v>
      </c>
      <c r="M591" t="str">
        <f t="shared" si="28"/>
        <v>Active</v>
      </c>
      <c r="N591">
        <v>0</v>
      </c>
      <c r="O591">
        <v>36</v>
      </c>
      <c r="P591">
        <v>0</v>
      </c>
      <c r="Q591">
        <v>2</v>
      </c>
      <c r="R591">
        <v>0</v>
      </c>
      <c r="S591">
        <v>0</v>
      </c>
      <c r="T591">
        <v>4</v>
      </c>
      <c r="U591">
        <v>42</v>
      </c>
      <c r="V591">
        <v>1</v>
      </c>
      <c r="W591">
        <v>1</v>
      </c>
      <c r="X591">
        <v>0</v>
      </c>
      <c r="Y591">
        <v>3</v>
      </c>
      <c r="Z591">
        <v>4</v>
      </c>
      <c r="AA591">
        <v>7</v>
      </c>
      <c r="AB591" t="str">
        <f t="shared" si="29"/>
        <v>Below average customer</v>
      </c>
    </row>
    <row r="592" spans="1:28" x14ac:dyDescent="0.35">
      <c r="A592">
        <v>2453</v>
      </c>
      <c r="B592">
        <v>1960</v>
      </c>
      <c r="C592" t="s">
        <v>25</v>
      </c>
      <c r="D592" t="s">
        <v>26</v>
      </c>
      <c r="E592" t="s">
        <v>29</v>
      </c>
      <c r="F592">
        <v>62807</v>
      </c>
      <c r="G592" t="str">
        <f t="shared" si="27"/>
        <v>Mid-high</v>
      </c>
      <c r="H592">
        <v>0</v>
      </c>
      <c r="I592">
        <v>1</v>
      </c>
      <c r="J592">
        <v>1</v>
      </c>
      <c r="K592" s="1">
        <v>41152</v>
      </c>
      <c r="L592">
        <v>83</v>
      </c>
      <c r="M592" t="str">
        <f t="shared" si="28"/>
        <v>Inactive</v>
      </c>
      <c r="N592">
        <v>0</v>
      </c>
      <c r="O592">
        <v>526</v>
      </c>
      <c r="P592">
        <v>28</v>
      </c>
      <c r="Q592">
        <v>135</v>
      </c>
      <c r="R592">
        <v>10</v>
      </c>
      <c r="S592">
        <v>21</v>
      </c>
      <c r="T592">
        <v>99</v>
      </c>
      <c r="U592">
        <v>819</v>
      </c>
      <c r="V592">
        <v>3</v>
      </c>
      <c r="W592">
        <v>5</v>
      </c>
      <c r="X592">
        <v>3</v>
      </c>
      <c r="Y592">
        <v>12</v>
      </c>
      <c r="Z592">
        <v>20</v>
      </c>
      <c r="AA592">
        <v>5</v>
      </c>
      <c r="AB592" t="str">
        <f t="shared" si="29"/>
        <v>Below average customer</v>
      </c>
    </row>
    <row r="593" spans="1:28" x14ac:dyDescent="0.35">
      <c r="A593">
        <v>7972</v>
      </c>
      <c r="B593">
        <v>1955</v>
      </c>
      <c r="C593" t="s">
        <v>25</v>
      </c>
      <c r="D593" t="s">
        <v>26</v>
      </c>
      <c r="E593" t="s">
        <v>27</v>
      </c>
      <c r="F593">
        <v>72906</v>
      </c>
      <c r="G593" t="str">
        <f t="shared" si="27"/>
        <v>High</v>
      </c>
      <c r="H593">
        <v>0</v>
      </c>
      <c r="I593">
        <v>0</v>
      </c>
      <c r="J593">
        <v>0</v>
      </c>
      <c r="K593" s="1">
        <v>41534</v>
      </c>
      <c r="L593">
        <v>79</v>
      </c>
      <c r="M593" t="str">
        <f t="shared" si="28"/>
        <v>Inactive</v>
      </c>
      <c r="N593">
        <v>0</v>
      </c>
      <c r="O593">
        <v>400</v>
      </c>
      <c r="P593">
        <v>32</v>
      </c>
      <c r="Q593">
        <v>519</v>
      </c>
      <c r="R593">
        <v>71</v>
      </c>
      <c r="S593">
        <v>75</v>
      </c>
      <c r="T593">
        <v>54</v>
      </c>
      <c r="U593">
        <v>1151</v>
      </c>
      <c r="V593">
        <v>1</v>
      </c>
      <c r="W593">
        <v>3</v>
      </c>
      <c r="X593">
        <v>4</v>
      </c>
      <c r="Y593">
        <v>9</v>
      </c>
      <c r="Z593">
        <v>16</v>
      </c>
      <c r="AA593">
        <v>1</v>
      </c>
      <c r="AB593" t="str">
        <f t="shared" si="29"/>
        <v>Below average customer</v>
      </c>
    </row>
    <row r="594" spans="1:28" x14ac:dyDescent="0.35">
      <c r="A594">
        <v>895</v>
      </c>
      <c r="B594">
        <v>1948</v>
      </c>
      <c r="C594" t="s">
        <v>36</v>
      </c>
      <c r="D594" t="s">
        <v>32</v>
      </c>
      <c r="E594" t="s">
        <v>33</v>
      </c>
      <c r="F594">
        <v>61467</v>
      </c>
      <c r="G594" t="str">
        <f t="shared" si="27"/>
        <v>Mid-high</v>
      </c>
      <c r="H594">
        <v>0</v>
      </c>
      <c r="I594">
        <v>2</v>
      </c>
      <c r="J594">
        <v>2</v>
      </c>
      <c r="K594" s="1">
        <v>41252</v>
      </c>
      <c r="L594">
        <v>69</v>
      </c>
      <c r="M594" t="str">
        <f t="shared" si="28"/>
        <v>Inactive</v>
      </c>
      <c r="N594">
        <v>0</v>
      </c>
      <c r="O594">
        <v>410</v>
      </c>
      <c r="P594">
        <v>16</v>
      </c>
      <c r="Q594">
        <v>114</v>
      </c>
      <c r="R594">
        <v>0</v>
      </c>
      <c r="S594">
        <v>5</v>
      </c>
      <c r="T594">
        <v>49</v>
      </c>
      <c r="U594">
        <v>594</v>
      </c>
      <c r="V594">
        <v>3</v>
      </c>
      <c r="W594">
        <v>5</v>
      </c>
      <c r="X594">
        <v>2</v>
      </c>
      <c r="Y594">
        <v>10</v>
      </c>
      <c r="Z594">
        <v>17</v>
      </c>
      <c r="AA594">
        <v>5</v>
      </c>
      <c r="AB594" t="str">
        <f t="shared" si="29"/>
        <v>Below average customer</v>
      </c>
    </row>
    <row r="595" spans="1:28" x14ac:dyDescent="0.35">
      <c r="A595">
        <v>1177</v>
      </c>
      <c r="B595">
        <v>1966</v>
      </c>
      <c r="C595" t="s">
        <v>28</v>
      </c>
      <c r="D595" t="s">
        <v>34</v>
      </c>
      <c r="E595" t="s">
        <v>29</v>
      </c>
      <c r="F595">
        <v>49618</v>
      </c>
      <c r="G595" t="str">
        <f t="shared" si="27"/>
        <v>Mid-low</v>
      </c>
      <c r="H595">
        <v>1</v>
      </c>
      <c r="I595">
        <v>1</v>
      </c>
      <c r="J595">
        <v>2</v>
      </c>
      <c r="K595" s="1">
        <v>41300</v>
      </c>
      <c r="L595">
        <v>77</v>
      </c>
      <c r="M595" t="str">
        <f t="shared" si="28"/>
        <v>Inactive</v>
      </c>
      <c r="N595">
        <v>0</v>
      </c>
      <c r="O595">
        <v>80</v>
      </c>
      <c r="P595">
        <v>3</v>
      </c>
      <c r="Q595">
        <v>26</v>
      </c>
      <c r="R595">
        <v>4</v>
      </c>
      <c r="S595">
        <v>2</v>
      </c>
      <c r="T595">
        <v>14</v>
      </c>
      <c r="U595">
        <v>129</v>
      </c>
      <c r="V595">
        <v>4</v>
      </c>
      <c r="W595">
        <v>3</v>
      </c>
      <c r="X595">
        <v>1</v>
      </c>
      <c r="Y595">
        <v>3</v>
      </c>
      <c r="Z595">
        <v>7</v>
      </c>
      <c r="AA595">
        <v>7</v>
      </c>
      <c r="AB595" t="str">
        <f t="shared" si="29"/>
        <v>Below average customer</v>
      </c>
    </row>
    <row r="596" spans="1:28" x14ac:dyDescent="0.35">
      <c r="A596">
        <v>7141</v>
      </c>
      <c r="B596">
        <v>1986</v>
      </c>
      <c r="C596" t="s">
        <v>30</v>
      </c>
      <c r="D596" t="s">
        <v>34</v>
      </c>
      <c r="E596" t="s">
        <v>27</v>
      </c>
      <c r="F596">
        <v>21888</v>
      </c>
      <c r="G596" t="str">
        <f t="shared" si="27"/>
        <v>Low</v>
      </c>
      <c r="H596">
        <v>1</v>
      </c>
      <c r="I596">
        <v>0</v>
      </c>
      <c r="J596">
        <v>1</v>
      </c>
      <c r="K596" s="1">
        <v>41272</v>
      </c>
      <c r="L596">
        <v>15</v>
      </c>
      <c r="M596" t="str">
        <f t="shared" si="28"/>
        <v>Active</v>
      </c>
      <c r="N596">
        <v>0</v>
      </c>
      <c r="O596">
        <v>88</v>
      </c>
      <c r="P596">
        <v>10</v>
      </c>
      <c r="Q596">
        <v>46</v>
      </c>
      <c r="R596">
        <v>2</v>
      </c>
      <c r="S596">
        <v>3</v>
      </c>
      <c r="T596">
        <v>64</v>
      </c>
      <c r="U596">
        <v>213</v>
      </c>
      <c r="V596">
        <v>4</v>
      </c>
      <c r="W596">
        <v>5</v>
      </c>
      <c r="X596">
        <v>1</v>
      </c>
      <c r="Y596">
        <v>2</v>
      </c>
      <c r="Z596">
        <v>8</v>
      </c>
      <c r="AA596">
        <v>10</v>
      </c>
      <c r="AB596" t="str">
        <f t="shared" si="29"/>
        <v>Below average customer</v>
      </c>
    </row>
    <row r="597" spans="1:28" x14ac:dyDescent="0.35">
      <c r="A597">
        <v>8477</v>
      </c>
      <c r="B597">
        <v>1956</v>
      </c>
      <c r="C597" t="s">
        <v>25</v>
      </c>
      <c r="D597" t="s">
        <v>26</v>
      </c>
      <c r="E597" t="s">
        <v>35</v>
      </c>
      <c r="F597">
        <v>26150</v>
      </c>
      <c r="G597" t="str">
        <f t="shared" si="27"/>
        <v>Low</v>
      </c>
      <c r="H597">
        <v>2</v>
      </c>
      <c r="I597">
        <v>1</v>
      </c>
      <c r="J597">
        <v>3</v>
      </c>
      <c r="K597" s="1">
        <v>41344</v>
      </c>
      <c r="L597">
        <v>61</v>
      </c>
      <c r="M597" t="str">
        <f t="shared" si="28"/>
        <v>Inactive</v>
      </c>
      <c r="N597">
        <v>0</v>
      </c>
      <c r="O597">
        <v>5</v>
      </c>
      <c r="P597">
        <v>1</v>
      </c>
      <c r="Q597">
        <v>13</v>
      </c>
      <c r="R597">
        <v>3</v>
      </c>
      <c r="S597">
        <v>5</v>
      </c>
      <c r="T597">
        <v>1</v>
      </c>
      <c r="U597">
        <v>28</v>
      </c>
      <c r="V597">
        <v>1</v>
      </c>
      <c r="W597">
        <v>1</v>
      </c>
      <c r="X597">
        <v>0</v>
      </c>
      <c r="Y597">
        <v>3</v>
      </c>
      <c r="Z597">
        <v>4</v>
      </c>
      <c r="AA597">
        <v>7</v>
      </c>
      <c r="AB597" t="str">
        <f t="shared" si="29"/>
        <v>Below average customer</v>
      </c>
    </row>
    <row r="598" spans="1:28" x14ac:dyDescent="0.35">
      <c r="A598">
        <v>2457</v>
      </c>
      <c r="B598">
        <v>1975</v>
      </c>
      <c r="C598" t="s">
        <v>31</v>
      </c>
      <c r="D598" t="s">
        <v>37</v>
      </c>
      <c r="E598" t="s">
        <v>33</v>
      </c>
      <c r="F598">
        <v>30801</v>
      </c>
      <c r="G598" t="str">
        <f t="shared" si="27"/>
        <v>Low</v>
      </c>
      <c r="H598">
        <v>0</v>
      </c>
      <c r="I598">
        <v>1</v>
      </c>
      <c r="J598">
        <v>1</v>
      </c>
      <c r="K598" s="1">
        <v>41208</v>
      </c>
      <c r="L598">
        <v>23</v>
      </c>
      <c r="M598" t="str">
        <f t="shared" si="28"/>
        <v>Active</v>
      </c>
      <c r="N598">
        <v>0</v>
      </c>
      <c r="O598">
        <v>8</v>
      </c>
      <c r="P598">
        <v>4</v>
      </c>
      <c r="Q598">
        <v>5</v>
      </c>
      <c r="R598">
        <v>15</v>
      </c>
      <c r="S598">
        <v>2</v>
      </c>
      <c r="T598">
        <v>11</v>
      </c>
      <c r="U598">
        <v>45</v>
      </c>
      <c r="V598">
        <v>2</v>
      </c>
      <c r="W598">
        <v>1</v>
      </c>
      <c r="X598">
        <v>0</v>
      </c>
      <c r="Y598">
        <v>3</v>
      </c>
      <c r="Z598">
        <v>4</v>
      </c>
      <c r="AA598">
        <v>7</v>
      </c>
      <c r="AB598" t="str">
        <f t="shared" si="29"/>
        <v>Below average customer</v>
      </c>
    </row>
    <row r="599" spans="1:28" x14ac:dyDescent="0.35">
      <c r="A599">
        <v>988</v>
      </c>
      <c r="B599">
        <v>1965</v>
      </c>
      <c r="C599" t="s">
        <v>28</v>
      </c>
      <c r="D599" t="s">
        <v>26</v>
      </c>
      <c r="E599" t="s">
        <v>33</v>
      </c>
      <c r="F599">
        <v>81168</v>
      </c>
      <c r="G599" t="str">
        <f t="shared" si="27"/>
        <v>High</v>
      </c>
      <c r="H599">
        <v>0</v>
      </c>
      <c r="I599">
        <v>0</v>
      </c>
      <c r="J599">
        <v>0</v>
      </c>
      <c r="K599" s="1">
        <v>41766</v>
      </c>
      <c r="L599">
        <v>84</v>
      </c>
      <c r="M599" t="str">
        <f t="shared" si="28"/>
        <v>Inactive</v>
      </c>
      <c r="N599">
        <v>0</v>
      </c>
      <c r="O599">
        <v>410</v>
      </c>
      <c r="P599">
        <v>0</v>
      </c>
      <c r="Q599">
        <v>592</v>
      </c>
      <c r="R599">
        <v>147</v>
      </c>
      <c r="S599">
        <v>22</v>
      </c>
      <c r="T599">
        <v>22</v>
      </c>
      <c r="U599">
        <v>1193</v>
      </c>
      <c r="V599">
        <v>1</v>
      </c>
      <c r="W599">
        <v>6</v>
      </c>
      <c r="X599">
        <v>4</v>
      </c>
      <c r="Y599">
        <v>7</v>
      </c>
      <c r="Z599">
        <v>17</v>
      </c>
      <c r="AA599">
        <v>3</v>
      </c>
      <c r="AB599" t="str">
        <f t="shared" si="29"/>
        <v>Below average customer</v>
      </c>
    </row>
    <row r="600" spans="1:28" x14ac:dyDescent="0.35">
      <c r="A600">
        <v>7930</v>
      </c>
      <c r="B600">
        <v>1969</v>
      </c>
      <c r="C600" t="s">
        <v>28</v>
      </c>
      <c r="D600" t="s">
        <v>34</v>
      </c>
      <c r="E600" t="s">
        <v>27</v>
      </c>
      <c r="F600">
        <v>26877</v>
      </c>
      <c r="G600" t="str">
        <f t="shared" si="27"/>
        <v>Low</v>
      </c>
      <c r="H600">
        <v>0</v>
      </c>
      <c r="I600">
        <v>0</v>
      </c>
      <c r="J600">
        <v>0</v>
      </c>
      <c r="K600" s="1">
        <v>41505</v>
      </c>
      <c r="L600">
        <v>74</v>
      </c>
      <c r="M600" t="str">
        <f t="shared" si="28"/>
        <v>Inactive</v>
      </c>
      <c r="N600">
        <v>0</v>
      </c>
      <c r="O600">
        <v>101</v>
      </c>
      <c r="P600">
        <v>13</v>
      </c>
      <c r="Q600">
        <v>76</v>
      </c>
      <c r="R600">
        <v>20</v>
      </c>
      <c r="S600">
        <v>18</v>
      </c>
      <c r="T600">
        <v>40</v>
      </c>
      <c r="U600">
        <v>268</v>
      </c>
      <c r="V600">
        <v>2</v>
      </c>
      <c r="W600">
        <v>3</v>
      </c>
      <c r="X600">
        <v>1</v>
      </c>
      <c r="Y600">
        <v>6</v>
      </c>
      <c r="Z600">
        <v>10</v>
      </c>
      <c r="AA600">
        <v>6</v>
      </c>
      <c r="AB600" t="str">
        <f t="shared" si="29"/>
        <v>Below average customer</v>
      </c>
    </row>
    <row r="601" spans="1:28" x14ac:dyDescent="0.35">
      <c r="A601">
        <v>4587</v>
      </c>
      <c r="B601">
        <v>1944</v>
      </c>
      <c r="C601" t="s">
        <v>36</v>
      </c>
      <c r="D601" t="s">
        <v>34</v>
      </c>
      <c r="E601" t="s">
        <v>38</v>
      </c>
      <c r="F601">
        <v>45006</v>
      </c>
      <c r="G601" t="str">
        <f t="shared" si="27"/>
        <v>Mid-low</v>
      </c>
      <c r="H601">
        <v>0</v>
      </c>
      <c r="I601">
        <v>0</v>
      </c>
      <c r="J601">
        <v>0</v>
      </c>
      <c r="K601" s="1">
        <v>41473</v>
      </c>
      <c r="L601">
        <v>90</v>
      </c>
      <c r="M601" t="str">
        <f t="shared" si="28"/>
        <v>Inactive</v>
      </c>
      <c r="N601">
        <v>0</v>
      </c>
      <c r="O601">
        <v>162</v>
      </c>
      <c r="P601">
        <v>25</v>
      </c>
      <c r="Q601">
        <v>53</v>
      </c>
      <c r="R601">
        <v>16</v>
      </c>
      <c r="S601">
        <v>0</v>
      </c>
      <c r="T601">
        <v>10</v>
      </c>
      <c r="U601">
        <v>266</v>
      </c>
      <c r="V601">
        <v>1</v>
      </c>
      <c r="W601">
        <v>3</v>
      </c>
      <c r="X601">
        <v>1</v>
      </c>
      <c r="Y601">
        <v>7</v>
      </c>
      <c r="Z601">
        <v>11</v>
      </c>
      <c r="AA601">
        <v>3</v>
      </c>
      <c r="AB601" t="str">
        <f t="shared" si="29"/>
        <v>Below average customer</v>
      </c>
    </row>
    <row r="602" spans="1:28" x14ac:dyDescent="0.35">
      <c r="A602">
        <v>6682</v>
      </c>
      <c r="B602">
        <v>1973</v>
      </c>
      <c r="C602" t="s">
        <v>31</v>
      </c>
      <c r="D602" t="s">
        <v>37</v>
      </c>
      <c r="E602" t="s">
        <v>33</v>
      </c>
      <c r="F602">
        <v>18978</v>
      </c>
      <c r="G602" t="str">
        <f t="shared" si="27"/>
        <v>Low</v>
      </c>
      <c r="H602">
        <v>1</v>
      </c>
      <c r="I602">
        <v>0</v>
      </c>
      <c r="J602">
        <v>1</v>
      </c>
      <c r="K602" s="1">
        <v>41254</v>
      </c>
      <c r="L602">
        <v>41</v>
      </c>
      <c r="M602" t="str">
        <f t="shared" si="28"/>
        <v>Active</v>
      </c>
      <c r="N602">
        <v>0</v>
      </c>
      <c r="O602">
        <v>2</v>
      </c>
      <c r="P602">
        <v>8</v>
      </c>
      <c r="Q602">
        <v>1</v>
      </c>
      <c r="R602">
        <v>4</v>
      </c>
      <c r="S602">
        <v>7</v>
      </c>
      <c r="T602">
        <v>15</v>
      </c>
      <c r="U602">
        <v>37</v>
      </c>
      <c r="V602">
        <v>1</v>
      </c>
      <c r="W602">
        <v>1</v>
      </c>
      <c r="X602">
        <v>0</v>
      </c>
      <c r="Y602">
        <v>3</v>
      </c>
      <c r="Z602">
        <v>4</v>
      </c>
      <c r="AA602">
        <v>8</v>
      </c>
      <c r="AB602" t="str">
        <f t="shared" si="29"/>
        <v>Below average customer</v>
      </c>
    </row>
    <row r="603" spans="1:28" x14ac:dyDescent="0.35">
      <c r="A603">
        <v>10299</v>
      </c>
      <c r="B603">
        <v>1969</v>
      </c>
      <c r="C603" t="s">
        <v>28</v>
      </c>
      <c r="D603" t="s">
        <v>32</v>
      </c>
      <c r="E603" t="s">
        <v>27</v>
      </c>
      <c r="F603">
        <v>48240</v>
      </c>
      <c r="G603" t="str">
        <f t="shared" si="27"/>
        <v>Mid-low</v>
      </c>
      <c r="H603">
        <v>0</v>
      </c>
      <c r="I603">
        <v>0</v>
      </c>
      <c r="J603">
        <v>0</v>
      </c>
      <c r="K603" s="1">
        <v>41222</v>
      </c>
      <c r="L603">
        <v>73</v>
      </c>
      <c r="M603" t="str">
        <f t="shared" si="28"/>
        <v>Inactive</v>
      </c>
      <c r="N603">
        <v>0</v>
      </c>
      <c r="O603">
        <v>389</v>
      </c>
      <c r="P603">
        <v>91</v>
      </c>
      <c r="Q603">
        <v>248</v>
      </c>
      <c r="R603">
        <v>64</v>
      </c>
      <c r="S603">
        <v>49</v>
      </c>
      <c r="T603">
        <v>41</v>
      </c>
      <c r="U603">
        <v>882</v>
      </c>
      <c r="V603">
        <v>3</v>
      </c>
      <c r="W603">
        <v>6</v>
      </c>
      <c r="X603">
        <v>3</v>
      </c>
      <c r="Y603">
        <v>13</v>
      </c>
      <c r="Z603">
        <v>22</v>
      </c>
      <c r="AA603">
        <v>5</v>
      </c>
      <c r="AB603" t="str">
        <f t="shared" si="29"/>
        <v>Below average customer</v>
      </c>
    </row>
    <row r="604" spans="1:28" x14ac:dyDescent="0.35">
      <c r="A604">
        <v>3083</v>
      </c>
      <c r="B604">
        <v>1974</v>
      </c>
      <c r="C604" t="s">
        <v>31</v>
      </c>
      <c r="D604" t="s">
        <v>26</v>
      </c>
      <c r="E604" t="s">
        <v>33</v>
      </c>
      <c r="F604">
        <v>45837</v>
      </c>
      <c r="G604" t="str">
        <f t="shared" si="27"/>
        <v>Mid-low</v>
      </c>
      <c r="H604">
        <v>1</v>
      </c>
      <c r="I604">
        <v>1</v>
      </c>
      <c r="J604">
        <v>2</v>
      </c>
      <c r="K604" s="1">
        <v>41481</v>
      </c>
      <c r="L604">
        <v>88</v>
      </c>
      <c r="M604" t="str">
        <f t="shared" si="28"/>
        <v>Inactive</v>
      </c>
      <c r="N604">
        <v>0</v>
      </c>
      <c r="O604">
        <v>215</v>
      </c>
      <c r="P604">
        <v>13</v>
      </c>
      <c r="Q604">
        <v>87</v>
      </c>
      <c r="R604">
        <v>17</v>
      </c>
      <c r="S604">
        <v>17</v>
      </c>
      <c r="T604">
        <v>24</v>
      </c>
      <c r="U604">
        <v>373</v>
      </c>
      <c r="V604">
        <v>5</v>
      </c>
      <c r="W604">
        <v>6</v>
      </c>
      <c r="X604">
        <v>2</v>
      </c>
      <c r="Y604">
        <v>5</v>
      </c>
      <c r="Z604">
        <v>13</v>
      </c>
      <c r="AA604">
        <v>7</v>
      </c>
      <c r="AB604" t="str">
        <f t="shared" si="29"/>
        <v>Below average customer</v>
      </c>
    </row>
    <row r="605" spans="1:28" x14ac:dyDescent="0.35">
      <c r="A605">
        <v>8953</v>
      </c>
      <c r="B605">
        <v>1965</v>
      </c>
      <c r="C605" t="s">
        <v>28</v>
      </c>
      <c r="D605" t="s">
        <v>34</v>
      </c>
      <c r="E605" t="s">
        <v>27</v>
      </c>
      <c r="F605">
        <v>35791</v>
      </c>
      <c r="G605" t="str">
        <f t="shared" si="27"/>
        <v>Mid-low</v>
      </c>
      <c r="H605">
        <v>2</v>
      </c>
      <c r="I605">
        <v>1</v>
      </c>
      <c r="J605">
        <v>3</v>
      </c>
      <c r="K605" s="1">
        <v>41400</v>
      </c>
      <c r="L605">
        <v>94</v>
      </c>
      <c r="M605" t="str">
        <f t="shared" si="28"/>
        <v>Inactive</v>
      </c>
      <c r="N605">
        <v>0</v>
      </c>
      <c r="O605">
        <v>27</v>
      </c>
      <c r="P605">
        <v>0</v>
      </c>
      <c r="Q605">
        <v>5</v>
      </c>
      <c r="R605">
        <v>0</v>
      </c>
      <c r="S605">
        <v>0</v>
      </c>
      <c r="T605">
        <v>3</v>
      </c>
      <c r="U605">
        <v>35</v>
      </c>
      <c r="V605">
        <v>2</v>
      </c>
      <c r="W605">
        <v>1</v>
      </c>
      <c r="X605">
        <v>0</v>
      </c>
      <c r="Y605">
        <v>3</v>
      </c>
      <c r="Z605">
        <v>4</v>
      </c>
      <c r="AA605">
        <v>8</v>
      </c>
      <c r="AB605" t="str">
        <f t="shared" si="29"/>
        <v>Below average customer</v>
      </c>
    </row>
    <row r="606" spans="1:28" x14ac:dyDescent="0.35">
      <c r="A606">
        <v>1503</v>
      </c>
      <c r="B606">
        <v>1976</v>
      </c>
      <c r="C606" t="s">
        <v>31</v>
      </c>
      <c r="D606" t="s">
        <v>32</v>
      </c>
      <c r="E606" t="s">
        <v>29</v>
      </c>
      <c r="F606">
        <v>162397</v>
      </c>
      <c r="G606" t="str">
        <f t="shared" si="27"/>
        <v>High</v>
      </c>
      <c r="H606">
        <v>1</v>
      </c>
      <c r="I606">
        <v>1</v>
      </c>
      <c r="J606">
        <v>2</v>
      </c>
      <c r="K606" s="1">
        <v>41428</v>
      </c>
      <c r="L606">
        <v>31</v>
      </c>
      <c r="M606" t="str">
        <f t="shared" si="28"/>
        <v>Active</v>
      </c>
      <c r="N606">
        <v>0</v>
      </c>
      <c r="O606">
        <v>85</v>
      </c>
      <c r="P606">
        <v>1</v>
      </c>
      <c r="Q606">
        <v>16</v>
      </c>
      <c r="R606">
        <v>2</v>
      </c>
      <c r="S606">
        <v>1</v>
      </c>
      <c r="T606">
        <v>2</v>
      </c>
      <c r="U606">
        <v>107</v>
      </c>
      <c r="V606">
        <v>0</v>
      </c>
      <c r="W606">
        <v>0</v>
      </c>
      <c r="X606">
        <v>0</v>
      </c>
      <c r="Y606">
        <v>1</v>
      </c>
      <c r="Z606">
        <v>1</v>
      </c>
      <c r="AA606">
        <v>1</v>
      </c>
      <c r="AB606" t="str">
        <f t="shared" si="29"/>
        <v>Below average customer</v>
      </c>
    </row>
    <row r="607" spans="1:28" x14ac:dyDescent="0.35">
      <c r="A607">
        <v>8650</v>
      </c>
      <c r="B607">
        <v>1978</v>
      </c>
      <c r="C607" t="s">
        <v>31</v>
      </c>
      <c r="D607" t="s">
        <v>26</v>
      </c>
      <c r="E607" t="s">
        <v>38</v>
      </c>
      <c r="F607">
        <v>54162</v>
      </c>
      <c r="G607" t="str">
        <f t="shared" si="27"/>
        <v>Mid-high</v>
      </c>
      <c r="H607">
        <v>1</v>
      </c>
      <c r="I607">
        <v>1</v>
      </c>
      <c r="J607">
        <v>2</v>
      </c>
      <c r="K607" s="1">
        <v>41351</v>
      </c>
      <c r="L607">
        <v>31</v>
      </c>
      <c r="M607" t="str">
        <f t="shared" si="28"/>
        <v>Active</v>
      </c>
      <c r="N607">
        <v>0</v>
      </c>
      <c r="O607">
        <v>5</v>
      </c>
      <c r="P607">
        <v>6</v>
      </c>
      <c r="Q607">
        <v>10</v>
      </c>
      <c r="R607">
        <v>6</v>
      </c>
      <c r="S607">
        <v>5</v>
      </c>
      <c r="T607">
        <v>10</v>
      </c>
      <c r="U607">
        <v>42</v>
      </c>
      <c r="V607">
        <v>1</v>
      </c>
      <c r="W607">
        <v>1</v>
      </c>
      <c r="X607">
        <v>0</v>
      </c>
      <c r="Y607">
        <v>3</v>
      </c>
      <c r="Z607">
        <v>4</v>
      </c>
      <c r="AA607">
        <v>4</v>
      </c>
      <c r="AB607" t="str">
        <f t="shared" si="29"/>
        <v>Below average customer</v>
      </c>
    </row>
    <row r="608" spans="1:28" x14ac:dyDescent="0.35">
      <c r="A608">
        <v>10862</v>
      </c>
      <c r="B608">
        <v>1960</v>
      </c>
      <c r="C608" t="s">
        <v>25</v>
      </c>
      <c r="D608" t="s">
        <v>34</v>
      </c>
      <c r="E608" t="s">
        <v>33</v>
      </c>
      <c r="F608">
        <v>30522</v>
      </c>
      <c r="G608" t="str">
        <f t="shared" si="27"/>
        <v>Low</v>
      </c>
      <c r="H608">
        <v>0</v>
      </c>
      <c r="I608">
        <v>1</v>
      </c>
      <c r="J608">
        <v>1</v>
      </c>
      <c r="K608" s="1">
        <v>41138</v>
      </c>
      <c r="L608">
        <v>6</v>
      </c>
      <c r="M608" t="str">
        <f t="shared" si="28"/>
        <v>Active</v>
      </c>
      <c r="N608">
        <v>0</v>
      </c>
      <c r="O608">
        <v>179</v>
      </c>
      <c r="P608">
        <v>8</v>
      </c>
      <c r="Q608">
        <v>83</v>
      </c>
      <c r="R608">
        <v>19</v>
      </c>
      <c r="S608">
        <v>11</v>
      </c>
      <c r="T608">
        <v>26</v>
      </c>
      <c r="U608">
        <v>326</v>
      </c>
      <c r="V608">
        <v>5</v>
      </c>
      <c r="W608">
        <v>1</v>
      </c>
      <c r="X608">
        <v>2</v>
      </c>
      <c r="Y608">
        <v>9</v>
      </c>
      <c r="Z608">
        <v>12</v>
      </c>
      <c r="AA608">
        <v>2</v>
      </c>
      <c r="AB608" t="str">
        <f t="shared" si="29"/>
        <v>Below average customer</v>
      </c>
    </row>
    <row r="609" spans="1:28" x14ac:dyDescent="0.35">
      <c r="A609">
        <v>2782</v>
      </c>
      <c r="B609">
        <v>1961</v>
      </c>
      <c r="C609" t="s">
        <v>25</v>
      </c>
      <c r="D609" t="s">
        <v>32</v>
      </c>
      <c r="E609" t="s">
        <v>33</v>
      </c>
      <c r="F609">
        <v>54456</v>
      </c>
      <c r="G609" t="str">
        <f t="shared" si="27"/>
        <v>Mid-high</v>
      </c>
      <c r="H609">
        <v>0</v>
      </c>
      <c r="I609">
        <v>1</v>
      </c>
      <c r="J609">
        <v>1</v>
      </c>
      <c r="K609" s="1">
        <v>41466</v>
      </c>
      <c r="L609">
        <v>23</v>
      </c>
      <c r="M609" t="str">
        <f t="shared" si="28"/>
        <v>Active</v>
      </c>
      <c r="N609">
        <v>0</v>
      </c>
      <c r="O609">
        <v>352</v>
      </c>
      <c r="P609">
        <v>0</v>
      </c>
      <c r="Q609">
        <v>27</v>
      </c>
      <c r="R609">
        <v>10</v>
      </c>
      <c r="S609">
        <v>0</v>
      </c>
      <c r="T609">
        <v>15</v>
      </c>
      <c r="U609">
        <v>404</v>
      </c>
      <c r="V609">
        <v>3</v>
      </c>
      <c r="W609">
        <v>6</v>
      </c>
      <c r="X609">
        <v>1</v>
      </c>
      <c r="Y609">
        <v>7</v>
      </c>
      <c r="Z609">
        <v>14</v>
      </c>
      <c r="AA609">
        <v>6</v>
      </c>
      <c r="AB609" t="str">
        <f t="shared" si="29"/>
        <v>Below average customer</v>
      </c>
    </row>
    <row r="610" spans="1:28" x14ac:dyDescent="0.35">
      <c r="A610">
        <v>6941</v>
      </c>
      <c r="B610">
        <v>1971</v>
      </c>
      <c r="C610" t="s">
        <v>28</v>
      </c>
      <c r="D610" t="s">
        <v>26</v>
      </c>
      <c r="E610" t="s">
        <v>27</v>
      </c>
      <c r="F610">
        <v>31632</v>
      </c>
      <c r="G610" t="str">
        <f t="shared" si="27"/>
        <v>Low</v>
      </c>
      <c r="H610">
        <v>0</v>
      </c>
      <c r="I610">
        <v>0</v>
      </c>
      <c r="J610">
        <v>0</v>
      </c>
      <c r="K610" s="1">
        <v>41469</v>
      </c>
      <c r="L610">
        <v>92</v>
      </c>
      <c r="M610" t="str">
        <f t="shared" si="28"/>
        <v>Inactive</v>
      </c>
      <c r="N610">
        <v>0</v>
      </c>
      <c r="O610">
        <v>17</v>
      </c>
      <c r="P610">
        <v>8</v>
      </c>
      <c r="Q610">
        <v>12</v>
      </c>
      <c r="R610">
        <v>11</v>
      </c>
      <c r="S610">
        <v>15</v>
      </c>
      <c r="T610">
        <v>32</v>
      </c>
      <c r="U610">
        <v>95</v>
      </c>
      <c r="V610">
        <v>1</v>
      </c>
      <c r="W610">
        <v>2</v>
      </c>
      <c r="X610">
        <v>1</v>
      </c>
      <c r="Y610">
        <v>2</v>
      </c>
      <c r="Z610">
        <v>5</v>
      </c>
      <c r="AA610">
        <v>7</v>
      </c>
      <c r="AB610" t="str">
        <f t="shared" si="29"/>
        <v>Below average customer</v>
      </c>
    </row>
    <row r="611" spans="1:28" x14ac:dyDescent="0.35">
      <c r="A611">
        <v>10972</v>
      </c>
      <c r="B611">
        <v>1949</v>
      </c>
      <c r="C611" t="s">
        <v>36</v>
      </c>
      <c r="D611" t="s">
        <v>26</v>
      </c>
      <c r="E611" t="s">
        <v>38</v>
      </c>
      <c r="F611">
        <v>72298</v>
      </c>
      <c r="G611" t="str">
        <f t="shared" si="27"/>
        <v>High</v>
      </c>
      <c r="H611">
        <v>0</v>
      </c>
      <c r="I611">
        <v>0</v>
      </c>
      <c r="J611">
        <v>0</v>
      </c>
      <c r="K611" s="1">
        <v>41708</v>
      </c>
      <c r="L611">
        <v>52</v>
      </c>
      <c r="M611" t="str">
        <f t="shared" si="28"/>
        <v>Inactive</v>
      </c>
      <c r="N611">
        <v>0</v>
      </c>
      <c r="O611">
        <v>625</v>
      </c>
      <c r="P611">
        <v>35</v>
      </c>
      <c r="Q611">
        <v>169</v>
      </c>
      <c r="R611">
        <v>58</v>
      </c>
      <c r="S611">
        <v>17</v>
      </c>
      <c r="T611">
        <v>35</v>
      </c>
      <c r="U611">
        <v>939</v>
      </c>
      <c r="V611">
        <v>1</v>
      </c>
      <c r="W611">
        <v>4</v>
      </c>
      <c r="X611">
        <v>3</v>
      </c>
      <c r="Y611">
        <v>6</v>
      </c>
      <c r="Z611">
        <v>13</v>
      </c>
      <c r="AA611">
        <v>1</v>
      </c>
      <c r="AB611" t="str">
        <f t="shared" si="29"/>
        <v>Below average customer</v>
      </c>
    </row>
    <row r="612" spans="1:28" x14ac:dyDescent="0.35">
      <c r="A612">
        <v>10708</v>
      </c>
      <c r="B612">
        <v>1978</v>
      </c>
      <c r="C612" t="s">
        <v>31</v>
      </c>
      <c r="D612" t="s">
        <v>34</v>
      </c>
      <c r="E612" t="s">
        <v>27</v>
      </c>
      <c r="F612">
        <v>36975</v>
      </c>
      <c r="G612" t="str">
        <f t="shared" si="27"/>
        <v>Mid-low</v>
      </c>
      <c r="H612">
        <v>1</v>
      </c>
      <c r="I612">
        <v>0</v>
      </c>
      <c r="J612">
        <v>1</v>
      </c>
      <c r="K612" s="1">
        <v>41636</v>
      </c>
      <c r="L612">
        <v>50</v>
      </c>
      <c r="M612" t="str">
        <f t="shared" si="28"/>
        <v>Inactive</v>
      </c>
      <c r="N612">
        <v>0</v>
      </c>
      <c r="O612">
        <v>10</v>
      </c>
      <c r="P612">
        <v>6</v>
      </c>
      <c r="Q612">
        <v>11</v>
      </c>
      <c r="R612">
        <v>0</v>
      </c>
      <c r="S612">
        <v>4</v>
      </c>
      <c r="T612">
        <v>2</v>
      </c>
      <c r="U612">
        <v>33</v>
      </c>
      <c r="V612">
        <v>1</v>
      </c>
      <c r="W612">
        <v>1</v>
      </c>
      <c r="X612">
        <v>0</v>
      </c>
      <c r="Y612">
        <v>3</v>
      </c>
      <c r="Z612">
        <v>4</v>
      </c>
      <c r="AA612">
        <v>7</v>
      </c>
      <c r="AB612" t="str">
        <f t="shared" si="29"/>
        <v>Below average customer</v>
      </c>
    </row>
    <row r="613" spans="1:28" x14ac:dyDescent="0.35">
      <c r="A613">
        <v>6583</v>
      </c>
      <c r="B613">
        <v>1955</v>
      </c>
      <c r="C613" t="s">
        <v>25</v>
      </c>
      <c r="D613" t="s">
        <v>34</v>
      </c>
      <c r="E613" t="s">
        <v>33</v>
      </c>
      <c r="F613">
        <v>72635</v>
      </c>
      <c r="G613" t="str">
        <f t="shared" si="27"/>
        <v>High</v>
      </c>
      <c r="H613">
        <v>0</v>
      </c>
      <c r="I613">
        <v>0</v>
      </c>
      <c r="J613">
        <v>0</v>
      </c>
      <c r="K613" s="1">
        <v>41428</v>
      </c>
      <c r="L613">
        <v>54</v>
      </c>
      <c r="M613" t="str">
        <f t="shared" si="28"/>
        <v>Inactive</v>
      </c>
      <c r="N613">
        <v>0</v>
      </c>
      <c r="O613">
        <v>390</v>
      </c>
      <c r="P613">
        <v>22</v>
      </c>
      <c r="Q613">
        <v>323</v>
      </c>
      <c r="R613">
        <v>104</v>
      </c>
      <c r="S613">
        <v>35</v>
      </c>
      <c r="T613">
        <v>107</v>
      </c>
      <c r="U613">
        <v>981</v>
      </c>
      <c r="V613">
        <v>1</v>
      </c>
      <c r="W613">
        <v>6</v>
      </c>
      <c r="X613">
        <v>8</v>
      </c>
      <c r="Y613">
        <v>6</v>
      </c>
      <c r="Z613">
        <v>20</v>
      </c>
      <c r="AA613">
        <v>3</v>
      </c>
      <c r="AB613" t="str">
        <f t="shared" si="29"/>
        <v>Below average customer</v>
      </c>
    </row>
    <row r="614" spans="1:28" x14ac:dyDescent="0.35">
      <c r="A614">
        <v>3641</v>
      </c>
      <c r="B614">
        <v>1976</v>
      </c>
      <c r="C614" t="s">
        <v>31</v>
      </c>
      <c r="D614" t="s">
        <v>26</v>
      </c>
      <c r="E614" t="s">
        <v>33</v>
      </c>
      <c r="F614">
        <v>13624</v>
      </c>
      <c r="G614" t="str">
        <f t="shared" si="27"/>
        <v>Low</v>
      </c>
      <c r="H614">
        <v>1</v>
      </c>
      <c r="I614">
        <v>0</v>
      </c>
      <c r="J614">
        <v>1</v>
      </c>
      <c r="K614" s="1">
        <v>41294</v>
      </c>
      <c r="L614">
        <v>93</v>
      </c>
      <c r="M614" t="str">
        <f t="shared" si="28"/>
        <v>Inactive</v>
      </c>
      <c r="N614">
        <v>0</v>
      </c>
      <c r="O614">
        <v>10</v>
      </c>
      <c r="P614">
        <v>2</v>
      </c>
      <c r="Q614">
        <v>15</v>
      </c>
      <c r="R614">
        <v>2</v>
      </c>
      <c r="S614">
        <v>1</v>
      </c>
      <c r="T614">
        <v>6</v>
      </c>
      <c r="U614">
        <v>36</v>
      </c>
      <c r="V614">
        <v>2</v>
      </c>
      <c r="W614">
        <v>2</v>
      </c>
      <c r="X614">
        <v>0</v>
      </c>
      <c r="Y614">
        <v>3</v>
      </c>
      <c r="Z614">
        <v>5</v>
      </c>
      <c r="AA614">
        <v>6</v>
      </c>
      <c r="AB614" t="str">
        <f t="shared" si="29"/>
        <v>Below average customer</v>
      </c>
    </row>
    <row r="615" spans="1:28" x14ac:dyDescent="0.35">
      <c r="A615">
        <v>10156</v>
      </c>
      <c r="B615">
        <v>1975</v>
      </c>
      <c r="C615" t="s">
        <v>31</v>
      </c>
      <c r="D615" t="s">
        <v>26</v>
      </c>
      <c r="E615" t="s">
        <v>27</v>
      </c>
      <c r="F615">
        <v>84196</v>
      </c>
      <c r="G615" t="str">
        <f t="shared" si="27"/>
        <v>High</v>
      </c>
      <c r="H615">
        <v>0</v>
      </c>
      <c r="I615">
        <v>1</v>
      </c>
      <c r="J615">
        <v>1</v>
      </c>
      <c r="K615" s="1">
        <v>41428</v>
      </c>
      <c r="L615">
        <v>56</v>
      </c>
      <c r="M615" t="str">
        <f t="shared" si="28"/>
        <v>Inactive</v>
      </c>
      <c r="N615">
        <v>0</v>
      </c>
      <c r="O615">
        <v>215</v>
      </c>
      <c r="P615">
        <v>63</v>
      </c>
      <c r="Q615">
        <v>507</v>
      </c>
      <c r="R615">
        <v>231</v>
      </c>
      <c r="S615">
        <v>31</v>
      </c>
      <c r="T615">
        <v>190</v>
      </c>
      <c r="U615">
        <v>1237</v>
      </c>
      <c r="V615">
        <v>1</v>
      </c>
      <c r="W615">
        <v>8</v>
      </c>
      <c r="X615">
        <v>4</v>
      </c>
      <c r="Y615">
        <v>7</v>
      </c>
      <c r="Z615">
        <v>19</v>
      </c>
      <c r="AA615">
        <v>3</v>
      </c>
      <c r="AB615" t="str">
        <f t="shared" si="29"/>
        <v>Below average customer</v>
      </c>
    </row>
    <row r="616" spans="1:28" x14ac:dyDescent="0.35">
      <c r="A616">
        <v>4299</v>
      </c>
      <c r="B616">
        <v>1960</v>
      </c>
      <c r="C616" t="s">
        <v>25</v>
      </c>
      <c r="D616" t="s">
        <v>26</v>
      </c>
      <c r="E616" t="s">
        <v>29</v>
      </c>
      <c r="F616">
        <v>70971</v>
      </c>
      <c r="G616" t="str">
        <f t="shared" si="27"/>
        <v>High</v>
      </c>
      <c r="H616">
        <v>0</v>
      </c>
      <c r="I616">
        <v>1</v>
      </c>
      <c r="J616">
        <v>1</v>
      </c>
      <c r="K616" s="1">
        <v>41173</v>
      </c>
      <c r="L616">
        <v>28</v>
      </c>
      <c r="M616" t="str">
        <f t="shared" si="28"/>
        <v>Active</v>
      </c>
      <c r="N616">
        <v>0</v>
      </c>
      <c r="O616">
        <v>1001</v>
      </c>
      <c r="P616">
        <v>17</v>
      </c>
      <c r="Q616">
        <v>572</v>
      </c>
      <c r="R616">
        <v>93</v>
      </c>
      <c r="S616">
        <v>125</v>
      </c>
      <c r="T616">
        <v>17</v>
      </c>
      <c r="U616">
        <v>1825</v>
      </c>
      <c r="V616">
        <v>7</v>
      </c>
      <c r="W616">
        <v>11</v>
      </c>
      <c r="X616">
        <v>11</v>
      </c>
      <c r="Y616">
        <v>5</v>
      </c>
      <c r="Z616">
        <v>27</v>
      </c>
      <c r="AA616">
        <v>7</v>
      </c>
      <c r="AB616" t="str">
        <f t="shared" si="29"/>
        <v>Above average customer</v>
      </c>
    </row>
    <row r="617" spans="1:28" x14ac:dyDescent="0.35">
      <c r="A617">
        <v>3469</v>
      </c>
      <c r="B617">
        <v>1977</v>
      </c>
      <c r="C617" t="s">
        <v>31</v>
      </c>
      <c r="D617" t="s">
        <v>32</v>
      </c>
      <c r="E617" t="s">
        <v>35</v>
      </c>
      <c r="F617">
        <v>34487</v>
      </c>
      <c r="G617" t="str">
        <f t="shared" si="27"/>
        <v>Low</v>
      </c>
      <c r="H617">
        <v>1</v>
      </c>
      <c r="I617">
        <v>1</v>
      </c>
      <c r="J617">
        <v>2</v>
      </c>
      <c r="K617" s="1">
        <v>41158</v>
      </c>
      <c r="L617">
        <v>94</v>
      </c>
      <c r="M617" t="str">
        <f t="shared" si="28"/>
        <v>Inactive</v>
      </c>
      <c r="N617">
        <v>0</v>
      </c>
      <c r="O617">
        <v>19</v>
      </c>
      <c r="P617">
        <v>18</v>
      </c>
      <c r="Q617">
        <v>33</v>
      </c>
      <c r="R617">
        <v>24</v>
      </c>
      <c r="S617">
        <v>1</v>
      </c>
      <c r="T617">
        <v>8</v>
      </c>
      <c r="U617">
        <v>103</v>
      </c>
      <c r="V617">
        <v>3</v>
      </c>
      <c r="W617">
        <v>3</v>
      </c>
      <c r="X617">
        <v>0</v>
      </c>
      <c r="Y617">
        <v>3</v>
      </c>
      <c r="Z617">
        <v>6</v>
      </c>
      <c r="AA617">
        <v>9</v>
      </c>
      <c r="AB617" t="str">
        <f t="shared" si="29"/>
        <v>Below average customer</v>
      </c>
    </row>
    <row r="618" spans="1:28" x14ac:dyDescent="0.35">
      <c r="A618">
        <v>5063</v>
      </c>
      <c r="B618">
        <v>1977</v>
      </c>
      <c r="C618" t="s">
        <v>31</v>
      </c>
      <c r="D618" t="s">
        <v>26</v>
      </c>
      <c r="E618" t="s">
        <v>27</v>
      </c>
      <c r="F618">
        <v>28769</v>
      </c>
      <c r="G618" t="str">
        <f t="shared" si="27"/>
        <v>Low</v>
      </c>
      <c r="H618">
        <v>1</v>
      </c>
      <c r="I618">
        <v>0</v>
      </c>
      <c r="J618">
        <v>1</v>
      </c>
      <c r="K618" s="1">
        <v>41261</v>
      </c>
      <c r="L618">
        <v>76</v>
      </c>
      <c r="M618" t="str">
        <f t="shared" si="28"/>
        <v>Inactive</v>
      </c>
      <c r="N618">
        <v>0</v>
      </c>
      <c r="O618">
        <v>41</v>
      </c>
      <c r="P618">
        <v>5</v>
      </c>
      <c r="Q618">
        <v>129</v>
      </c>
      <c r="R618">
        <v>10</v>
      </c>
      <c r="S618">
        <v>3</v>
      </c>
      <c r="T618">
        <v>3</v>
      </c>
      <c r="U618">
        <v>191</v>
      </c>
      <c r="V618">
        <v>3</v>
      </c>
      <c r="W618">
        <v>4</v>
      </c>
      <c r="X618">
        <v>1</v>
      </c>
      <c r="Y618">
        <v>4</v>
      </c>
      <c r="Z618">
        <v>9</v>
      </c>
      <c r="AA618">
        <v>9</v>
      </c>
      <c r="AB618" t="str">
        <f t="shared" si="29"/>
        <v>Below average customer</v>
      </c>
    </row>
    <row r="619" spans="1:28" x14ac:dyDescent="0.35">
      <c r="A619">
        <v>10727</v>
      </c>
      <c r="B619">
        <v>1970</v>
      </c>
      <c r="C619" t="s">
        <v>28</v>
      </c>
      <c r="D619" t="s">
        <v>32</v>
      </c>
      <c r="E619" t="s">
        <v>33</v>
      </c>
      <c r="F619">
        <v>69084</v>
      </c>
      <c r="G619" t="str">
        <f t="shared" si="27"/>
        <v>High</v>
      </c>
      <c r="H619">
        <v>1</v>
      </c>
      <c r="I619">
        <v>0</v>
      </c>
      <c r="J619">
        <v>1</v>
      </c>
      <c r="K619" s="1">
        <v>41597</v>
      </c>
      <c r="L619">
        <v>43</v>
      </c>
      <c r="M619" t="str">
        <f t="shared" si="28"/>
        <v>Active</v>
      </c>
      <c r="N619">
        <v>0</v>
      </c>
      <c r="O619">
        <v>1181</v>
      </c>
      <c r="P619">
        <v>107</v>
      </c>
      <c r="Q619">
        <v>199</v>
      </c>
      <c r="R619">
        <v>39</v>
      </c>
      <c r="S619">
        <v>30</v>
      </c>
      <c r="T619">
        <v>30</v>
      </c>
      <c r="U619">
        <v>1586</v>
      </c>
      <c r="V619">
        <v>2</v>
      </c>
      <c r="W619">
        <v>7</v>
      </c>
      <c r="X619">
        <v>3</v>
      </c>
      <c r="Y619">
        <v>13</v>
      </c>
      <c r="Z619">
        <v>23</v>
      </c>
      <c r="AA619">
        <v>8</v>
      </c>
      <c r="AB619" t="str">
        <f t="shared" si="29"/>
        <v>Above average customer</v>
      </c>
    </row>
    <row r="620" spans="1:28" x14ac:dyDescent="0.35">
      <c r="A620">
        <v>9624</v>
      </c>
      <c r="B620">
        <v>1958</v>
      </c>
      <c r="C620" t="s">
        <v>25</v>
      </c>
      <c r="D620" t="s">
        <v>32</v>
      </c>
      <c r="E620" t="s">
        <v>29</v>
      </c>
      <c r="F620">
        <v>65488</v>
      </c>
      <c r="G620" t="str">
        <f t="shared" si="27"/>
        <v>Mid-high</v>
      </c>
      <c r="H620">
        <v>0</v>
      </c>
      <c r="I620">
        <v>0</v>
      </c>
      <c r="J620">
        <v>0</v>
      </c>
      <c r="K620" s="1">
        <v>41803</v>
      </c>
      <c r="L620">
        <v>46</v>
      </c>
      <c r="M620" t="str">
        <f t="shared" si="28"/>
        <v>Active</v>
      </c>
      <c r="N620">
        <v>0</v>
      </c>
      <c r="O620">
        <v>603</v>
      </c>
      <c r="P620">
        <v>45</v>
      </c>
      <c r="Q620">
        <v>207</v>
      </c>
      <c r="R620">
        <v>36</v>
      </c>
      <c r="S620">
        <v>18</v>
      </c>
      <c r="T620">
        <v>54</v>
      </c>
      <c r="U620">
        <v>963</v>
      </c>
      <c r="V620">
        <v>1</v>
      </c>
      <c r="W620">
        <v>3</v>
      </c>
      <c r="X620">
        <v>4</v>
      </c>
      <c r="Y620">
        <v>6</v>
      </c>
      <c r="Z620">
        <v>13</v>
      </c>
      <c r="AA620">
        <v>1</v>
      </c>
      <c r="AB620" t="str">
        <f t="shared" si="29"/>
        <v>Above average customer</v>
      </c>
    </row>
    <row r="621" spans="1:28" x14ac:dyDescent="0.35">
      <c r="A621">
        <v>4376</v>
      </c>
      <c r="B621">
        <v>1960</v>
      </c>
      <c r="C621" t="s">
        <v>25</v>
      </c>
      <c r="D621" t="s">
        <v>34</v>
      </c>
      <c r="E621" t="s">
        <v>27</v>
      </c>
      <c r="F621">
        <v>32218</v>
      </c>
      <c r="G621" t="str">
        <f t="shared" si="27"/>
        <v>Low</v>
      </c>
      <c r="H621">
        <v>0</v>
      </c>
      <c r="I621">
        <v>0</v>
      </c>
      <c r="J621">
        <v>0</v>
      </c>
      <c r="K621" s="1">
        <v>41685</v>
      </c>
      <c r="L621">
        <v>27</v>
      </c>
      <c r="M621" t="str">
        <f t="shared" si="28"/>
        <v>Active</v>
      </c>
      <c r="N621">
        <v>0</v>
      </c>
      <c r="O621">
        <v>10</v>
      </c>
      <c r="P621">
        <v>24</v>
      </c>
      <c r="Q621">
        <v>15</v>
      </c>
      <c r="R621">
        <v>13</v>
      </c>
      <c r="S621">
        <v>1</v>
      </c>
      <c r="T621">
        <v>30</v>
      </c>
      <c r="U621">
        <v>93</v>
      </c>
      <c r="V621">
        <v>1</v>
      </c>
      <c r="W621">
        <v>2</v>
      </c>
      <c r="X621">
        <v>1</v>
      </c>
      <c r="Y621">
        <v>3</v>
      </c>
      <c r="Z621">
        <v>6</v>
      </c>
      <c r="AA621">
        <v>7</v>
      </c>
      <c r="AB621" t="str">
        <f t="shared" si="29"/>
        <v>Below average customer</v>
      </c>
    </row>
    <row r="622" spans="1:28" x14ac:dyDescent="0.35">
      <c r="A622">
        <v>8923</v>
      </c>
      <c r="B622">
        <v>1973</v>
      </c>
      <c r="C622" t="s">
        <v>31</v>
      </c>
      <c r="D622" t="s">
        <v>26</v>
      </c>
      <c r="E622" t="s">
        <v>27</v>
      </c>
      <c r="F622">
        <v>83917</v>
      </c>
      <c r="G622" t="str">
        <f t="shared" si="27"/>
        <v>High</v>
      </c>
      <c r="H622">
        <v>0</v>
      </c>
      <c r="I622">
        <v>0</v>
      </c>
      <c r="J622">
        <v>0</v>
      </c>
      <c r="K622" s="1">
        <v>41382</v>
      </c>
      <c r="L622">
        <v>12</v>
      </c>
      <c r="M622" t="str">
        <f t="shared" si="28"/>
        <v>Active</v>
      </c>
      <c r="N622">
        <v>0</v>
      </c>
      <c r="O622">
        <v>514</v>
      </c>
      <c r="P622">
        <v>22</v>
      </c>
      <c r="Q622">
        <v>732</v>
      </c>
      <c r="R622">
        <v>42</v>
      </c>
      <c r="S622">
        <v>198</v>
      </c>
      <c r="T622">
        <v>79</v>
      </c>
      <c r="U622">
        <v>1587</v>
      </c>
      <c r="V622">
        <v>1</v>
      </c>
      <c r="W622">
        <v>6</v>
      </c>
      <c r="X622">
        <v>7</v>
      </c>
      <c r="Y622">
        <v>7</v>
      </c>
      <c r="Z622">
        <v>20</v>
      </c>
      <c r="AA622">
        <v>3</v>
      </c>
      <c r="AB622" t="str">
        <f t="shared" si="29"/>
        <v>Above average customer</v>
      </c>
    </row>
    <row r="623" spans="1:28" x14ac:dyDescent="0.35">
      <c r="A623">
        <v>8461</v>
      </c>
      <c r="B623">
        <v>1962</v>
      </c>
      <c r="C623" t="s">
        <v>25</v>
      </c>
      <c r="D623" t="s">
        <v>26</v>
      </c>
      <c r="E623" t="s">
        <v>35</v>
      </c>
      <c r="F623">
        <v>46102</v>
      </c>
      <c r="G623" t="str">
        <f t="shared" si="27"/>
        <v>Mid-low</v>
      </c>
      <c r="H623">
        <v>2</v>
      </c>
      <c r="I623">
        <v>1</v>
      </c>
      <c r="J623">
        <v>3</v>
      </c>
      <c r="K623" s="1">
        <v>41708</v>
      </c>
      <c r="L623">
        <v>3</v>
      </c>
      <c r="M623" t="str">
        <f t="shared" si="28"/>
        <v>Active</v>
      </c>
      <c r="N623">
        <v>0</v>
      </c>
      <c r="O623">
        <v>14</v>
      </c>
      <c r="P623">
        <v>0</v>
      </c>
      <c r="Q623">
        <v>1</v>
      </c>
      <c r="R623">
        <v>0</v>
      </c>
      <c r="S623">
        <v>0</v>
      </c>
      <c r="T623">
        <v>1</v>
      </c>
      <c r="U623">
        <v>16</v>
      </c>
      <c r="V623">
        <v>1</v>
      </c>
      <c r="W623">
        <v>1</v>
      </c>
      <c r="X623">
        <v>0</v>
      </c>
      <c r="Y623">
        <v>2</v>
      </c>
      <c r="Z623">
        <v>3</v>
      </c>
      <c r="AA623">
        <v>7</v>
      </c>
      <c r="AB623" t="str">
        <f t="shared" si="29"/>
        <v>Below average customer</v>
      </c>
    </row>
    <row r="624" spans="1:28" x14ac:dyDescent="0.35">
      <c r="A624">
        <v>6945</v>
      </c>
      <c r="B624">
        <v>1952</v>
      </c>
      <c r="C624" t="s">
        <v>36</v>
      </c>
      <c r="D624" t="s">
        <v>26</v>
      </c>
      <c r="E624" t="s">
        <v>27</v>
      </c>
      <c r="F624">
        <v>84574</v>
      </c>
      <c r="G624" t="str">
        <f t="shared" si="27"/>
        <v>High</v>
      </c>
      <c r="H624">
        <v>0</v>
      </c>
      <c r="I624">
        <v>0</v>
      </c>
      <c r="J624">
        <v>0</v>
      </c>
      <c r="K624" s="1">
        <v>41429</v>
      </c>
      <c r="L624">
        <v>72</v>
      </c>
      <c r="M624" t="str">
        <f t="shared" si="28"/>
        <v>Inactive</v>
      </c>
      <c r="N624">
        <v>0</v>
      </c>
      <c r="O624">
        <v>387</v>
      </c>
      <c r="P624">
        <v>20</v>
      </c>
      <c r="Q624">
        <v>713</v>
      </c>
      <c r="R624">
        <v>38</v>
      </c>
      <c r="S624">
        <v>54</v>
      </c>
      <c r="T624">
        <v>163</v>
      </c>
      <c r="U624">
        <v>1375</v>
      </c>
      <c r="V624">
        <v>1</v>
      </c>
      <c r="W624">
        <v>9</v>
      </c>
      <c r="X624">
        <v>11</v>
      </c>
      <c r="Y624">
        <v>11</v>
      </c>
      <c r="Z624">
        <v>31</v>
      </c>
      <c r="AA624">
        <v>5</v>
      </c>
      <c r="AB624" t="str">
        <f t="shared" si="29"/>
        <v>Below average customer</v>
      </c>
    </row>
    <row r="625" spans="1:28" x14ac:dyDescent="0.35">
      <c r="A625">
        <v>944</v>
      </c>
      <c r="B625">
        <v>1962</v>
      </c>
      <c r="C625" t="s">
        <v>25</v>
      </c>
      <c r="D625" t="s">
        <v>26</v>
      </c>
      <c r="E625" t="s">
        <v>33</v>
      </c>
      <c r="F625">
        <v>56181</v>
      </c>
      <c r="G625" t="str">
        <f t="shared" si="27"/>
        <v>Mid-high</v>
      </c>
      <c r="H625">
        <v>0</v>
      </c>
      <c r="I625">
        <v>1</v>
      </c>
      <c r="J625">
        <v>1</v>
      </c>
      <c r="K625" s="1">
        <v>41282</v>
      </c>
      <c r="L625">
        <v>6</v>
      </c>
      <c r="M625" t="str">
        <f t="shared" si="28"/>
        <v>Active</v>
      </c>
      <c r="N625">
        <v>0</v>
      </c>
      <c r="O625">
        <v>121</v>
      </c>
      <c r="P625">
        <v>103</v>
      </c>
      <c r="Q625">
        <v>69</v>
      </c>
      <c r="R625">
        <v>8</v>
      </c>
      <c r="S625">
        <v>44</v>
      </c>
      <c r="T625">
        <v>48</v>
      </c>
      <c r="U625">
        <v>393</v>
      </c>
      <c r="V625">
        <v>1</v>
      </c>
      <c r="W625">
        <v>4</v>
      </c>
      <c r="X625">
        <v>2</v>
      </c>
      <c r="Y625">
        <v>7</v>
      </c>
      <c r="Z625">
        <v>13</v>
      </c>
      <c r="AA625">
        <v>4</v>
      </c>
      <c r="AB625" t="str">
        <f t="shared" si="29"/>
        <v>Below average customer</v>
      </c>
    </row>
    <row r="626" spans="1:28" x14ac:dyDescent="0.35">
      <c r="A626">
        <v>1907</v>
      </c>
      <c r="B626">
        <v>1950</v>
      </c>
      <c r="C626" t="s">
        <v>36</v>
      </c>
      <c r="D626" t="s">
        <v>34</v>
      </c>
      <c r="E626" t="s">
        <v>35</v>
      </c>
      <c r="F626">
        <v>63120</v>
      </c>
      <c r="G626" t="str">
        <f t="shared" si="27"/>
        <v>Mid-high</v>
      </c>
      <c r="H626">
        <v>0</v>
      </c>
      <c r="I626">
        <v>1</v>
      </c>
      <c r="J626">
        <v>1</v>
      </c>
      <c r="K626" s="1">
        <v>41180</v>
      </c>
      <c r="L626">
        <v>53</v>
      </c>
      <c r="M626" t="str">
        <f t="shared" si="28"/>
        <v>Inactive</v>
      </c>
      <c r="N626">
        <v>0</v>
      </c>
      <c r="O626">
        <v>965</v>
      </c>
      <c r="P626">
        <v>69</v>
      </c>
      <c r="Q626">
        <v>279</v>
      </c>
      <c r="R626">
        <v>54</v>
      </c>
      <c r="S626">
        <v>41</v>
      </c>
      <c r="T626">
        <v>69</v>
      </c>
      <c r="U626">
        <v>1477</v>
      </c>
      <c r="V626">
        <v>5</v>
      </c>
      <c r="W626">
        <v>8</v>
      </c>
      <c r="X626">
        <v>4</v>
      </c>
      <c r="Y626">
        <v>9</v>
      </c>
      <c r="Z626">
        <v>21</v>
      </c>
      <c r="AA626">
        <v>7</v>
      </c>
      <c r="AB626" t="str">
        <f t="shared" si="29"/>
        <v>Below average customer</v>
      </c>
    </row>
    <row r="627" spans="1:28" x14ac:dyDescent="0.35">
      <c r="A627">
        <v>701</v>
      </c>
      <c r="B627">
        <v>1971</v>
      </c>
      <c r="C627" t="s">
        <v>28</v>
      </c>
      <c r="D627" t="s">
        <v>26</v>
      </c>
      <c r="E627" t="s">
        <v>33</v>
      </c>
      <c r="F627">
        <v>73691</v>
      </c>
      <c r="G627" t="str">
        <f t="shared" si="27"/>
        <v>High</v>
      </c>
      <c r="H627">
        <v>0</v>
      </c>
      <c r="I627">
        <v>1</v>
      </c>
      <c r="J627">
        <v>1</v>
      </c>
      <c r="K627" s="1">
        <v>41584</v>
      </c>
      <c r="L627">
        <v>58</v>
      </c>
      <c r="M627" t="str">
        <f t="shared" si="28"/>
        <v>Inactive</v>
      </c>
      <c r="N627">
        <v>0</v>
      </c>
      <c r="O627">
        <v>707</v>
      </c>
      <c r="P627">
        <v>21</v>
      </c>
      <c r="Q627">
        <v>250</v>
      </c>
      <c r="R627">
        <v>85</v>
      </c>
      <c r="S627">
        <v>43</v>
      </c>
      <c r="T627">
        <v>73</v>
      </c>
      <c r="U627">
        <v>1179</v>
      </c>
      <c r="V627">
        <v>2</v>
      </c>
      <c r="W627">
        <v>6</v>
      </c>
      <c r="X627">
        <v>2</v>
      </c>
      <c r="Y627">
        <v>8</v>
      </c>
      <c r="Z627">
        <v>16</v>
      </c>
      <c r="AA627">
        <v>2</v>
      </c>
      <c r="AB627" t="str">
        <f t="shared" si="29"/>
        <v>Below average customer</v>
      </c>
    </row>
    <row r="628" spans="1:28" x14ac:dyDescent="0.35">
      <c r="A628">
        <v>4149</v>
      </c>
      <c r="B628">
        <v>1948</v>
      </c>
      <c r="C628" t="s">
        <v>36</v>
      </c>
      <c r="D628" t="s">
        <v>32</v>
      </c>
      <c r="E628" t="s">
        <v>29</v>
      </c>
      <c r="F628">
        <v>76140</v>
      </c>
      <c r="G628" t="str">
        <f t="shared" si="27"/>
        <v>High</v>
      </c>
      <c r="H628">
        <v>0</v>
      </c>
      <c r="I628">
        <v>0</v>
      </c>
      <c r="J628">
        <v>0</v>
      </c>
      <c r="K628" s="1">
        <v>41772</v>
      </c>
      <c r="L628">
        <v>57</v>
      </c>
      <c r="M628" t="str">
        <f t="shared" si="28"/>
        <v>Inactive</v>
      </c>
      <c r="N628">
        <v>0</v>
      </c>
      <c r="O628">
        <v>586</v>
      </c>
      <c r="P628">
        <v>66</v>
      </c>
      <c r="Q628">
        <v>653</v>
      </c>
      <c r="R628">
        <v>17</v>
      </c>
      <c r="S628">
        <v>0</v>
      </c>
      <c r="T628">
        <v>26</v>
      </c>
      <c r="U628">
        <v>1348</v>
      </c>
      <c r="V628">
        <v>1</v>
      </c>
      <c r="W628">
        <v>5</v>
      </c>
      <c r="X628">
        <v>9</v>
      </c>
      <c r="Y628">
        <v>6</v>
      </c>
      <c r="Z628">
        <v>20</v>
      </c>
      <c r="AA628">
        <v>2</v>
      </c>
      <c r="AB628" t="str">
        <f t="shared" si="29"/>
        <v>Below average customer</v>
      </c>
    </row>
    <row r="629" spans="1:28" x14ac:dyDescent="0.35">
      <c r="A629">
        <v>2131</v>
      </c>
      <c r="B629">
        <v>1959</v>
      </c>
      <c r="C629" t="s">
        <v>25</v>
      </c>
      <c r="D629" t="s">
        <v>32</v>
      </c>
      <c r="E629" t="s">
        <v>35</v>
      </c>
      <c r="F629">
        <v>62859</v>
      </c>
      <c r="G629" t="str">
        <f t="shared" si="27"/>
        <v>Mid-high</v>
      </c>
      <c r="H629">
        <v>0</v>
      </c>
      <c r="I629">
        <v>1</v>
      </c>
      <c r="J629">
        <v>1</v>
      </c>
      <c r="K629" s="1">
        <v>41273</v>
      </c>
      <c r="L629">
        <v>37</v>
      </c>
      <c r="M629" t="str">
        <f t="shared" si="28"/>
        <v>Active</v>
      </c>
      <c r="N629">
        <v>0</v>
      </c>
      <c r="O629">
        <v>1063</v>
      </c>
      <c r="P629">
        <v>89</v>
      </c>
      <c r="Q629">
        <v>102</v>
      </c>
      <c r="R629">
        <v>16</v>
      </c>
      <c r="S629">
        <v>12</v>
      </c>
      <c r="T629">
        <v>25</v>
      </c>
      <c r="U629">
        <v>1307</v>
      </c>
      <c r="V629">
        <v>4</v>
      </c>
      <c r="W629">
        <v>9</v>
      </c>
      <c r="X629">
        <v>4</v>
      </c>
      <c r="Y629">
        <v>6</v>
      </c>
      <c r="Z629">
        <v>19</v>
      </c>
      <c r="AA629">
        <v>6</v>
      </c>
      <c r="AB629" t="str">
        <f t="shared" si="29"/>
        <v>Above average customer</v>
      </c>
    </row>
    <row r="630" spans="1:28" x14ac:dyDescent="0.35">
      <c r="A630">
        <v>2942</v>
      </c>
      <c r="B630">
        <v>1964</v>
      </c>
      <c r="C630" t="s">
        <v>28</v>
      </c>
      <c r="D630" t="s">
        <v>26</v>
      </c>
      <c r="E630" t="s">
        <v>27</v>
      </c>
      <c r="F630">
        <v>45906</v>
      </c>
      <c r="G630" t="str">
        <f t="shared" si="27"/>
        <v>Mid-low</v>
      </c>
      <c r="H630">
        <v>0</v>
      </c>
      <c r="I630">
        <v>1</v>
      </c>
      <c r="J630">
        <v>1</v>
      </c>
      <c r="K630" s="1">
        <v>41401</v>
      </c>
      <c r="L630">
        <v>20</v>
      </c>
      <c r="M630" t="str">
        <f t="shared" si="28"/>
        <v>Active</v>
      </c>
      <c r="N630">
        <v>0</v>
      </c>
      <c r="O630">
        <v>305</v>
      </c>
      <c r="P630">
        <v>3</v>
      </c>
      <c r="Q630">
        <v>27</v>
      </c>
      <c r="R630">
        <v>4</v>
      </c>
      <c r="S630">
        <v>3</v>
      </c>
      <c r="T630">
        <v>144</v>
      </c>
      <c r="U630">
        <v>486</v>
      </c>
      <c r="V630">
        <v>2</v>
      </c>
      <c r="W630">
        <v>5</v>
      </c>
      <c r="X630">
        <v>4</v>
      </c>
      <c r="Y630">
        <v>4</v>
      </c>
      <c r="Z630">
        <v>13</v>
      </c>
      <c r="AA630">
        <v>5</v>
      </c>
      <c r="AB630" t="str">
        <f t="shared" si="29"/>
        <v>Below average customer</v>
      </c>
    </row>
    <row r="631" spans="1:28" x14ac:dyDescent="0.35">
      <c r="A631">
        <v>1173</v>
      </c>
      <c r="B631">
        <v>1947</v>
      </c>
      <c r="C631" t="s">
        <v>36</v>
      </c>
      <c r="D631" t="s">
        <v>34</v>
      </c>
      <c r="E631" t="s">
        <v>29</v>
      </c>
      <c r="F631">
        <v>77632</v>
      </c>
      <c r="G631" t="str">
        <f t="shared" si="27"/>
        <v>High</v>
      </c>
      <c r="H631">
        <v>0</v>
      </c>
      <c r="I631">
        <v>0</v>
      </c>
      <c r="J631">
        <v>0</v>
      </c>
      <c r="K631" s="1">
        <v>41343</v>
      </c>
      <c r="L631">
        <v>73</v>
      </c>
      <c r="M631" t="str">
        <f t="shared" si="28"/>
        <v>Inactive</v>
      </c>
      <c r="N631">
        <v>0</v>
      </c>
      <c r="O631">
        <v>1200</v>
      </c>
      <c r="P631">
        <v>105</v>
      </c>
      <c r="Q631">
        <v>758</v>
      </c>
      <c r="R631">
        <v>0</v>
      </c>
      <c r="S631">
        <v>42</v>
      </c>
      <c r="T631">
        <v>147</v>
      </c>
      <c r="U631">
        <v>2252</v>
      </c>
      <c r="V631">
        <v>1</v>
      </c>
      <c r="W631">
        <v>4</v>
      </c>
      <c r="X631">
        <v>2</v>
      </c>
      <c r="Y631">
        <v>6</v>
      </c>
      <c r="Z631">
        <v>12</v>
      </c>
      <c r="AA631">
        <v>2</v>
      </c>
      <c r="AB631" t="str">
        <f t="shared" si="29"/>
        <v>Below average customer</v>
      </c>
    </row>
    <row r="632" spans="1:28" x14ac:dyDescent="0.35">
      <c r="A632">
        <v>4381</v>
      </c>
      <c r="B632">
        <v>1971</v>
      </c>
      <c r="C632" t="s">
        <v>28</v>
      </c>
      <c r="D632" t="s">
        <v>32</v>
      </c>
      <c r="E632" t="s">
        <v>33</v>
      </c>
      <c r="F632">
        <v>46463</v>
      </c>
      <c r="G632" t="str">
        <f t="shared" si="27"/>
        <v>Mid-low</v>
      </c>
      <c r="H632">
        <v>1</v>
      </c>
      <c r="I632">
        <v>1</v>
      </c>
      <c r="J632">
        <v>2</v>
      </c>
      <c r="K632" s="1">
        <v>41504</v>
      </c>
      <c r="L632">
        <v>56</v>
      </c>
      <c r="M632" t="str">
        <f t="shared" si="28"/>
        <v>Inactive</v>
      </c>
      <c r="N632">
        <v>0</v>
      </c>
      <c r="O632">
        <v>163</v>
      </c>
      <c r="P632">
        <v>2</v>
      </c>
      <c r="Q632">
        <v>40</v>
      </c>
      <c r="R632">
        <v>8</v>
      </c>
      <c r="S632">
        <v>11</v>
      </c>
      <c r="T632">
        <v>11</v>
      </c>
      <c r="U632">
        <v>235</v>
      </c>
      <c r="V632">
        <v>7</v>
      </c>
      <c r="W632">
        <v>3</v>
      </c>
      <c r="X632">
        <v>1</v>
      </c>
      <c r="Y632">
        <v>6</v>
      </c>
      <c r="Z632">
        <v>10</v>
      </c>
      <c r="AA632">
        <v>6</v>
      </c>
      <c r="AB632" t="str">
        <f t="shared" si="29"/>
        <v>Below average customer</v>
      </c>
    </row>
    <row r="633" spans="1:28" x14ac:dyDescent="0.35">
      <c r="A633">
        <v>4611</v>
      </c>
      <c r="B633">
        <v>1970</v>
      </c>
      <c r="C633" t="s">
        <v>28</v>
      </c>
      <c r="D633" t="s">
        <v>26</v>
      </c>
      <c r="E633" t="s">
        <v>29</v>
      </c>
      <c r="F633">
        <v>105471</v>
      </c>
      <c r="G633" t="str">
        <f t="shared" si="27"/>
        <v>High</v>
      </c>
      <c r="H633">
        <v>0</v>
      </c>
      <c r="I633">
        <v>0</v>
      </c>
      <c r="J633">
        <v>0</v>
      </c>
      <c r="K633" s="1">
        <v>41295</v>
      </c>
      <c r="L633">
        <v>36</v>
      </c>
      <c r="M633" t="str">
        <f t="shared" si="28"/>
        <v>Active</v>
      </c>
      <c r="N633">
        <v>0</v>
      </c>
      <c r="O633">
        <v>1009</v>
      </c>
      <c r="P633">
        <v>181</v>
      </c>
      <c r="Q633">
        <v>104</v>
      </c>
      <c r="R633">
        <v>202</v>
      </c>
      <c r="S633">
        <v>21</v>
      </c>
      <c r="T633">
        <v>207</v>
      </c>
      <c r="U633">
        <v>1724</v>
      </c>
      <c r="V633">
        <v>0</v>
      </c>
      <c r="W633">
        <v>9</v>
      </c>
      <c r="X633">
        <v>8</v>
      </c>
      <c r="Y633">
        <v>13</v>
      </c>
      <c r="Z633">
        <v>30</v>
      </c>
      <c r="AA633">
        <v>3</v>
      </c>
      <c r="AB633" t="str">
        <f t="shared" si="29"/>
        <v>Above average customer</v>
      </c>
    </row>
    <row r="634" spans="1:28" x14ac:dyDescent="0.35">
      <c r="A634">
        <v>3376</v>
      </c>
      <c r="B634">
        <v>1970</v>
      </c>
      <c r="C634" t="s">
        <v>28</v>
      </c>
      <c r="D634" t="s">
        <v>34</v>
      </c>
      <c r="E634" t="s">
        <v>35</v>
      </c>
      <c r="F634">
        <v>55282</v>
      </c>
      <c r="G634" t="str">
        <f t="shared" si="27"/>
        <v>Mid-high</v>
      </c>
      <c r="H634">
        <v>1</v>
      </c>
      <c r="I634">
        <v>0</v>
      </c>
      <c r="J634">
        <v>1</v>
      </c>
      <c r="K634" s="1">
        <v>41621</v>
      </c>
      <c r="L634">
        <v>9</v>
      </c>
      <c r="M634" t="str">
        <f t="shared" si="28"/>
        <v>Active</v>
      </c>
      <c r="N634">
        <v>0</v>
      </c>
      <c r="O634">
        <v>125</v>
      </c>
      <c r="P634">
        <v>6</v>
      </c>
      <c r="Q634">
        <v>73</v>
      </c>
      <c r="R634">
        <v>8</v>
      </c>
      <c r="S634">
        <v>4</v>
      </c>
      <c r="T634">
        <v>19</v>
      </c>
      <c r="U634">
        <v>235</v>
      </c>
      <c r="V634">
        <v>1</v>
      </c>
      <c r="W634">
        <v>3</v>
      </c>
      <c r="X634">
        <v>1</v>
      </c>
      <c r="Y634">
        <v>6</v>
      </c>
      <c r="Z634">
        <v>10</v>
      </c>
      <c r="AA634">
        <v>4</v>
      </c>
      <c r="AB634" t="str">
        <f t="shared" si="29"/>
        <v>Below average customer</v>
      </c>
    </row>
    <row r="635" spans="1:28" x14ac:dyDescent="0.35">
      <c r="A635">
        <v>4679</v>
      </c>
      <c r="B635">
        <v>1977</v>
      </c>
      <c r="C635" t="s">
        <v>31</v>
      </c>
      <c r="D635" t="s">
        <v>34</v>
      </c>
      <c r="E635" t="s">
        <v>33</v>
      </c>
      <c r="F635">
        <v>78710</v>
      </c>
      <c r="G635" t="str">
        <f t="shared" si="27"/>
        <v>High</v>
      </c>
      <c r="H635">
        <v>0</v>
      </c>
      <c r="I635">
        <v>1</v>
      </c>
      <c r="J635">
        <v>1</v>
      </c>
      <c r="K635" s="1">
        <v>41782</v>
      </c>
      <c r="L635">
        <v>42</v>
      </c>
      <c r="M635" t="str">
        <f t="shared" si="28"/>
        <v>Active</v>
      </c>
      <c r="N635">
        <v>0</v>
      </c>
      <c r="O635">
        <v>721</v>
      </c>
      <c r="P635">
        <v>0</v>
      </c>
      <c r="Q635">
        <v>152</v>
      </c>
      <c r="R635">
        <v>119</v>
      </c>
      <c r="S635">
        <v>50</v>
      </c>
      <c r="T635">
        <v>50</v>
      </c>
      <c r="U635">
        <v>1092</v>
      </c>
      <c r="V635">
        <v>3</v>
      </c>
      <c r="W635">
        <v>7</v>
      </c>
      <c r="X635">
        <v>6</v>
      </c>
      <c r="Y635">
        <v>12</v>
      </c>
      <c r="Z635">
        <v>25</v>
      </c>
      <c r="AA635">
        <v>4</v>
      </c>
      <c r="AB635" t="str">
        <f t="shared" si="29"/>
        <v>Above average customer</v>
      </c>
    </row>
    <row r="636" spans="1:28" x14ac:dyDescent="0.35">
      <c r="A636">
        <v>10928</v>
      </c>
      <c r="B636">
        <v>1958</v>
      </c>
      <c r="C636" t="s">
        <v>25</v>
      </c>
      <c r="D636" t="s">
        <v>26</v>
      </c>
      <c r="E636" t="s">
        <v>29</v>
      </c>
      <c r="F636">
        <v>66886</v>
      </c>
      <c r="G636" t="str">
        <f t="shared" si="27"/>
        <v>Mid-high</v>
      </c>
      <c r="H636">
        <v>0</v>
      </c>
      <c r="I636">
        <v>1</v>
      </c>
      <c r="J636">
        <v>1</v>
      </c>
      <c r="K636" s="1">
        <v>41533</v>
      </c>
      <c r="L636">
        <v>28</v>
      </c>
      <c r="M636" t="str">
        <f t="shared" si="28"/>
        <v>Active</v>
      </c>
      <c r="N636">
        <v>0</v>
      </c>
      <c r="O636">
        <v>315</v>
      </c>
      <c r="P636">
        <v>4</v>
      </c>
      <c r="Q636">
        <v>62</v>
      </c>
      <c r="R636">
        <v>41</v>
      </c>
      <c r="S636">
        <v>31</v>
      </c>
      <c r="T636">
        <v>146</v>
      </c>
      <c r="U636">
        <v>599</v>
      </c>
      <c r="V636">
        <v>2</v>
      </c>
      <c r="W636">
        <v>7</v>
      </c>
      <c r="X636">
        <v>1</v>
      </c>
      <c r="Y636">
        <v>7</v>
      </c>
      <c r="Z636">
        <v>15</v>
      </c>
      <c r="AA636">
        <v>5</v>
      </c>
      <c r="AB636" t="str">
        <f t="shared" si="29"/>
        <v>Below average customer</v>
      </c>
    </row>
    <row r="637" spans="1:28" x14ac:dyDescent="0.35">
      <c r="A637">
        <v>4248</v>
      </c>
      <c r="B637">
        <v>1960</v>
      </c>
      <c r="C637" t="s">
        <v>25</v>
      </c>
      <c r="D637" t="s">
        <v>34</v>
      </c>
      <c r="E637" t="s">
        <v>27</v>
      </c>
      <c r="F637">
        <v>98777</v>
      </c>
      <c r="G637" t="str">
        <f t="shared" si="27"/>
        <v>High</v>
      </c>
      <c r="H637">
        <v>0</v>
      </c>
      <c r="I637">
        <v>0</v>
      </c>
      <c r="J637">
        <v>0</v>
      </c>
      <c r="K637" s="1">
        <v>41687</v>
      </c>
      <c r="L637">
        <v>23</v>
      </c>
      <c r="M637" t="str">
        <f t="shared" si="28"/>
        <v>Active</v>
      </c>
      <c r="N637">
        <v>0</v>
      </c>
      <c r="O637">
        <v>1000</v>
      </c>
      <c r="P637">
        <v>19</v>
      </c>
      <c r="Q637">
        <v>711</v>
      </c>
      <c r="R637">
        <v>125</v>
      </c>
      <c r="S637">
        <v>115</v>
      </c>
      <c r="T637">
        <v>38</v>
      </c>
      <c r="U637">
        <v>2008</v>
      </c>
      <c r="V637">
        <v>0</v>
      </c>
      <c r="W637">
        <v>4</v>
      </c>
      <c r="X637">
        <v>6</v>
      </c>
      <c r="Y637">
        <v>9</v>
      </c>
      <c r="Z637">
        <v>19</v>
      </c>
      <c r="AA637">
        <v>1</v>
      </c>
      <c r="AB637" t="str">
        <f t="shared" si="29"/>
        <v>Above average customer</v>
      </c>
    </row>
    <row r="638" spans="1:28" x14ac:dyDescent="0.35">
      <c r="A638">
        <v>6728</v>
      </c>
      <c r="B638">
        <v>1985</v>
      </c>
      <c r="C638" t="s">
        <v>30</v>
      </c>
      <c r="D638" t="s">
        <v>26</v>
      </c>
      <c r="E638" t="s">
        <v>29</v>
      </c>
      <c r="F638">
        <v>29103</v>
      </c>
      <c r="G638" t="str">
        <f t="shared" si="27"/>
        <v>Low</v>
      </c>
      <c r="H638">
        <v>1</v>
      </c>
      <c r="I638">
        <v>0</v>
      </c>
      <c r="J638">
        <v>1</v>
      </c>
      <c r="K638" s="1">
        <v>41148</v>
      </c>
      <c r="L638">
        <v>38</v>
      </c>
      <c r="M638" t="str">
        <f t="shared" si="28"/>
        <v>Active</v>
      </c>
      <c r="N638">
        <v>0</v>
      </c>
      <c r="O638">
        <v>16</v>
      </c>
      <c r="P638">
        <v>0</v>
      </c>
      <c r="Q638">
        <v>17</v>
      </c>
      <c r="R638">
        <v>6</v>
      </c>
      <c r="S638">
        <v>3</v>
      </c>
      <c r="T638">
        <v>6</v>
      </c>
      <c r="U638">
        <v>48</v>
      </c>
      <c r="V638">
        <v>2</v>
      </c>
      <c r="W638">
        <v>1</v>
      </c>
      <c r="X638">
        <v>0</v>
      </c>
      <c r="Y638">
        <v>3</v>
      </c>
      <c r="Z638">
        <v>4</v>
      </c>
      <c r="AA638">
        <v>9</v>
      </c>
      <c r="AB638" t="str">
        <f t="shared" si="29"/>
        <v>Below average customer</v>
      </c>
    </row>
    <row r="639" spans="1:28" x14ac:dyDescent="0.35">
      <c r="A639">
        <v>6661</v>
      </c>
      <c r="B639">
        <v>1974</v>
      </c>
      <c r="C639" t="s">
        <v>31</v>
      </c>
      <c r="D639" t="s">
        <v>26</v>
      </c>
      <c r="E639" t="s">
        <v>33</v>
      </c>
      <c r="F639">
        <v>67445</v>
      </c>
      <c r="G639" t="str">
        <f t="shared" si="27"/>
        <v>Mid-high</v>
      </c>
      <c r="H639">
        <v>0</v>
      </c>
      <c r="I639">
        <v>1</v>
      </c>
      <c r="J639">
        <v>1</v>
      </c>
      <c r="K639" s="1">
        <v>41133</v>
      </c>
      <c r="L639">
        <v>63</v>
      </c>
      <c r="M639" t="str">
        <f t="shared" si="28"/>
        <v>Inactive</v>
      </c>
      <c r="N639">
        <v>0</v>
      </c>
      <c r="O639">
        <v>757</v>
      </c>
      <c r="P639">
        <v>80</v>
      </c>
      <c r="Q639">
        <v>217</v>
      </c>
      <c r="R639">
        <v>29</v>
      </c>
      <c r="S639">
        <v>80</v>
      </c>
      <c r="T639">
        <v>11</v>
      </c>
      <c r="U639">
        <v>1174</v>
      </c>
      <c r="V639">
        <v>5</v>
      </c>
      <c r="W639">
        <v>9</v>
      </c>
      <c r="X639">
        <v>6</v>
      </c>
      <c r="Y639">
        <v>12</v>
      </c>
      <c r="Z639">
        <v>27</v>
      </c>
      <c r="AA639">
        <v>6</v>
      </c>
      <c r="AB639" t="str">
        <f t="shared" si="29"/>
        <v>Below average customer</v>
      </c>
    </row>
    <row r="640" spans="1:28" x14ac:dyDescent="0.35">
      <c r="A640">
        <v>4725</v>
      </c>
      <c r="B640">
        <v>1950</v>
      </c>
      <c r="C640" t="s">
        <v>36</v>
      </c>
      <c r="D640" t="s">
        <v>32</v>
      </c>
      <c r="E640" t="s">
        <v>29</v>
      </c>
      <c r="F640">
        <v>50616</v>
      </c>
      <c r="G640" t="str">
        <f t="shared" si="27"/>
        <v>Mid-low</v>
      </c>
      <c r="H640">
        <v>0</v>
      </c>
      <c r="I640">
        <v>1</v>
      </c>
      <c r="J640">
        <v>1</v>
      </c>
      <c r="K640" s="1">
        <v>41742</v>
      </c>
      <c r="L640">
        <v>71</v>
      </c>
      <c r="M640" t="str">
        <f t="shared" si="28"/>
        <v>Inactive</v>
      </c>
      <c r="N640">
        <v>0</v>
      </c>
      <c r="O640">
        <v>30</v>
      </c>
      <c r="P640">
        <v>2</v>
      </c>
      <c r="Q640">
        <v>25</v>
      </c>
      <c r="R640">
        <v>0</v>
      </c>
      <c r="S640">
        <v>1</v>
      </c>
      <c r="T640">
        <v>9</v>
      </c>
      <c r="U640">
        <v>67</v>
      </c>
      <c r="V640">
        <v>1</v>
      </c>
      <c r="W640">
        <v>1</v>
      </c>
      <c r="X640">
        <v>1</v>
      </c>
      <c r="Y640">
        <v>4</v>
      </c>
      <c r="Z640">
        <v>6</v>
      </c>
      <c r="AA640">
        <v>2</v>
      </c>
      <c r="AB640" t="str">
        <f t="shared" si="29"/>
        <v>Below average customer</v>
      </c>
    </row>
    <row r="641" spans="1:28" x14ac:dyDescent="0.35">
      <c r="A641">
        <v>3277</v>
      </c>
      <c r="B641">
        <v>1955</v>
      </c>
      <c r="C641" t="s">
        <v>25</v>
      </c>
      <c r="D641" t="s">
        <v>26</v>
      </c>
      <c r="E641" t="s">
        <v>35</v>
      </c>
      <c r="F641">
        <v>49431</v>
      </c>
      <c r="G641" t="str">
        <f t="shared" si="27"/>
        <v>Mid-low</v>
      </c>
      <c r="H641">
        <v>0</v>
      </c>
      <c r="I641">
        <v>1</v>
      </c>
      <c r="J641">
        <v>1</v>
      </c>
      <c r="K641" s="1">
        <v>41124</v>
      </c>
      <c r="L641">
        <v>9</v>
      </c>
      <c r="M641" t="str">
        <f t="shared" si="28"/>
        <v>Active</v>
      </c>
      <c r="N641">
        <v>0</v>
      </c>
      <c r="O641">
        <v>219</v>
      </c>
      <c r="P641">
        <v>3</v>
      </c>
      <c r="Q641">
        <v>100</v>
      </c>
      <c r="R641">
        <v>26</v>
      </c>
      <c r="S641">
        <v>0</v>
      </c>
      <c r="T641">
        <v>17</v>
      </c>
      <c r="U641">
        <v>365</v>
      </c>
      <c r="V641">
        <v>2</v>
      </c>
      <c r="W641">
        <v>7</v>
      </c>
      <c r="X641">
        <v>1</v>
      </c>
      <c r="Y641">
        <v>5</v>
      </c>
      <c r="Z641">
        <v>13</v>
      </c>
      <c r="AA641">
        <v>8</v>
      </c>
      <c r="AB641" t="str">
        <f t="shared" si="29"/>
        <v>Below average customer</v>
      </c>
    </row>
    <row r="642" spans="1:28" x14ac:dyDescent="0.35">
      <c r="A642">
        <v>5555</v>
      </c>
      <c r="B642">
        <v>1975</v>
      </c>
      <c r="C642" t="s">
        <v>31</v>
      </c>
      <c r="D642" t="s">
        <v>26</v>
      </c>
      <c r="E642" t="s">
        <v>35</v>
      </c>
      <c r="F642">
        <v>153924</v>
      </c>
      <c r="G642" t="str">
        <f t="shared" ref="G642:G705" si="30">IF(F642&lt;=_xlfn.PERCENTILE.INC($F$2:$F$2056,0.25),"Low",IF(F642&lt;=_xlfn.PERCENTILE.INC($F$2:$F$2056,0.5),"Mid-low",IF(F642&lt;=_xlfn.PERCENTILE.INC($F$2:$F$2056,0.75),"Mid-high","High")))</f>
        <v>High</v>
      </c>
      <c r="H642">
        <v>0</v>
      </c>
      <c r="I642">
        <v>0</v>
      </c>
      <c r="J642">
        <v>0</v>
      </c>
      <c r="K642" s="1">
        <v>41677</v>
      </c>
      <c r="L642">
        <v>81</v>
      </c>
      <c r="M642" t="str">
        <f t="shared" ref="M642:M705" si="31">IF(L642&gt;AVERAGE($L$2:$L$2056),"Inactive","Active")</f>
        <v>Inactive</v>
      </c>
      <c r="N642">
        <v>0</v>
      </c>
      <c r="O642">
        <v>1</v>
      </c>
      <c r="P642">
        <v>1</v>
      </c>
      <c r="Q642">
        <v>1</v>
      </c>
      <c r="R642">
        <v>1</v>
      </c>
      <c r="S642">
        <v>1</v>
      </c>
      <c r="T642">
        <v>1</v>
      </c>
      <c r="U642">
        <v>6</v>
      </c>
      <c r="V642">
        <v>0</v>
      </c>
      <c r="W642">
        <v>0</v>
      </c>
      <c r="X642">
        <v>0</v>
      </c>
      <c r="Y642">
        <v>0</v>
      </c>
      <c r="Z642">
        <v>0</v>
      </c>
      <c r="AA642">
        <v>0</v>
      </c>
      <c r="AB642" t="str">
        <f t="shared" ref="AB642:AB705" si="32">IF(AND(Z642&gt;AVERAGE($Z$2:$Z$2056),U642&gt;AVERAGE($U$2:$U$2056),N642=0,L642&lt;AVERAGE($L$2:$L$2056),F642&gt;AVERAGE($F$2:$F$2240)),"Above average customer","Below average customer")</f>
        <v>Below average customer</v>
      </c>
    </row>
    <row r="643" spans="1:28" x14ac:dyDescent="0.35">
      <c r="A643">
        <v>2564</v>
      </c>
      <c r="B643">
        <v>1953</v>
      </c>
      <c r="C643" t="s">
        <v>25</v>
      </c>
      <c r="D643" t="s">
        <v>26</v>
      </c>
      <c r="E643" t="s">
        <v>29</v>
      </c>
      <c r="F643">
        <v>61278</v>
      </c>
      <c r="G643" t="str">
        <f t="shared" si="30"/>
        <v>Mid-high</v>
      </c>
      <c r="H643">
        <v>0</v>
      </c>
      <c r="I643">
        <v>1</v>
      </c>
      <c r="J643">
        <v>1</v>
      </c>
      <c r="K643" s="1">
        <v>41643</v>
      </c>
      <c r="L643">
        <v>87</v>
      </c>
      <c r="M643" t="str">
        <f t="shared" si="31"/>
        <v>Inactive</v>
      </c>
      <c r="N643">
        <v>0</v>
      </c>
      <c r="O643">
        <v>111</v>
      </c>
      <c r="P643">
        <v>3</v>
      </c>
      <c r="Q643">
        <v>28</v>
      </c>
      <c r="R643">
        <v>2</v>
      </c>
      <c r="S643">
        <v>6</v>
      </c>
      <c r="T643">
        <v>15</v>
      </c>
      <c r="U643">
        <v>165</v>
      </c>
      <c r="V643">
        <v>2</v>
      </c>
      <c r="W643">
        <v>3</v>
      </c>
      <c r="X643">
        <v>1</v>
      </c>
      <c r="Y643">
        <v>4</v>
      </c>
      <c r="Z643">
        <v>8</v>
      </c>
      <c r="AA643">
        <v>6</v>
      </c>
      <c r="AB643" t="str">
        <f t="shared" si="32"/>
        <v>Below average customer</v>
      </c>
    </row>
    <row r="644" spans="1:28" x14ac:dyDescent="0.35">
      <c r="A644">
        <v>3867</v>
      </c>
      <c r="B644">
        <v>1947</v>
      </c>
      <c r="C644" t="s">
        <v>36</v>
      </c>
      <c r="D644" t="s">
        <v>32</v>
      </c>
      <c r="E644" t="s">
        <v>29</v>
      </c>
      <c r="F644">
        <v>73059</v>
      </c>
      <c r="G644" t="str">
        <f t="shared" si="30"/>
        <v>High</v>
      </c>
      <c r="H644">
        <v>0</v>
      </c>
      <c r="I644">
        <v>1</v>
      </c>
      <c r="J644">
        <v>1</v>
      </c>
      <c r="K644" s="1">
        <v>41517</v>
      </c>
      <c r="L644">
        <v>36</v>
      </c>
      <c r="M644" t="str">
        <f t="shared" si="31"/>
        <v>Active</v>
      </c>
      <c r="N644">
        <v>0</v>
      </c>
      <c r="O644">
        <v>410</v>
      </c>
      <c r="P644">
        <v>112</v>
      </c>
      <c r="Q644">
        <v>420</v>
      </c>
      <c r="R644">
        <v>0</v>
      </c>
      <c r="S644">
        <v>82</v>
      </c>
      <c r="T644">
        <v>71</v>
      </c>
      <c r="U644">
        <v>1095</v>
      </c>
      <c r="V644">
        <v>1</v>
      </c>
      <c r="W644">
        <v>9</v>
      </c>
      <c r="X644">
        <v>3</v>
      </c>
      <c r="Y644">
        <v>13</v>
      </c>
      <c r="Z644">
        <v>25</v>
      </c>
      <c r="AA644">
        <v>4</v>
      </c>
      <c r="AB644" t="str">
        <f t="shared" si="32"/>
        <v>Above average customer</v>
      </c>
    </row>
    <row r="645" spans="1:28" x14ac:dyDescent="0.35">
      <c r="A645">
        <v>6940</v>
      </c>
      <c r="B645">
        <v>1966</v>
      </c>
      <c r="C645" t="s">
        <v>28</v>
      </c>
      <c r="D645" t="s">
        <v>32</v>
      </c>
      <c r="E645" t="s">
        <v>27</v>
      </c>
      <c r="F645">
        <v>46734</v>
      </c>
      <c r="G645" t="str">
        <f t="shared" si="30"/>
        <v>Mid-low</v>
      </c>
      <c r="H645">
        <v>1</v>
      </c>
      <c r="I645">
        <v>2</v>
      </c>
      <c r="J645">
        <v>3</v>
      </c>
      <c r="K645" s="1">
        <v>41568</v>
      </c>
      <c r="L645">
        <v>86</v>
      </c>
      <c r="M645" t="str">
        <f t="shared" si="31"/>
        <v>Inactive</v>
      </c>
      <c r="N645">
        <v>0</v>
      </c>
      <c r="O645">
        <v>100</v>
      </c>
      <c r="P645">
        <v>1</v>
      </c>
      <c r="Q645">
        <v>39</v>
      </c>
      <c r="R645">
        <v>6</v>
      </c>
      <c r="S645">
        <v>1</v>
      </c>
      <c r="T645">
        <v>76</v>
      </c>
      <c r="U645">
        <v>223</v>
      </c>
      <c r="V645">
        <v>4</v>
      </c>
      <c r="W645">
        <v>3</v>
      </c>
      <c r="X645">
        <v>2</v>
      </c>
      <c r="Y645">
        <v>3</v>
      </c>
      <c r="Z645">
        <v>8</v>
      </c>
      <c r="AA645">
        <v>6</v>
      </c>
      <c r="AB645" t="str">
        <f t="shared" si="32"/>
        <v>Below average customer</v>
      </c>
    </row>
    <row r="646" spans="1:28" x14ac:dyDescent="0.35">
      <c r="A646">
        <v>55</v>
      </c>
      <c r="B646">
        <v>1963</v>
      </c>
      <c r="C646" t="s">
        <v>28</v>
      </c>
      <c r="D646" t="s">
        <v>26</v>
      </c>
      <c r="E646" t="s">
        <v>29</v>
      </c>
      <c r="F646">
        <v>56253</v>
      </c>
      <c r="G646" t="str">
        <f t="shared" si="30"/>
        <v>Mid-high</v>
      </c>
      <c r="H646">
        <v>0</v>
      </c>
      <c r="I646">
        <v>1</v>
      </c>
      <c r="J646">
        <v>1</v>
      </c>
      <c r="K646" s="1">
        <v>41250</v>
      </c>
      <c r="L646">
        <v>83</v>
      </c>
      <c r="M646" t="str">
        <f t="shared" si="31"/>
        <v>Inactive</v>
      </c>
      <c r="N646">
        <v>0</v>
      </c>
      <c r="O646">
        <v>509</v>
      </c>
      <c r="P646">
        <v>0</v>
      </c>
      <c r="Q646">
        <v>65</v>
      </c>
      <c r="R646">
        <v>7</v>
      </c>
      <c r="S646">
        <v>11</v>
      </c>
      <c r="T646">
        <v>5</v>
      </c>
      <c r="U646">
        <v>597</v>
      </c>
      <c r="V646">
        <v>4</v>
      </c>
      <c r="W646">
        <v>7</v>
      </c>
      <c r="X646">
        <v>2</v>
      </c>
      <c r="Y646">
        <v>9</v>
      </c>
      <c r="Z646">
        <v>18</v>
      </c>
      <c r="AA646">
        <v>6</v>
      </c>
      <c r="AB646" t="str">
        <f t="shared" si="32"/>
        <v>Below average customer</v>
      </c>
    </row>
    <row r="647" spans="1:28" x14ac:dyDescent="0.35">
      <c r="A647">
        <v>5084</v>
      </c>
      <c r="B647">
        <v>1975</v>
      </c>
      <c r="C647" t="s">
        <v>31</v>
      </c>
      <c r="D647" t="s">
        <v>26</v>
      </c>
      <c r="E647" t="s">
        <v>38</v>
      </c>
      <c r="F647">
        <v>58330</v>
      </c>
      <c r="G647" t="str">
        <f t="shared" si="30"/>
        <v>Mid-high</v>
      </c>
      <c r="H647">
        <v>0</v>
      </c>
      <c r="I647">
        <v>1</v>
      </c>
      <c r="J647">
        <v>1</v>
      </c>
      <c r="K647" s="1">
        <v>41633</v>
      </c>
      <c r="L647">
        <v>87</v>
      </c>
      <c r="M647" t="str">
        <f t="shared" si="31"/>
        <v>Inactive</v>
      </c>
      <c r="N647">
        <v>0</v>
      </c>
      <c r="O647">
        <v>445</v>
      </c>
      <c r="P647">
        <v>53</v>
      </c>
      <c r="Q647">
        <v>213</v>
      </c>
      <c r="R647">
        <v>104</v>
      </c>
      <c r="S647">
        <v>98</v>
      </c>
      <c r="T647">
        <v>151</v>
      </c>
      <c r="U647">
        <v>1064</v>
      </c>
      <c r="V647">
        <v>1</v>
      </c>
      <c r="W647">
        <v>6</v>
      </c>
      <c r="X647">
        <v>4</v>
      </c>
      <c r="Y647">
        <v>13</v>
      </c>
      <c r="Z647">
        <v>23</v>
      </c>
      <c r="AA647">
        <v>4</v>
      </c>
      <c r="AB647" t="str">
        <f t="shared" si="32"/>
        <v>Below average customer</v>
      </c>
    </row>
    <row r="648" spans="1:28" x14ac:dyDescent="0.35">
      <c r="A648">
        <v>1777</v>
      </c>
      <c r="B648">
        <v>1980</v>
      </c>
      <c r="C648" t="s">
        <v>31</v>
      </c>
      <c r="D648" t="s">
        <v>37</v>
      </c>
      <c r="E648" t="s">
        <v>33</v>
      </c>
      <c r="F648">
        <v>25965</v>
      </c>
      <c r="G648" t="str">
        <f t="shared" si="30"/>
        <v>Low</v>
      </c>
      <c r="H648">
        <v>0</v>
      </c>
      <c r="I648">
        <v>0</v>
      </c>
      <c r="J648">
        <v>0</v>
      </c>
      <c r="K648" s="1">
        <v>41159</v>
      </c>
      <c r="L648">
        <v>29</v>
      </c>
      <c r="M648" t="str">
        <f t="shared" si="31"/>
        <v>Active</v>
      </c>
      <c r="N648">
        <v>0</v>
      </c>
      <c r="O648">
        <v>2</v>
      </c>
      <c r="P648">
        <v>2</v>
      </c>
      <c r="Q648">
        <v>11</v>
      </c>
      <c r="R648">
        <v>41</v>
      </c>
      <c r="S648">
        <v>7</v>
      </c>
      <c r="T648">
        <v>11</v>
      </c>
      <c r="U648">
        <v>74</v>
      </c>
      <c r="V648">
        <v>1</v>
      </c>
      <c r="W648">
        <v>2</v>
      </c>
      <c r="X648">
        <v>0</v>
      </c>
      <c r="Y648">
        <v>3</v>
      </c>
      <c r="Z648">
        <v>5</v>
      </c>
      <c r="AA648">
        <v>8</v>
      </c>
      <c r="AB648" t="str">
        <f t="shared" si="32"/>
        <v>Below average customer</v>
      </c>
    </row>
    <row r="649" spans="1:28" x14ac:dyDescent="0.35">
      <c r="A649">
        <v>8162</v>
      </c>
      <c r="B649">
        <v>1956</v>
      </c>
      <c r="C649" t="s">
        <v>25</v>
      </c>
      <c r="D649" t="s">
        <v>34</v>
      </c>
      <c r="E649" t="s">
        <v>29</v>
      </c>
      <c r="F649">
        <v>14661</v>
      </c>
      <c r="G649" t="str">
        <f t="shared" si="30"/>
        <v>Low</v>
      </c>
      <c r="H649">
        <v>0</v>
      </c>
      <c r="I649">
        <v>0</v>
      </c>
      <c r="J649">
        <v>0</v>
      </c>
      <c r="K649" s="1">
        <v>41275</v>
      </c>
      <c r="L649">
        <v>88</v>
      </c>
      <c r="M649" t="str">
        <f t="shared" si="31"/>
        <v>Inactive</v>
      </c>
      <c r="N649">
        <v>0</v>
      </c>
      <c r="O649">
        <v>4</v>
      </c>
      <c r="P649">
        <v>1</v>
      </c>
      <c r="Q649">
        <v>11</v>
      </c>
      <c r="R649">
        <v>6</v>
      </c>
      <c r="S649">
        <v>2</v>
      </c>
      <c r="T649">
        <v>2</v>
      </c>
      <c r="U649">
        <v>26</v>
      </c>
      <c r="V649">
        <v>1</v>
      </c>
      <c r="W649">
        <v>1</v>
      </c>
      <c r="X649">
        <v>0</v>
      </c>
      <c r="Y649">
        <v>3</v>
      </c>
      <c r="Z649">
        <v>4</v>
      </c>
      <c r="AA649">
        <v>6</v>
      </c>
      <c r="AB649" t="str">
        <f t="shared" si="32"/>
        <v>Below average customer</v>
      </c>
    </row>
    <row r="650" spans="1:28" x14ac:dyDescent="0.35">
      <c r="A650">
        <v>10826</v>
      </c>
      <c r="B650">
        <v>1959</v>
      </c>
      <c r="C650" t="s">
        <v>25</v>
      </c>
      <c r="D650" t="s">
        <v>26</v>
      </c>
      <c r="E650" t="s">
        <v>33</v>
      </c>
      <c r="F650">
        <v>18690</v>
      </c>
      <c r="G650" t="str">
        <f t="shared" si="30"/>
        <v>Low</v>
      </c>
      <c r="H650">
        <v>0</v>
      </c>
      <c r="I650">
        <v>0</v>
      </c>
      <c r="J650">
        <v>0</v>
      </c>
      <c r="K650" s="1">
        <v>41271</v>
      </c>
      <c r="L650">
        <v>77</v>
      </c>
      <c r="M650" t="str">
        <f t="shared" si="31"/>
        <v>Inactive</v>
      </c>
      <c r="N650">
        <v>0</v>
      </c>
      <c r="O650">
        <v>6</v>
      </c>
      <c r="P650">
        <v>1</v>
      </c>
      <c r="Q650">
        <v>7</v>
      </c>
      <c r="R650">
        <v>23</v>
      </c>
      <c r="S650">
        <v>4</v>
      </c>
      <c r="T650">
        <v>19</v>
      </c>
      <c r="U650">
        <v>60</v>
      </c>
      <c r="V650">
        <v>1</v>
      </c>
      <c r="W650">
        <v>1</v>
      </c>
      <c r="X650">
        <v>1</v>
      </c>
      <c r="Y650">
        <v>2</v>
      </c>
      <c r="Z650">
        <v>4</v>
      </c>
      <c r="AA650">
        <v>8</v>
      </c>
      <c r="AB650" t="str">
        <f t="shared" si="32"/>
        <v>Below average customer</v>
      </c>
    </row>
    <row r="651" spans="1:28" x14ac:dyDescent="0.35">
      <c r="A651">
        <v>8754</v>
      </c>
      <c r="B651">
        <v>1974</v>
      </c>
      <c r="C651" t="s">
        <v>31</v>
      </c>
      <c r="D651" t="s">
        <v>32</v>
      </c>
      <c r="E651" t="s">
        <v>29</v>
      </c>
      <c r="F651">
        <v>45068</v>
      </c>
      <c r="G651" t="str">
        <f t="shared" si="30"/>
        <v>Mid-low</v>
      </c>
      <c r="H651">
        <v>0</v>
      </c>
      <c r="I651">
        <v>1</v>
      </c>
      <c r="J651">
        <v>1</v>
      </c>
      <c r="K651" s="1">
        <v>41410</v>
      </c>
      <c r="L651">
        <v>25</v>
      </c>
      <c r="M651" t="str">
        <f t="shared" si="31"/>
        <v>Active</v>
      </c>
      <c r="N651">
        <v>0</v>
      </c>
      <c r="O651">
        <v>14</v>
      </c>
      <c r="P651">
        <v>0</v>
      </c>
      <c r="Q651">
        <v>3</v>
      </c>
      <c r="R651">
        <v>0</v>
      </c>
      <c r="S651">
        <v>0</v>
      </c>
      <c r="T651">
        <v>3</v>
      </c>
      <c r="U651">
        <v>20</v>
      </c>
      <c r="V651">
        <v>1</v>
      </c>
      <c r="W651">
        <v>1</v>
      </c>
      <c r="X651">
        <v>0</v>
      </c>
      <c r="Y651">
        <v>2</v>
      </c>
      <c r="Z651">
        <v>3</v>
      </c>
      <c r="AA651">
        <v>7</v>
      </c>
      <c r="AB651" t="str">
        <f t="shared" si="32"/>
        <v>Below average customer</v>
      </c>
    </row>
    <row r="652" spans="1:28" x14ac:dyDescent="0.35">
      <c r="A652">
        <v>1987</v>
      </c>
      <c r="B652">
        <v>1987</v>
      </c>
      <c r="C652" t="s">
        <v>30</v>
      </c>
      <c r="D652" t="s">
        <v>37</v>
      </c>
      <c r="E652" t="s">
        <v>27</v>
      </c>
      <c r="F652">
        <v>21063</v>
      </c>
      <c r="G652" t="str">
        <f t="shared" si="30"/>
        <v>Low</v>
      </c>
      <c r="H652">
        <v>1</v>
      </c>
      <c r="I652">
        <v>0</v>
      </c>
      <c r="J652">
        <v>1</v>
      </c>
      <c r="K652" s="1">
        <v>41542</v>
      </c>
      <c r="L652">
        <v>34</v>
      </c>
      <c r="M652" t="str">
        <f t="shared" si="31"/>
        <v>Active</v>
      </c>
      <c r="N652">
        <v>0</v>
      </c>
      <c r="O652">
        <v>1</v>
      </c>
      <c r="P652">
        <v>10</v>
      </c>
      <c r="Q652">
        <v>11</v>
      </c>
      <c r="R652">
        <v>19</v>
      </c>
      <c r="S652">
        <v>3</v>
      </c>
      <c r="T652">
        <v>15</v>
      </c>
      <c r="U652">
        <v>59</v>
      </c>
      <c r="V652">
        <v>2</v>
      </c>
      <c r="W652">
        <v>2</v>
      </c>
      <c r="X652">
        <v>0</v>
      </c>
      <c r="Y652">
        <v>3</v>
      </c>
      <c r="Z652">
        <v>5</v>
      </c>
      <c r="AA652">
        <v>6</v>
      </c>
      <c r="AB652" t="str">
        <f t="shared" si="32"/>
        <v>Below average customer</v>
      </c>
    </row>
    <row r="653" spans="1:28" x14ac:dyDescent="0.35">
      <c r="A653">
        <v>11007</v>
      </c>
      <c r="B653">
        <v>1968</v>
      </c>
      <c r="C653" t="s">
        <v>28</v>
      </c>
      <c r="D653" t="s">
        <v>32</v>
      </c>
      <c r="E653" t="s">
        <v>33</v>
      </c>
      <c r="F653">
        <v>29187</v>
      </c>
      <c r="G653" t="str">
        <f t="shared" si="30"/>
        <v>Low</v>
      </c>
      <c r="H653">
        <v>1</v>
      </c>
      <c r="I653">
        <v>0</v>
      </c>
      <c r="J653">
        <v>1</v>
      </c>
      <c r="K653" s="1">
        <v>41403</v>
      </c>
      <c r="L653">
        <v>43</v>
      </c>
      <c r="M653" t="str">
        <f t="shared" si="31"/>
        <v>Active</v>
      </c>
      <c r="N653">
        <v>0</v>
      </c>
      <c r="O653">
        <v>26</v>
      </c>
      <c r="P653">
        <v>0</v>
      </c>
      <c r="Q653">
        <v>6</v>
      </c>
      <c r="R653">
        <v>0</v>
      </c>
      <c r="S653">
        <v>0</v>
      </c>
      <c r="T653">
        <v>2</v>
      </c>
      <c r="U653">
        <v>34</v>
      </c>
      <c r="V653">
        <v>1</v>
      </c>
      <c r="W653">
        <v>1</v>
      </c>
      <c r="X653">
        <v>0</v>
      </c>
      <c r="Y653">
        <v>3</v>
      </c>
      <c r="Z653">
        <v>4</v>
      </c>
      <c r="AA653">
        <v>8</v>
      </c>
      <c r="AB653" t="str">
        <f t="shared" si="32"/>
        <v>Below average customer</v>
      </c>
    </row>
    <row r="654" spans="1:28" x14ac:dyDescent="0.35">
      <c r="A654">
        <v>7426</v>
      </c>
      <c r="B654">
        <v>1971</v>
      </c>
      <c r="C654" t="s">
        <v>28</v>
      </c>
      <c r="D654" t="s">
        <v>34</v>
      </c>
      <c r="E654" t="s">
        <v>33</v>
      </c>
      <c r="F654">
        <v>54690</v>
      </c>
      <c r="G654" t="str">
        <f t="shared" si="30"/>
        <v>Mid-high</v>
      </c>
      <c r="H654">
        <v>1</v>
      </c>
      <c r="I654">
        <v>1</v>
      </c>
      <c r="J654">
        <v>2</v>
      </c>
      <c r="K654" s="1">
        <v>41585</v>
      </c>
      <c r="L654">
        <v>76</v>
      </c>
      <c r="M654" t="str">
        <f t="shared" si="31"/>
        <v>Inactive</v>
      </c>
      <c r="N654">
        <v>0</v>
      </c>
      <c r="O654">
        <v>111</v>
      </c>
      <c r="P654">
        <v>16</v>
      </c>
      <c r="Q654">
        <v>37</v>
      </c>
      <c r="R654">
        <v>7</v>
      </c>
      <c r="S654">
        <v>9</v>
      </c>
      <c r="T654">
        <v>18</v>
      </c>
      <c r="U654">
        <v>198</v>
      </c>
      <c r="V654">
        <v>3</v>
      </c>
      <c r="W654">
        <v>3</v>
      </c>
      <c r="X654">
        <v>1</v>
      </c>
      <c r="Y654">
        <v>5</v>
      </c>
      <c r="Z654">
        <v>9</v>
      </c>
      <c r="AA654">
        <v>3</v>
      </c>
      <c r="AB654" t="str">
        <f t="shared" si="32"/>
        <v>Below average customer</v>
      </c>
    </row>
    <row r="655" spans="1:28" x14ac:dyDescent="0.35">
      <c r="A655">
        <v>9153</v>
      </c>
      <c r="B655">
        <v>1964</v>
      </c>
      <c r="C655" t="s">
        <v>28</v>
      </c>
      <c r="D655" t="s">
        <v>32</v>
      </c>
      <c r="E655" t="s">
        <v>33</v>
      </c>
      <c r="F655">
        <v>59304</v>
      </c>
      <c r="G655" t="str">
        <f t="shared" si="30"/>
        <v>Mid-high</v>
      </c>
      <c r="H655">
        <v>0</v>
      </c>
      <c r="I655">
        <v>1</v>
      </c>
      <c r="J655">
        <v>1</v>
      </c>
      <c r="K655" s="1">
        <v>41484</v>
      </c>
      <c r="L655">
        <v>81</v>
      </c>
      <c r="M655" t="str">
        <f t="shared" si="31"/>
        <v>Inactive</v>
      </c>
      <c r="N655">
        <v>0</v>
      </c>
      <c r="O655">
        <v>418</v>
      </c>
      <c r="P655">
        <v>61</v>
      </c>
      <c r="Q655">
        <v>428</v>
      </c>
      <c r="R655">
        <v>80</v>
      </c>
      <c r="S655">
        <v>51</v>
      </c>
      <c r="T655">
        <v>10</v>
      </c>
      <c r="U655">
        <v>1048</v>
      </c>
      <c r="V655">
        <v>3</v>
      </c>
      <c r="W655">
        <v>7</v>
      </c>
      <c r="X655">
        <v>8</v>
      </c>
      <c r="Y655">
        <v>10</v>
      </c>
      <c r="Z655">
        <v>25</v>
      </c>
      <c r="AA655">
        <v>5</v>
      </c>
      <c r="AB655" t="str">
        <f t="shared" si="32"/>
        <v>Below average customer</v>
      </c>
    </row>
    <row r="656" spans="1:28" x14ac:dyDescent="0.35">
      <c r="A656">
        <v>10379</v>
      </c>
      <c r="B656">
        <v>1962</v>
      </c>
      <c r="C656" t="s">
        <v>25</v>
      </c>
      <c r="D656" t="s">
        <v>34</v>
      </c>
      <c r="E656" t="s">
        <v>27</v>
      </c>
      <c r="F656">
        <v>59247</v>
      </c>
      <c r="G656" t="str">
        <f t="shared" si="30"/>
        <v>Mid-high</v>
      </c>
      <c r="H656">
        <v>0</v>
      </c>
      <c r="I656">
        <v>2</v>
      </c>
      <c r="J656">
        <v>2</v>
      </c>
      <c r="K656" s="1">
        <v>41586</v>
      </c>
      <c r="L656">
        <v>87</v>
      </c>
      <c r="M656" t="str">
        <f t="shared" si="31"/>
        <v>Inactive</v>
      </c>
      <c r="N656">
        <v>0</v>
      </c>
      <c r="O656">
        <v>327</v>
      </c>
      <c r="P656">
        <v>9</v>
      </c>
      <c r="Q656">
        <v>122</v>
      </c>
      <c r="R656">
        <v>19</v>
      </c>
      <c r="S656">
        <v>14</v>
      </c>
      <c r="T656">
        <v>83</v>
      </c>
      <c r="U656">
        <v>574</v>
      </c>
      <c r="V656">
        <v>5</v>
      </c>
      <c r="W656">
        <v>5</v>
      </c>
      <c r="X656">
        <v>2</v>
      </c>
      <c r="Y656">
        <v>9</v>
      </c>
      <c r="Z656">
        <v>16</v>
      </c>
      <c r="AA656">
        <v>6</v>
      </c>
      <c r="AB656" t="str">
        <f t="shared" si="32"/>
        <v>Below average customer</v>
      </c>
    </row>
    <row r="657" spans="1:28" x14ac:dyDescent="0.35">
      <c r="A657">
        <v>9204</v>
      </c>
      <c r="B657">
        <v>1970</v>
      </c>
      <c r="C657" t="s">
        <v>28</v>
      </c>
      <c r="D657" t="s">
        <v>26</v>
      </c>
      <c r="E657" t="s">
        <v>38</v>
      </c>
      <c r="F657">
        <v>66731</v>
      </c>
      <c r="G657" t="str">
        <f t="shared" si="30"/>
        <v>Mid-high</v>
      </c>
      <c r="H657">
        <v>0</v>
      </c>
      <c r="I657">
        <v>1</v>
      </c>
      <c r="J657">
        <v>1</v>
      </c>
      <c r="K657" s="1">
        <v>41164</v>
      </c>
      <c r="L657">
        <v>33</v>
      </c>
      <c r="M657" t="str">
        <f t="shared" si="31"/>
        <v>Active</v>
      </c>
      <c r="N657">
        <v>0</v>
      </c>
      <c r="O657">
        <v>371</v>
      </c>
      <c r="P657">
        <v>159</v>
      </c>
      <c r="Q657">
        <v>194</v>
      </c>
      <c r="R657">
        <v>58</v>
      </c>
      <c r="S657">
        <v>106</v>
      </c>
      <c r="T657">
        <v>141</v>
      </c>
      <c r="U657">
        <v>1029</v>
      </c>
      <c r="V657">
        <v>4</v>
      </c>
      <c r="W657">
        <v>4</v>
      </c>
      <c r="X657">
        <v>3</v>
      </c>
      <c r="Y657">
        <v>6</v>
      </c>
      <c r="Z657">
        <v>13</v>
      </c>
      <c r="AA657">
        <v>3</v>
      </c>
      <c r="AB657" t="str">
        <f t="shared" si="32"/>
        <v>Above average customer</v>
      </c>
    </row>
    <row r="658" spans="1:28" x14ac:dyDescent="0.35">
      <c r="A658">
        <v>3197</v>
      </c>
      <c r="B658">
        <v>1980</v>
      </c>
      <c r="C658" t="s">
        <v>31</v>
      </c>
      <c r="D658" t="s">
        <v>26</v>
      </c>
      <c r="E658" t="s">
        <v>33</v>
      </c>
      <c r="F658">
        <v>77353</v>
      </c>
      <c r="G658" t="str">
        <f t="shared" si="30"/>
        <v>High</v>
      </c>
      <c r="H658">
        <v>0</v>
      </c>
      <c r="I658">
        <v>1</v>
      </c>
      <c r="J658">
        <v>1</v>
      </c>
      <c r="K658" s="1">
        <v>41624</v>
      </c>
      <c r="L658">
        <v>38</v>
      </c>
      <c r="M658" t="str">
        <f t="shared" si="31"/>
        <v>Active</v>
      </c>
      <c r="N658">
        <v>0</v>
      </c>
      <c r="O658">
        <v>275</v>
      </c>
      <c r="P658">
        <v>59</v>
      </c>
      <c r="Q658">
        <v>107</v>
      </c>
      <c r="R658">
        <v>69</v>
      </c>
      <c r="S658">
        <v>101</v>
      </c>
      <c r="T658">
        <v>59</v>
      </c>
      <c r="U658">
        <v>670</v>
      </c>
      <c r="V658">
        <v>2</v>
      </c>
      <c r="W658">
        <v>6</v>
      </c>
      <c r="X658">
        <v>4</v>
      </c>
      <c r="Y658">
        <v>8</v>
      </c>
      <c r="Z658">
        <v>18</v>
      </c>
      <c r="AA658">
        <v>4</v>
      </c>
      <c r="AB658" t="str">
        <f t="shared" si="32"/>
        <v>Above average customer</v>
      </c>
    </row>
    <row r="659" spans="1:28" x14ac:dyDescent="0.35">
      <c r="A659">
        <v>6961</v>
      </c>
      <c r="B659">
        <v>1974</v>
      </c>
      <c r="C659" t="s">
        <v>31</v>
      </c>
      <c r="D659" t="s">
        <v>26</v>
      </c>
      <c r="E659" t="s">
        <v>33</v>
      </c>
      <c r="F659">
        <v>26751</v>
      </c>
      <c r="G659" t="str">
        <f t="shared" si="30"/>
        <v>Low</v>
      </c>
      <c r="H659">
        <v>2</v>
      </c>
      <c r="I659">
        <v>0</v>
      </c>
      <c r="J659">
        <v>2</v>
      </c>
      <c r="K659" s="1">
        <v>41781</v>
      </c>
      <c r="L659">
        <v>26</v>
      </c>
      <c r="M659" t="str">
        <f t="shared" si="31"/>
        <v>Active</v>
      </c>
      <c r="N659">
        <v>0</v>
      </c>
      <c r="O659">
        <v>1</v>
      </c>
      <c r="P659">
        <v>1</v>
      </c>
      <c r="Q659">
        <v>5</v>
      </c>
      <c r="R659">
        <v>0</v>
      </c>
      <c r="S659">
        <v>3</v>
      </c>
      <c r="T659">
        <v>1</v>
      </c>
      <c r="U659">
        <v>11</v>
      </c>
      <c r="V659">
        <v>1</v>
      </c>
      <c r="W659">
        <v>1</v>
      </c>
      <c r="X659">
        <v>0</v>
      </c>
      <c r="Y659">
        <v>2</v>
      </c>
      <c r="Z659">
        <v>3</v>
      </c>
      <c r="AA659">
        <v>8</v>
      </c>
      <c r="AB659" t="str">
        <f t="shared" si="32"/>
        <v>Below average customer</v>
      </c>
    </row>
    <row r="660" spans="1:28" x14ac:dyDescent="0.35">
      <c r="A660">
        <v>4673</v>
      </c>
      <c r="B660">
        <v>1963</v>
      </c>
      <c r="C660" t="s">
        <v>28</v>
      </c>
      <c r="D660" t="s">
        <v>32</v>
      </c>
      <c r="E660" t="s">
        <v>33</v>
      </c>
      <c r="F660">
        <v>81300</v>
      </c>
      <c r="G660" t="str">
        <f t="shared" si="30"/>
        <v>High</v>
      </c>
      <c r="H660">
        <v>0</v>
      </c>
      <c r="I660">
        <v>1</v>
      </c>
      <c r="J660">
        <v>1</v>
      </c>
      <c r="K660" s="1">
        <v>41212</v>
      </c>
      <c r="L660">
        <v>17</v>
      </c>
      <c r="M660" t="str">
        <f t="shared" si="31"/>
        <v>Active</v>
      </c>
      <c r="N660">
        <v>0</v>
      </c>
      <c r="O660">
        <v>1004</v>
      </c>
      <c r="P660">
        <v>12</v>
      </c>
      <c r="Q660">
        <v>145</v>
      </c>
      <c r="R660">
        <v>32</v>
      </c>
      <c r="S660">
        <v>12</v>
      </c>
      <c r="T660">
        <v>36</v>
      </c>
      <c r="U660">
        <v>1241</v>
      </c>
      <c r="V660">
        <v>3</v>
      </c>
      <c r="W660">
        <v>10</v>
      </c>
      <c r="X660">
        <v>3</v>
      </c>
      <c r="Y660">
        <v>5</v>
      </c>
      <c r="Z660">
        <v>18</v>
      </c>
      <c r="AA660">
        <v>5</v>
      </c>
      <c r="AB660" t="str">
        <f t="shared" si="32"/>
        <v>Above average customer</v>
      </c>
    </row>
    <row r="661" spans="1:28" x14ac:dyDescent="0.35">
      <c r="A661">
        <v>9937</v>
      </c>
      <c r="B661">
        <v>1979</v>
      </c>
      <c r="C661" t="s">
        <v>31</v>
      </c>
      <c r="D661" t="s">
        <v>26</v>
      </c>
      <c r="E661" t="s">
        <v>27</v>
      </c>
      <c r="F661">
        <v>70337</v>
      </c>
      <c r="G661" t="str">
        <f t="shared" si="30"/>
        <v>High</v>
      </c>
      <c r="H661">
        <v>0</v>
      </c>
      <c r="I661">
        <v>0</v>
      </c>
      <c r="J661">
        <v>0</v>
      </c>
      <c r="K661" s="1">
        <v>41641</v>
      </c>
      <c r="L661">
        <v>75</v>
      </c>
      <c r="M661" t="str">
        <f t="shared" si="31"/>
        <v>Inactive</v>
      </c>
      <c r="N661">
        <v>0</v>
      </c>
      <c r="O661">
        <v>187</v>
      </c>
      <c r="P661">
        <v>81</v>
      </c>
      <c r="Q661">
        <v>149</v>
      </c>
      <c r="R661">
        <v>25</v>
      </c>
      <c r="S661">
        <v>43</v>
      </c>
      <c r="T661">
        <v>91</v>
      </c>
      <c r="U661">
        <v>576</v>
      </c>
      <c r="V661">
        <v>1</v>
      </c>
      <c r="W661">
        <v>2</v>
      </c>
      <c r="X661">
        <v>2</v>
      </c>
      <c r="Y661">
        <v>12</v>
      </c>
      <c r="Z661">
        <v>16</v>
      </c>
      <c r="AA661">
        <v>1</v>
      </c>
      <c r="AB661" t="str">
        <f t="shared" si="32"/>
        <v>Below average customer</v>
      </c>
    </row>
    <row r="662" spans="1:28" x14ac:dyDescent="0.35">
      <c r="A662">
        <v>8779</v>
      </c>
      <c r="B662">
        <v>1985</v>
      </c>
      <c r="C662" t="s">
        <v>30</v>
      </c>
      <c r="D662" t="s">
        <v>34</v>
      </c>
      <c r="E662" t="s">
        <v>33</v>
      </c>
      <c r="F662">
        <v>36145</v>
      </c>
      <c r="G662" t="str">
        <f t="shared" si="30"/>
        <v>Mid-low</v>
      </c>
      <c r="H662">
        <v>1</v>
      </c>
      <c r="I662">
        <v>0</v>
      </c>
      <c r="J662">
        <v>1</v>
      </c>
      <c r="K662" s="1">
        <v>41441</v>
      </c>
      <c r="L662">
        <v>13</v>
      </c>
      <c r="M662" t="str">
        <f t="shared" si="31"/>
        <v>Active</v>
      </c>
      <c r="N662">
        <v>0</v>
      </c>
      <c r="O662">
        <v>56</v>
      </c>
      <c r="P662">
        <v>4</v>
      </c>
      <c r="Q662">
        <v>76</v>
      </c>
      <c r="R662">
        <v>17</v>
      </c>
      <c r="S662">
        <v>1</v>
      </c>
      <c r="T662">
        <v>18</v>
      </c>
      <c r="U662">
        <v>172</v>
      </c>
      <c r="V662">
        <v>4</v>
      </c>
      <c r="W662">
        <v>4</v>
      </c>
      <c r="X662">
        <v>1</v>
      </c>
      <c r="Y662">
        <v>3</v>
      </c>
      <c r="Z662">
        <v>8</v>
      </c>
      <c r="AA662">
        <v>9</v>
      </c>
      <c r="AB662" t="str">
        <f t="shared" si="32"/>
        <v>Below average customer</v>
      </c>
    </row>
    <row r="663" spans="1:28" x14ac:dyDescent="0.35">
      <c r="A663">
        <v>9596</v>
      </c>
      <c r="B663">
        <v>1980</v>
      </c>
      <c r="C663" t="s">
        <v>31</v>
      </c>
      <c r="D663" t="s">
        <v>32</v>
      </c>
      <c r="E663" t="s">
        <v>27</v>
      </c>
      <c r="F663">
        <v>65295</v>
      </c>
      <c r="G663" t="str">
        <f t="shared" si="30"/>
        <v>Mid-high</v>
      </c>
      <c r="H663">
        <v>0</v>
      </c>
      <c r="I663">
        <v>0</v>
      </c>
      <c r="J663">
        <v>0</v>
      </c>
      <c r="K663" s="1">
        <v>41631</v>
      </c>
      <c r="L663">
        <v>19</v>
      </c>
      <c r="M663" t="str">
        <f t="shared" si="31"/>
        <v>Active</v>
      </c>
      <c r="N663">
        <v>0</v>
      </c>
      <c r="O663">
        <v>365</v>
      </c>
      <c r="P663">
        <v>32</v>
      </c>
      <c r="Q663">
        <v>117</v>
      </c>
      <c r="R663">
        <v>34</v>
      </c>
      <c r="S663">
        <v>110</v>
      </c>
      <c r="T663">
        <v>6</v>
      </c>
      <c r="U663">
        <v>664</v>
      </c>
      <c r="V663">
        <v>1</v>
      </c>
      <c r="W663">
        <v>3</v>
      </c>
      <c r="X663">
        <v>3</v>
      </c>
      <c r="Y663">
        <v>13</v>
      </c>
      <c r="Z663">
        <v>19</v>
      </c>
      <c r="AA663">
        <v>2</v>
      </c>
      <c r="AB663" t="str">
        <f t="shared" si="32"/>
        <v>Above average customer</v>
      </c>
    </row>
    <row r="664" spans="1:28" x14ac:dyDescent="0.35">
      <c r="A664">
        <v>2891</v>
      </c>
      <c r="B664">
        <v>1963</v>
      </c>
      <c r="C664" t="s">
        <v>28</v>
      </c>
      <c r="D664" t="s">
        <v>26</v>
      </c>
      <c r="E664" t="s">
        <v>35</v>
      </c>
      <c r="F664">
        <v>68118</v>
      </c>
      <c r="G664" t="str">
        <f t="shared" si="30"/>
        <v>Mid-high</v>
      </c>
      <c r="H664">
        <v>0</v>
      </c>
      <c r="I664">
        <v>1</v>
      </c>
      <c r="J664">
        <v>1</v>
      </c>
      <c r="K664" s="1">
        <v>41565</v>
      </c>
      <c r="L664">
        <v>51</v>
      </c>
      <c r="M664" t="str">
        <f t="shared" si="31"/>
        <v>Inactive</v>
      </c>
      <c r="N664">
        <v>0</v>
      </c>
      <c r="O664">
        <v>595</v>
      </c>
      <c r="P664">
        <v>23</v>
      </c>
      <c r="Q664">
        <v>123</v>
      </c>
      <c r="R664">
        <v>10</v>
      </c>
      <c r="S664">
        <v>23</v>
      </c>
      <c r="T664">
        <v>154</v>
      </c>
      <c r="U664">
        <v>928</v>
      </c>
      <c r="V664">
        <v>2</v>
      </c>
      <c r="W664">
        <v>8</v>
      </c>
      <c r="X664">
        <v>9</v>
      </c>
      <c r="Y664">
        <v>4</v>
      </c>
      <c r="Z664">
        <v>21</v>
      </c>
      <c r="AA664">
        <v>6</v>
      </c>
      <c r="AB664" t="str">
        <f t="shared" si="32"/>
        <v>Below average customer</v>
      </c>
    </row>
    <row r="665" spans="1:28" x14ac:dyDescent="0.35">
      <c r="A665">
        <v>4910</v>
      </c>
      <c r="B665">
        <v>1967</v>
      </c>
      <c r="C665" t="s">
        <v>28</v>
      </c>
      <c r="D665" t="s">
        <v>26</v>
      </c>
      <c r="E665" t="s">
        <v>35</v>
      </c>
      <c r="F665">
        <v>68743</v>
      </c>
      <c r="G665" t="str">
        <f t="shared" si="30"/>
        <v>High</v>
      </c>
      <c r="H665">
        <v>0</v>
      </c>
      <c r="I665">
        <v>0</v>
      </c>
      <c r="J665">
        <v>0</v>
      </c>
      <c r="K665" s="1">
        <v>41151</v>
      </c>
      <c r="L665">
        <v>81</v>
      </c>
      <c r="M665" t="str">
        <f t="shared" si="31"/>
        <v>Inactive</v>
      </c>
      <c r="N665">
        <v>0</v>
      </c>
      <c r="O665">
        <v>1132</v>
      </c>
      <c r="P665">
        <v>134</v>
      </c>
      <c r="Q665">
        <v>384</v>
      </c>
      <c r="R665">
        <v>175</v>
      </c>
      <c r="S665">
        <v>134</v>
      </c>
      <c r="T665">
        <v>115</v>
      </c>
      <c r="U665">
        <v>2074</v>
      </c>
      <c r="V665">
        <v>1</v>
      </c>
      <c r="W665">
        <v>11</v>
      </c>
      <c r="X665">
        <v>5</v>
      </c>
      <c r="Y665">
        <v>13</v>
      </c>
      <c r="Z665">
        <v>29</v>
      </c>
      <c r="AA665">
        <v>7</v>
      </c>
      <c r="AB665" t="str">
        <f t="shared" si="32"/>
        <v>Below average customer</v>
      </c>
    </row>
    <row r="666" spans="1:28" x14ac:dyDescent="0.35">
      <c r="A666">
        <v>75</v>
      </c>
      <c r="B666">
        <v>1982</v>
      </c>
      <c r="C666" t="s">
        <v>31</v>
      </c>
      <c r="D666" t="s">
        <v>34</v>
      </c>
      <c r="E666" t="s">
        <v>29</v>
      </c>
      <c r="F666">
        <v>41039</v>
      </c>
      <c r="G666" t="str">
        <f t="shared" si="30"/>
        <v>Mid-low</v>
      </c>
      <c r="H666">
        <v>0</v>
      </c>
      <c r="I666">
        <v>0</v>
      </c>
      <c r="J666">
        <v>0</v>
      </c>
      <c r="K666" s="1">
        <v>41480</v>
      </c>
      <c r="L666">
        <v>32</v>
      </c>
      <c r="M666" t="str">
        <f t="shared" si="31"/>
        <v>Active</v>
      </c>
      <c r="N666">
        <v>0</v>
      </c>
      <c r="O666">
        <v>34</v>
      </c>
      <c r="P666">
        <v>11</v>
      </c>
      <c r="Q666">
        <v>137</v>
      </c>
      <c r="R666">
        <v>179</v>
      </c>
      <c r="S666">
        <v>61</v>
      </c>
      <c r="T666">
        <v>45</v>
      </c>
      <c r="U666">
        <v>467</v>
      </c>
      <c r="V666">
        <v>1</v>
      </c>
      <c r="W666">
        <v>8</v>
      </c>
      <c r="X666">
        <v>1</v>
      </c>
      <c r="Y666">
        <v>5</v>
      </c>
      <c r="Z666">
        <v>14</v>
      </c>
      <c r="AA666">
        <v>8</v>
      </c>
      <c r="AB666" t="str">
        <f t="shared" si="32"/>
        <v>Below average customer</v>
      </c>
    </row>
    <row r="667" spans="1:28" x14ac:dyDescent="0.35">
      <c r="A667">
        <v>10120</v>
      </c>
      <c r="B667">
        <v>1955</v>
      </c>
      <c r="C667" t="s">
        <v>25</v>
      </c>
      <c r="D667" t="s">
        <v>26</v>
      </c>
      <c r="E667" t="s">
        <v>29</v>
      </c>
      <c r="F667">
        <v>38946</v>
      </c>
      <c r="G667" t="str">
        <f t="shared" si="30"/>
        <v>Mid-low</v>
      </c>
      <c r="H667">
        <v>0</v>
      </c>
      <c r="I667">
        <v>1</v>
      </c>
      <c r="J667">
        <v>1</v>
      </c>
      <c r="K667" s="1">
        <v>41571</v>
      </c>
      <c r="L667">
        <v>84</v>
      </c>
      <c r="M667" t="str">
        <f t="shared" si="31"/>
        <v>Inactive</v>
      </c>
      <c r="N667">
        <v>0</v>
      </c>
      <c r="O667">
        <v>116</v>
      </c>
      <c r="P667">
        <v>6</v>
      </c>
      <c r="Q667">
        <v>82</v>
      </c>
      <c r="R667">
        <v>6</v>
      </c>
      <c r="S667">
        <v>6</v>
      </c>
      <c r="T667">
        <v>41</v>
      </c>
      <c r="U667">
        <v>257</v>
      </c>
      <c r="V667">
        <v>2</v>
      </c>
      <c r="W667">
        <v>3</v>
      </c>
      <c r="X667">
        <v>1</v>
      </c>
      <c r="Y667">
        <v>6</v>
      </c>
      <c r="Z667">
        <v>10</v>
      </c>
      <c r="AA667">
        <v>5</v>
      </c>
      <c r="AB667" t="str">
        <f t="shared" si="32"/>
        <v>Below average customer</v>
      </c>
    </row>
    <row r="668" spans="1:28" x14ac:dyDescent="0.35">
      <c r="A668">
        <v>6327</v>
      </c>
      <c r="B668">
        <v>1967</v>
      </c>
      <c r="C668" t="s">
        <v>28</v>
      </c>
      <c r="D668" t="s">
        <v>26</v>
      </c>
      <c r="E668" t="s">
        <v>29</v>
      </c>
      <c r="F668">
        <v>65777</v>
      </c>
      <c r="G668" t="str">
        <f t="shared" si="30"/>
        <v>Mid-high</v>
      </c>
      <c r="H668">
        <v>0</v>
      </c>
      <c r="I668">
        <v>0</v>
      </c>
      <c r="J668">
        <v>0</v>
      </c>
      <c r="K668" s="1">
        <v>41627</v>
      </c>
      <c r="L668">
        <v>87</v>
      </c>
      <c r="M668" t="str">
        <f t="shared" si="31"/>
        <v>Inactive</v>
      </c>
      <c r="N668">
        <v>0</v>
      </c>
      <c r="O668">
        <v>565</v>
      </c>
      <c r="P668">
        <v>32</v>
      </c>
      <c r="Q668">
        <v>435</v>
      </c>
      <c r="R668">
        <v>28</v>
      </c>
      <c r="S668">
        <v>32</v>
      </c>
      <c r="T668">
        <v>54</v>
      </c>
      <c r="U668">
        <v>1146</v>
      </c>
      <c r="V668">
        <v>1</v>
      </c>
      <c r="W668">
        <v>2</v>
      </c>
      <c r="X668">
        <v>8</v>
      </c>
      <c r="Y668">
        <v>6</v>
      </c>
      <c r="Z668">
        <v>16</v>
      </c>
      <c r="AA668">
        <v>1</v>
      </c>
      <c r="AB668" t="str">
        <f t="shared" si="32"/>
        <v>Below average customer</v>
      </c>
    </row>
    <row r="669" spans="1:28" x14ac:dyDescent="0.35">
      <c r="A669">
        <v>10142</v>
      </c>
      <c r="B669">
        <v>1976</v>
      </c>
      <c r="C669" t="s">
        <v>31</v>
      </c>
      <c r="D669" t="s">
        <v>32</v>
      </c>
      <c r="E669" t="s">
        <v>35</v>
      </c>
      <c r="F669">
        <v>66476</v>
      </c>
      <c r="G669" t="str">
        <f t="shared" si="30"/>
        <v>Mid-high</v>
      </c>
      <c r="H669">
        <v>0</v>
      </c>
      <c r="I669">
        <v>1</v>
      </c>
      <c r="J669">
        <v>1</v>
      </c>
      <c r="K669" s="1">
        <v>41340</v>
      </c>
      <c r="L669">
        <v>99</v>
      </c>
      <c r="M669" t="str">
        <f t="shared" si="31"/>
        <v>Inactive</v>
      </c>
      <c r="N669">
        <v>0</v>
      </c>
      <c r="O669">
        <v>372</v>
      </c>
      <c r="P669">
        <v>18</v>
      </c>
      <c r="Q669">
        <v>126</v>
      </c>
      <c r="R669">
        <v>47</v>
      </c>
      <c r="S669">
        <v>48</v>
      </c>
      <c r="T669">
        <v>78</v>
      </c>
      <c r="U669">
        <v>689</v>
      </c>
      <c r="V669">
        <v>2</v>
      </c>
      <c r="W669">
        <v>5</v>
      </c>
      <c r="X669">
        <v>2</v>
      </c>
      <c r="Y669">
        <v>11</v>
      </c>
      <c r="Z669">
        <v>18</v>
      </c>
      <c r="AA669">
        <v>4</v>
      </c>
      <c r="AB669" t="str">
        <f t="shared" si="32"/>
        <v>Below average customer</v>
      </c>
    </row>
    <row r="670" spans="1:28" x14ac:dyDescent="0.35">
      <c r="A670">
        <v>9826</v>
      </c>
      <c r="B670">
        <v>1972</v>
      </c>
      <c r="C670" t="s">
        <v>28</v>
      </c>
      <c r="D670" t="s">
        <v>32</v>
      </c>
      <c r="E670" t="s">
        <v>27</v>
      </c>
      <c r="F670">
        <v>86857</v>
      </c>
      <c r="G670" t="str">
        <f t="shared" si="30"/>
        <v>High</v>
      </c>
      <c r="H670">
        <v>0</v>
      </c>
      <c r="I670">
        <v>0</v>
      </c>
      <c r="J670">
        <v>0</v>
      </c>
      <c r="K670" s="1">
        <v>41164</v>
      </c>
      <c r="L670">
        <v>96</v>
      </c>
      <c r="M670" t="str">
        <f t="shared" si="31"/>
        <v>Inactive</v>
      </c>
      <c r="N670">
        <v>0</v>
      </c>
      <c r="O670">
        <v>899</v>
      </c>
      <c r="P670">
        <v>102</v>
      </c>
      <c r="Q670">
        <v>838</v>
      </c>
      <c r="R670">
        <v>133</v>
      </c>
      <c r="S670">
        <v>102</v>
      </c>
      <c r="T670">
        <v>40</v>
      </c>
      <c r="U670">
        <v>2114</v>
      </c>
      <c r="V670">
        <v>1</v>
      </c>
      <c r="W670">
        <v>5</v>
      </c>
      <c r="X670">
        <v>6</v>
      </c>
      <c r="Y670">
        <v>10</v>
      </c>
      <c r="Z670">
        <v>21</v>
      </c>
      <c r="AA670">
        <v>2</v>
      </c>
      <c r="AB670" t="str">
        <f t="shared" si="32"/>
        <v>Below average customer</v>
      </c>
    </row>
    <row r="671" spans="1:28" x14ac:dyDescent="0.35">
      <c r="A671">
        <v>1501</v>
      </c>
      <c r="B671">
        <v>1982</v>
      </c>
      <c r="C671" t="s">
        <v>31</v>
      </c>
      <c r="D671" t="s">
        <v>32</v>
      </c>
      <c r="E671" t="s">
        <v>33</v>
      </c>
      <c r="F671">
        <v>160803</v>
      </c>
      <c r="G671" t="str">
        <f t="shared" si="30"/>
        <v>High</v>
      </c>
      <c r="H671">
        <v>0</v>
      </c>
      <c r="I671">
        <v>0</v>
      </c>
      <c r="J671">
        <v>0</v>
      </c>
      <c r="K671" s="1">
        <v>41125</v>
      </c>
      <c r="L671">
        <v>21</v>
      </c>
      <c r="M671" t="str">
        <f t="shared" si="31"/>
        <v>Active</v>
      </c>
      <c r="N671">
        <v>0</v>
      </c>
      <c r="O671">
        <v>55</v>
      </c>
      <c r="P671">
        <v>16</v>
      </c>
      <c r="Q671">
        <v>1622</v>
      </c>
      <c r="R671">
        <v>17</v>
      </c>
      <c r="S671">
        <v>3</v>
      </c>
      <c r="T671">
        <v>4</v>
      </c>
      <c r="U671">
        <v>1717</v>
      </c>
      <c r="V671">
        <v>15</v>
      </c>
      <c r="W671">
        <v>0</v>
      </c>
      <c r="X671">
        <v>28</v>
      </c>
      <c r="Y671">
        <v>1</v>
      </c>
      <c r="Z671">
        <v>29</v>
      </c>
      <c r="AA671">
        <v>0</v>
      </c>
      <c r="AB671" t="str">
        <f t="shared" si="32"/>
        <v>Above average customer</v>
      </c>
    </row>
    <row r="672" spans="1:28" x14ac:dyDescent="0.35">
      <c r="A672">
        <v>10767</v>
      </c>
      <c r="B672">
        <v>1989</v>
      </c>
      <c r="C672" t="s">
        <v>30</v>
      </c>
      <c r="D672" t="s">
        <v>32</v>
      </c>
      <c r="E672" t="s">
        <v>29</v>
      </c>
      <c r="F672">
        <v>77845</v>
      </c>
      <c r="G672" t="str">
        <f t="shared" si="30"/>
        <v>High</v>
      </c>
      <c r="H672">
        <v>0</v>
      </c>
      <c r="I672">
        <v>0</v>
      </c>
      <c r="J672">
        <v>0</v>
      </c>
      <c r="K672" s="1">
        <v>41775</v>
      </c>
      <c r="L672">
        <v>40</v>
      </c>
      <c r="M672" t="str">
        <f t="shared" si="31"/>
        <v>Active</v>
      </c>
      <c r="N672">
        <v>0</v>
      </c>
      <c r="O672">
        <v>760</v>
      </c>
      <c r="P672">
        <v>40</v>
      </c>
      <c r="Q672">
        <v>480</v>
      </c>
      <c r="R672">
        <v>0</v>
      </c>
      <c r="S672">
        <v>40</v>
      </c>
      <c r="T672">
        <v>26</v>
      </c>
      <c r="U672">
        <v>1346</v>
      </c>
      <c r="V672">
        <v>1</v>
      </c>
      <c r="W672">
        <v>3</v>
      </c>
      <c r="X672">
        <v>5</v>
      </c>
      <c r="Y672">
        <v>12</v>
      </c>
      <c r="Z672">
        <v>20</v>
      </c>
      <c r="AA672">
        <v>1</v>
      </c>
      <c r="AB672" t="str">
        <f t="shared" si="32"/>
        <v>Above average customer</v>
      </c>
    </row>
    <row r="673" spans="1:28" x14ac:dyDescent="0.35">
      <c r="A673">
        <v>7279</v>
      </c>
      <c r="B673">
        <v>1969</v>
      </c>
      <c r="C673" t="s">
        <v>28</v>
      </c>
      <c r="D673" t="s">
        <v>32</v>
      </c>
      <c r="E673" t="s">
        <v>29</v>
      </c>
      <c r="F673">
        <v>69476</v>
      </c>
      <c r="G673" t="str">
        <f t="shared" si="30"/>
        <v>High</v>
      </c>
      <c r="H673">
        <v>0</v>
      </c>
      <c r="I673">
        <v>0</v>
      </c>
      <c r="J673">
        <v>0</v>
      </c>
      <c r="K673" s="1">
        <v>41547</v>
      </c>
      <c r="L673">
        <v>3</v>
      </c>
      <c r="M673" t="str">
        <f t="shared" si="31"/>
        <v>Active</v>
      </c>
      <c r="N673">
        <v>0</v>
      </c>
      <c r="O673">
        <v>260</v>
      </c>
      <c r="P673">
        <v>86</v>
      </c>
      <c r="Q673">
        <v>559</v>
      </c>
      <c r="R673">
        <v>63</v>
      </c>
      <c r="S673">
        <v>9</v>
      </c>
      <c r="T673">
        <v>67</v>
      </c>
      <c r="U673">
        <v>1044</v>
      </c>
      <c r="V673">
        <v>1</v>
      </c>
      <c r="W673">
        <v>4</v>
      </c>
      <c r="X673">
        <v>6</v>
      </c>
      <c r="Y673">
        <v>4</v>
      </c>
      <c r="Z673">
        <v>14</v>
      </c>
      <c r="AA673">
        <v>2</v>
      </c>
      <c r="AB673" t="str">
        <f t="shared" si="32"/>
        <v>Above average customer</v>
      </c>
    </row>
    <row r="674" spans="1:28" x14ac:dyDescent="0.35">
      <c r="A674">
        <v>7230</v>
      </c>
      <c r="B674">
        <v>1960</v>
      </c>
      <c r="C674" t="s">
        <v>25</v>
      </c>
      <c r="D674" t="s">
        <v>32</v>
      </c>
      <c r="E674" t="s">
        <v>35</v>
      </c>
      <c r="F674">
        <v>50611</v>
      </c>
      <c r="G674" t="str">
        <f t="shared" si="30"/>
        <v>Mid-low</v>
      </c>
      <c r="H674">
        <v>0</v>
      </c>
      <c r="I674">
        <v>1</v>
      </c>
      <c r="J674">
        <v>1</v>
      </c>
      <c r="K674" s="1">
        <v>41186</v>
      </c>
      <c r="L674">
        <v>98</v>
      </c>
      <c r="M674" t="str">
        <f t="shared" si="31"/>
        <v>Inactive</v>
      </c>
      <c r="N674">
        <v>0</v>
      </c>
      <c r="O674">
        <v>459</v>
      </c>
      <c r="P674">
        <v>0</v>
      </c>
      <c r="Q674">
        <v>24</v>
      </c>
      <c r="R674">
        <v>6</v>
      </c>
      <c r="S674">
        <v>0</v>
      </c>
      <c r="T674">
        <v>4</v>
      </c>
      <c r="U674">
        <v>493</v>
      </c>
      <c r="V674">
        <v>6</v>
      </c>
      <c r="W674">
        <v>4</v>
      </c>
      <c r="X674">
        <v>5</v>
      </c>
      <c r="Y674">
        <v>7</v>
      </c>
      <c r="Z674">
        <v>16</v>
      </c>
      <c r="AA674">
        <v>6</v>
      </c>
      <c r="AB674" t="str">
        <f t="shared" si="32"/>
        <v>Below average customer</v>
      </c>
    </row>
    <row r="675" spans="1:28" x14ac:dyDescent="0.35">
      <c r="A675">
        <v>143</v>
      </c>
      <c r="B675">
        <v>1970</v>
      </c>
      <c r="C675" t="s">
        <v>28</v>
      </c>
      <c r="D675" t="s">
        <v>26</v>
      </c>
      <c r="E675" t="s">
        <v>27</v>
      </c>
      <c r="F675">
        <v>61209</v>
      </c>
      <c r="G675" t="str">
        <f t="shared" si="30"/>
        <v>Mid-high</v>
      </c>
      <c r="H675">
        <v>0</v>
      </c>
      <c r="I675">
        <v>0</v>
      </c>
      <c r="J675">
        <v>0</v>
      </c>
      <c r="K675" s="1">
        <v>41511</v>
      </c>
      <c r="L675">
        <v>73</v>
      </c>
      <c r="M675" t="str">
        <f t="shared" si="31"/>
        <v>Inactive</v>
      </c>
      <c r="N675">
        <v>0</v>
      </c>
      <c r="O675">
        <v>466</v>
      </c>
      <c r="P675">
        <v>0</v>
      </c>
      <c r="Q675">
        <v>224</v>
      </c>
      <c r="R675">
        <v>119</v>
      </c>
      <c r="S675">
        <v>49</v>
      </c>
      <c r="T675">
        <v>99</v>
      </c>
      <c r="U675">
        <v>957</v>
      </c>
      <c r="V675">
        <v>1</v>
      </c>
      <c r="W675">
        <v>5</v>
      </c>
      <c r="X675">
        <v>3</v>
      </c>
      <c r="Y675">
        <v>4</v>
      </c>
      <c r="Z675">
        <v>12</v>
      </c>
      <c r="AA675">
        <v>2</v>
      </c>
      <c r="AB675" t="str">
        <f t="shared" si="32"/>
        <v>Below average customer</v>
      </c>
    </row>
    <row r="676" spans="1:28" x14ac:dyDescent="0.35">
      <c r="A676">
        <v>450</v>
      </c>
      <c r="B676">
        <v>1958</v>
      </c>
      <c r="C676" t="s">
        <v>25</v>
      </c>
      <c r="D676" t="s">
        <v>34</v>
      </c>
      <c r="E676" t="s">
        <v>29</v>
      </c>
      <c r="F676">
        <v>42315</v>
      </c>
      <c r="G676" t="str">
        <f t="shared" si="30"/>
        <v>Mid-low</v>
      </c>
      <c r="H676">
        <v>0</v>
      </c>
      <c r="I676">
        <v>1</v>
      </c>
      <c r="J676">
        <v>1</v>
      </c>
      <c r="K676" s="1">
        <v>41467</v>
      </c>
      <c r="L676">
        <v>90</v>
      </c>
      <c r="M676" t="str">
        <f t="shared" si="31"/>
        <v>Inactive</v>
      </c>
      <c r="N676">
        <v>0</v>
      </c>
      <c r="O676">
        <v>67</v>
      </c>
      <c r="P676">
        <v>15</v>
      </c>
      <c r="Q676">
        <v>80</v>
      </c>
      <c r="R676">
        <v>17</v>
      </c>
      <c r="S676">
        <v>11</v>
      </c>
      <c r="T676">
        <v>80</v>
      </c>
      <c r="U676">
        <v>270</v>
      </c>
      <c r="V676">
        <v>3</v>
      </c>
      <c r="W676">
        <v>1</v>
      </c>
      <c r="X676">
        <v>4</v>
      </c>
      <c r="Y676">
        <v>4</v>
      </c>
      <c r="Z676">
        <v>9</v>
      </c>
      <c r="AA676">
        <v>3</v>
      </c>
      <c r="AB676" t="str">
        <f t="shared" si="32"/>
        <v>Below average customer</v>
      </c>
    </row>
    <row r="677" spans="1:28" x14ac:dyDescent="0.35">
      <c r="A677">
        <v>9316</v>
      </c>
      <c r="B677">
        <v>1952</v>
      </c>
      <c r="C677" t="s">
        <v>36</v>
      </c>
      <c r="D677" t="s">
        <v>37</v>
      </c>
      <c r="E677" t="s">
        <v>29</v>
      </c>
      <c r="F677">
        <v>13084</v>
      </c>
      <c r="G677" t="str">
        <f t="shared" si="30"/>
        <v>Low</v>
      </c>
      <c r="H677">
        <v>0</v>
      </c>
      <c r="I677">
        <v>0</v>
      </c>
      <c r="J677">
        <v>0</v>
      </c>
      <c r="K677" s="1">
        <v>41580</v>
      </c>
      <c r="L677">
        <v>29</v>
      </c>
      <c r="M677" t="str">
        <f t="shared" si="31"/>
        <v>Active</v>
      </c>
      <c r="N677">
        <v>0</v>
      </c>
      <c r="O677">
        <v>2</v>
      </c>
      <c r="P677">
        <v>0</v>
      </c>
      <c r="Q677">
        <v>7</v>
      </c>
      <c r="R677">
        <v>3</v>
      </c>
      <c r="S677">
        <v>7</v>
      </c>
      <c r="T677">
        <v>10</v>
      </c>
      <c r="U677">
        <v>29</v>
      </c>
      <c r="V677">
        <v>1</v>
      </c>
      <c r="W677">
        <v>1</v>
      </c>
      <c r="X677">
        <v>0</v>
      </c>
      <c r="Y677">
        <v>3</v>
      </c>
      <c r="Z677">
        <v>4</v>
      </c>
      <c r="AA677">
        <v>6</v>
      </c>
      <c r="AB677" t="str">
        <f t="shared" si="32"/>
        <v>Below average customer</v>
      </c>
    </row>
    <row r="678" spans="1:28" x14ac:dyDescent="0.35">
      <c r="A678">
        <v>6379</v>
      </c>
      <c r="B678">
        <v>1949</v>
      </c>
      <c r="C678" t="s">
        <v>36</v>
      </c>
      <c r="D678" t="s">
        <v>34</v>
      </c>
      <c r="E678" t="s">
        <v>38</v>
      </c>
      <c r="F678">
        <v>47570</v>
      </c>
      <c r="G678" t="str">
        <f t="shared" si="30"/>
        <v>Mid-low</v>
      </c>
      <c r="H678">
        <v>1</v>
      </c>
      <c r="I678">
        <v>1</v>
      </c>
      <c r="J678">
        <v>2</v>
      </c>
      <c r="K678" s="1">
        <v>41423</v>
      </c>
      <c r="L678">
        <v>3</v>
      </c>
      <c r="M678" t="str">
        <f t="shared" si="31"/>
        <v>Active</v>
      </c>
      <c r="N678">
        <v>0</v>
      </c>
      <c r="O678">
        <v>67</v>
      </c>
      <c r="P678">
        <v>1</v>
      </c>
      <c r="Q678">
        <v>20</v>
      </c>
      <c r="R678">
        <v>0</v>
      </c>
      <c r="S678">
        <v>2</v>
      </c>
      <c r="T678">
        <v>31</v>
      </c>
      <c r="U678">
        <v>121</v>
      </c>
      <c r="V678">
        <v>3</v>
      </c>
      <c r="W678">
        <v>2</v>
      </c>
      <c r="X678">
        <v>2</v>
      </c>
      <c r="Y678">
        <v>2</v>
      </c>
      <c r="Z678">
        <v>6</v>
      </c>
      <c r="AA678">
        <v>7</v>
      </c>
      <c r="AB678" t="str">
        <f t="shared" si="32"/>
        <v>Below average customer</v>
      </c>
    </row>
    <row r="679" spans="1:28" x14ac:dyDescent="0.35">
      <c r="A679">
        <v>9239</v>
      </c>
      <c r="B679">
        <v>1961</v>
      </c>
      <c r="C679" t="s">
        <v>25</v>
      </c>
      <c r="D679" t="s">
        <v>34</v>
      </c>
      <c r="E679" t="s">
        <v>33</v>
      </c>
      <c r="F679">
        <v>61923</v>
      </c>
      <c r="G679" t="str">
        <f t="shared" si="30"/>
        <v>Mid-high</v>
      </c>
      <c r="H679">
        <v>0</v>
      </c>
      <c r="I679">
        <v>2</v>
      </c>
      <c r="J679">
        <v>2</v>
      </c>
      <c r="K679" s="1">
        <v>41481</v>
      </c>
      <c r="L679">
        <v>94</v>
      </c>
      <c r="M679" t="str">
        <f t="shared" si="31"/>
        <v>Inactive</v>
      </c>
      <c r="N679">
        <v>0</v>
      </c>
      <c r="O679">
        <v>92</v>
      </c>
      <c r="P679">
        <v>4</v>
      </c>
      <c r="Q679">
        <v>18</v>
      </c>
      <c r="R679">
        <v>3</v>
      </c>
      <c r="S679">
        <v>3</v>
      </c>
      <c r="T679">
        <v>6</v>
      </c>
      <c r="U679">
        <v>126</v>
      </c>
      <c r="V679">
        <v>1</v>
      </c>
      <c r="W679">
        <v>2</v>
      </c>
      <c r="X679">
        <v>1</v>
      </c>
      <c r="Y679">
        <v>4</v>
      </c>
      <c r="Z679">
        <v>7</v>
      </c>
      <c r="AA679">
        <v>3</v>
      </c>
      <c r="AB679" t="str">
        <f t="shared" si="32"/>
        <v>Below average customer</v>
      </c>
    </row>
    <row r="680" spans="1:28" x14ac:dyDescent="0.35">
      <c r="A680">
        <v>8315</v>
      </c>
      <c r="B680">
        <v>1995</v>
      </c>
      <c r="C680" t="s">
        <v>30</v>
      </c>
      <c r="D680" t="s">
        <v>26</v>
      </c>
      <c r="E680" t="s">
        <v>27</v>
      </c>
      <c r="F680">
        <v>34824</v>
      </c>
      <c r="G680" t="str">
        <f t="shared" si="30"/>
        <v>Low</v>
      </c>
      <c r="H680">
        <v>0</v>
      </c>
      <c r="I680">
        <v>0</v>
      </c>
      <c r="J680">
        <v>0</v>
      </c>
      <c r="K680" s="1">
        <v>41724</v>
      </c>
      <c r="L680">
        <v>65</v>
      </c>
      <c r="M680" t="str">
        <f t="shared" si="31"/>
        <v>Inactive</v>
      </c>
      <c r="N680">
        <v>0</v>
      </c>
      <c r="O680">
        <v>4</v>
      </c>
      <c r="P680">
        <v>2</v>
      </c>
      <c r="Q680">
        <v>11</v>
      </c>
      <c r="R680">
        <v>2</v>
      </c>
      <c r="S680">
        <v>0</v>
      </c>
      <c r="T680">
        <v>4</v>
      </c>
      <c r="U680">
        <v>23</v>
      </c>
      <c r="V680">
        <v>1</v>
      </c>
      <c r="W680">
        <v>1</v>
      </c>
      <c r="X680">
        <v>0</v>
      </c>
      <c r="Y680">
        <v>2</v>
      </c>
      <c r="Z680">
        <v>3</v>
      </c>
      <c r="AA680">
        <v>6</v>
      </c>
      <c r="AB680" t="str">
        <f t="shared" si="32"/>
        <v>Below average customer</v>
      </c>
    </row>
    <row r="681" spans="1:28" x14ac:dyDescent="0.35">
      <c r="A681">
        <v>2868</v>
      </c>
      <c r="B681">
        <v>1949</v>
      </c>
      <c r="C681" t="s">
        <v>36</v>
      </c>
      <c r="D681" t="s">
        <v>32</v>
      </c>
      <c r="E681" t="s">
        <v>27</v>
      </c>
      <c r="F681">
        <v>26518</v>
      </c>
      <c r="G681" t="str">
        <f t="shared" si="30"/>
        <v>Low</v>
      </c>
      <c r="H681">
        <v>1</v>
      </c>
      <c r="I681">
        <v>1</v>
      </c>
      <c r="J681">
        <v>2</v>
      </c>
      <c r="K681" s="1">
        <v>41372</v>
      </c>
      <c r="L681">
        <v>33</v>
      </c>
      <c r="M681" t="str">
        <f t="shared" si="31"/>
        <v>Active</v>
      </c>
      <c r="N681">
        <v>0</v>
      </c>
      <c r="O681">
        <v>20</v>
      </c>
      <c r="P681">
        <v>1</v>
      </c>
      <c r="Q681">
        <v>28</v>
      </c>
      <c r="R681">
        <v>3</v>
      </c>
      <c r="S681">
        <v>3</v>
      </c>
      <c r="T681">
        <v>2</v>
      </c>
      <c r="U681">
        <v>57</v>
      </c>
      <c r="V681">
        <v>3</v>
      </c>
      <c r="W681">
        <v>2</v>
      </c>
      <c r="X681">
        <v>0</v>
      </c>
      <c r="Y681">
        <v>3</v>
      </c>
      <c r="Z681">
        <v>5</v>
      </c>
      <c r="AA681">
        <v>8</v>
      </c>
      <c r="AB681" t="str">
        <f t="shared" si="32"/>
        <v>Below average customer</v>
      </c>
    </row>
    <row r="682" spans="1:28" x14ac:dyDescent="0.35">
      <c r="A682">
        <v>10888</v>
      </c>
      <c r="B682">
        <v>1961</v>
      </c>
      <c r="C682" t="s">
        <v>25</v>
      </c>
      <c r="D682" t="s">
        <v>26</v>
      </c>
      <c r="E682" t="s">
        <v>27</v>
      </c>
      <c r="F682">
        <v>45938</v>
      </c>
      <c r="G682" t="str">
        <f t="shared" si="30"/>
        <v>Mid-low</v>
      </c>
      <c r="H682">
        <v>0</v>
      </c>
      <c r="I682">
        <v>0</v>
      </c>
      <c r="J682">
        <v>0</v>
      </c>
      <c r="K682" s="1">
        <v>41581</v>
      </c>
      <c r="L682">
        <v>46</v>
      </c>
      <c r="M682" t="str">
        <f t="shared" si="31"/>
        <v>Active</v>
      </c>
      <c r="N682">
        <v>0</v>
      </c>
      <c r="O682">
        <v>273</v>
      </c>
      <c r="P682">
        <v>11</v>
      </c>
      <c r="Q682">
        <v>178</v>
      </c>
      <c r="R682">
        <v>62</v>
      </c>
      <c r="S682">
        <v>83</v>
      </c>
      <c r="T682">
        <v>29</v>
      </c>
      <c r="U682">
        <v>636</v>
      </c>
      <c r="V682">
        <v>2</v>
      </c>
      <c r="W682">
        <v>8</v>
      </c>
      <c r="X682">
        <v>4</v>
      </c>
      <c r="Y682">
        <v>6</v>
      </c>
      <c r="Z682">
        <v>18</v>
      </c>
      <c r="AA682">
        <v>6</v>
      </c>
      <c r="AB682" t="str">
        <f t="shared" si="32"/>
        <v>Below average customer</v>
      </c>
    </row>
    <row r="683" spans="1:28" x14ac:dyDescent="0.35">
      <c r="A683">
        <v>1277</v>
      </c>
      <c r="B683">
        <v>1960</v>
      </c>
      <c r="C683" t="s">
        <v>25</v>
      </c>
      <c r="D683" t="s">
        <v>26</v>
      </c>
      <c r="E683" t="s">
        <v>29</v>
      </c>
      <c r="F683">
        <v>78468</v>
      </c>
      <c r="G683" t="str">
        <f t="shared" si="30"/>
        <v>High</v>
      </c>
      <c r="H683">
        <v>0</v>
      </c>
      <c r="I683">
        <v>0</v>
      </c>
      <c r="J683">
        <v>0</v>
      </c>
      <c r="K683" s="1">
        <v>41738</v>
      </c>
      <c r="L683">
        <v>29</v>
      </c>
      <c r="M683" t="str">
        <f t="shared" si="31"/>
        <v>Active</v>
      </c>
      <c r="N683">
        <v>0</v>
      </c>
      <c r="O683">
        <v>434</v>
      </c>
      <c r="P683">
        <v>22</v>
      </c>
      <c r="Q683">
        <v>388</v>
      </c>
      <c r="R683">
        <v>104</v>
      </c>
      <c r="S683">
        <v>22</v>
      </c>
      <c r="T683">
        <v>34</v>
      </c>
      <c r="U683">
        <v>1004</v>
      </c>
      <c r="V683">
        <v>1</v>
      </c>
      <c r="W683">
        <v>10</v>
      </c>
      <c r="X683">
        <v>7</v>
      </c>
      <c r="Y683">
        <v>10</v>
      </c>
      <c r="Z683">
        <v>27</v>
      </c>
      <c r="AA683">
        <v>4</v>
      </c>
      <c r="AB683" t="str">
        <f t="shared" si="32"/>
        <v>Above average customer</v>
      </c>
    </row>
    <row r="684" spans="1:28" x14ac:dyDescent="0.35">
      <c r="A684">
        <v>9977</v>
      </c>
      <c r="B684">
        <v>1973</v>
      </c>
      <c r="C684" t="s">
        <v>31</v>
      </c>
      <c r="D684" t="s">
        <v>26</v>
      </c>
      <c r="E684" t="s">
        <v>35</v>
      </c>
      <c r="F684">
        <v>78901</v>
      </c>
      <c r="G684" t="str">
        <f t="shared" si="30"/>
        <v>High</v>
      </c>
      <c r="H684">
        <v>0</v>
      </c>
      <c r="I684">
        <v>1</v>
      </c>
      <c r="J684">
        <v>1</v>
      </c>
      <c r="K684" s="1">
        <v>41534</v>
      </c>
      <c r="L684">
        <v>99</v>
      </c>
      <c r="M684" t="str">
        <f t="shared" si="31"/>
        <v>Inactive</v>
      </c>
      <c r="N684">
        <v>0</v>
      </c>
      <c r="O684">
        <v>321</v>
      </c>
      <c r="P684">
        <v>11</v>
      </c>
      <c r="Q684">
        <v>309</v>
      </c>
      <c r="R684">
        <v>33</v>
      </c>
      <c r="S684">
        <v>26</v>
      </c>
      <c r="T684">
        <v>34</v>
      </c>
      <c r="U684">
        <v>734</v>
      </c>
      <c r="V684">
        <v>3</v>
      </c>
      <c r="W684">
        <v>9</v>
      </c>
      <c r="X684">
        <v>3</v>
      </c>
      <c r="Y684">
        <v>5</v>
      </c>
      <c r="Z684">
        <v>17</v>
      </c>
      <c r="AA684">
        <v>4</v>
      </c>
      <c r="AB684" t="str">
        <f t="shared" si="32"/>
        <v>Below average customer</v>
      </c>
    </row>
    <row r="685" spans="1:28" x14ac:dyDescent="0.35">
      <c r="A685">
        <v>10196</v>
      </c>
      <c r="B685">
        <v>1978</v>
      </c>
      <c r="C685" t="s">
        <v>31</v>
      </c>
      <c r="D685" t="s">
        <v>26</v>
      </c>
      <c r="E685" t="s">
        <v>33</v>
      </c>
      <c r="F685">
        <v>71427</v>
      </c>
      <c r="G685" t="str">
        <f t="shared" si="30"/>
        <v>High</v>
      </c>
      <c r="H685">
        <v>2</v>
      </c>
      <c r="I685">
        <v>0</v>
      </c>
      <c r="J685">
        <v>2</v>
      </c>
      <c r="K685" s="1">
        <v>41710</v>
      </c>
      <c r="L685">
        <v>26</v>
      </c>
      <c r="M685" t="str">
        <f t="shared" si="31"/>
        <v>Active</v>
      </c>
      <c r="N685">
        <v>0</v>
      </c>
      <c r="O685">
        <v>212</v>
      </c>
      <c r="P685">
        <v>123</v>
      </c>
      <c r="Q685">
        <v>177</v>
      </c>
      <c r="R685">
        <v>15</v>
      </c>
      <c r="S685">
        <v>64</v>
      </c>
      <c r="T685">
        <v>23</v>
      </c>
      <c r="U685">
        <v>614</v>
      </c>
      <c r="V685">
        <v>2</v>
      </c>
      <c r="W685">
        <v>8</v>
      </c>
      <c r="X685">
        <v>2</v>
      </c>
      <c r="Y685">
        <v>8</v>
      </c>
      <c r="Z685">
        <v>18</v>
      </c>
      <c r="AA685">
        <v>4</v>
      </c>
      <c r="AB685" t="str">
        <f t="shared" si="32"/>
        <v>Above average customer</v>
      </c>
    </row>
    <row r="686" spans="1:28" x14ac:dyDescent="0.35">
      <c r="A686">
        <v>6384</v>
      </c>
      <c r="B686">
        <v>1978</v>
      </c>
      <c r="C686" t="s">
        <v>31</v>
      </c>
      <c r="D686" t="s">
        <v>26</v>
      </c>
      <c r="E686" t="s">
        <v>35</v>
      </c>
      <c r="F686">
        <v>71022</v>
      </c>
      <c r="G686" t="str">
        <f t="shared" si="30"/>
        <v>High</v>
      </c>
      <c r="H686">
        <v>0</v>
      </c>
      <c r="I686">
        <v>1</v>
      </c>
      <c r="J686">
        <v>1</v>
      </c>
      <c r="K686" s="1">
        <v>41681</v>
      </c>
      <c r="L686">
        <v>30</v>
      </c>
      <c r="M686" t="str">
        <f t="shared" si="31"/>
        <v>Active</v>
      </c>
      <c r="N686">
        <v>0</v>
      </c>
      <c r="O686">
        <v>909</v>
      </c>
      <c r="P686">
        <v>12</v>
      </c>
      <c r="Q686">
        <v>278</v>
      </c>
      <c r="R686">
        <v>0</v>
      </c>
      <c r="S686">
        <v>12</v>
      </c>
      <c r="T686">
        <v>242</v>
      </c>
      <c r="U686">
        <v>1453</v>
      </c>
      <c r="V686">
        <v>3</v>
      </c>
      <c r="W686">
        <v>5</v>
      </c>
      <c r="X686">
        <v>2</v>
      </c>
      <c r="Y686">
        <v>11</v>
      </c>
      <c r="Z686">
        <v>18</v>
      </c>
      <c r="AA686">
        <v>8</v>
      </c>
      <c r="AB686" t="str">
        <f t="shared" si="32"/>
        <v>Above average customer</v>
      </c>
    </row>
    <row r="687" spans="1:28" x14ac:dyDescent="0.35">
      <c r="A687">
        <v>8029</v>
      </c>
      <c r="B687">
        <v>1988</v>
      </c>
      <c r="C687" t="s">
        <v>30</v>
      </c>
      <c r="D687" t="s">
        <v>34</v>
      </c>
      <c r="E687" t="s">
        <v>27</v>
      </c>
      <c r="F687">
        <v>90247</v>
      </c>
      <c r="G687" t="str">
        <f t="shared" si="30"/>
        <v>High</v>
      </c>
      <c r="H687">
        <v>0</v>
      </c>
      <c r="I687">
        <v>0</v>
      </c>
      <c r="J687">
        <v>0</v>
      </c>
      <c r="K687" s="1">
        <v>41758</v>
      </c>
      <c r="L687">
        <v>27</v>
      </c>
      <c r="M687" t="str">
        <f t="shared" si="31"/>
        <v>Active</v>
      </c>
      <c r="N687">
        <v>0</v>
      </c>
      <c r="O687">
        <v>1184</v>
      </c>
      <c r="P687">
        <v>32</v>
      </c>
      <c r="Q687">
        <v>352</v>
      </c>
      <c r="R687">
        <v>21</v>
      </c>
      <c r="S687">
        <v>16</v>
      </c>
      <c r="T687">
        <v>16</v>
      </c>
      <c r="U687">
        <v>1621</v>
      </c>
      <c r="V687">
        <v>1</v>
      </c>
      <c r="W687">
        <v>3</v>
      </c>
      <c r="X687">
        <v>4</v>
      </c>
      <c r="Y687">
        <v>7</v>
      </c>
      <c r="Z687">
        <v>14</v>
      </c>
      <c r="AA687">
        <v>1</v>
      </c>
      <c r="AB687" t="str">
        <f t="shared" si="32"/>
        <v>Above average customer</v>
      </c>
    </row>
    <row r="688" spans="1:28" x14ac:dyDescent="0.35">
      <c r="A688">
        <v>968</v>
      </c>
      <c r="B688">
        <v>1968</v>
      </c>
      <c r="C688" t="s">
        <v>28</v>
      </c>
      <c r="D688" t="s">
        <v>34</v>
      </c>
      <c r="E688" t="s">
        <v>35</v>
      </c>
      <c r="F688">
        <v>41335</v>
      </c>
      <c r="G688" t="str">
        <f t="shared" si="30"/>
        <v>Mid-low</v>
      </c>
      <c r="H688">
        <v>1</v>
      </c>
      <c r="I688">
        <v>0</v>
      </c>
      <c r="J688">
        <v>1</v>
      </c>
      <c r="K688" s="1">
        <v>41634</v>
      </c>
      <c r="L688">
        <v>24</v>
      </c>
      <c r="M688" t="str">
        <f t="shared" si="31"/>
        <v>Active</v>
      </c>
      <c r="N688">
        <v>0</v>
      </c>
      <c r="O688">
        <v>112</v>
      </c>
      <c r="P688">
        <v>19</v>
      </c>
      <c r="Q688">
        <v>21</v>
      </c>
      <c r="R688">
        <v>16</v>
      </c>
      <c r="S688">
        <v>14</v>
      </c>
      <c r="T688">
        <v>5</v>
      </c>
      <c r="U688">
        <v>187</v>
      </c>
      <c r="V688">
        <v>3</v>
      </c>
      <c r="W688">
        <v>4</v>
      </c>
      <c r="X688">
        <v>1</v>
      </c>
      <c r="Y688">
        <v>4</v>
      </c>
      <c r="Z688">
        <v>9</v>
      </c>
      <c r="AA688">
        <v>7</v>
      </c>
      <c r="AB688" t="str">
        <f t="shared" si="32"/>
        <v>Below average customer</v>
      </c>
    </row>
    <row r="689" spans="1:28" x14ac:dyDescent="0.35">
      <c r="A689">
        <v>4472</v>
      </c>
      <c r="B689">
        <v>1970</v>
      </c>
      <c r="C689" t="s">
        <v>28</v>
      </c>
      <c r="D689" t="s">
        <v>32</v>
      </c>
      <c r="E689" t="s">
        <v>35</v>
      </c>
      <c r="F689">
        <v>35682</v>
      </c>
      <c r="G689" t="str">
        <f t="shared" si="30"/>
        <v>Mid-low</v>
      </c>
      <c r="H689">
        <v>1</v>
      </c>
      <c r="I689">
        <v>0</v>
      </c>
      <c r="J689">
        <v>1</v>
      </c>
      <c r="K689" s="1">
        <v>41817</v>
      </c>
      <c r="L689">
        <v>34</v>
      </c>
      <c r="M689" t="str">
        <f t="shared" si="31"/>
        <v>Active</v>
      </c>
      <c r="N689">
        <v>0</v>
      </c>
      <c r="O689">
        <v>23</v>
      </c>
      <c r="P689">
        <v>0</v>
      </c>
      <c r="Q689">
        <v>8</v>
      </c>
      <c r="R689">
        <v>6</v>
      </c>
      <c r="S689">
        <v>2</v>
      </c>
      <c r="T689">
        <v>18</v>
      </c>
      <c r="U689">
        <v>57</v>
      </c>
      <c r="V689">
        <v>1</v>
      </c>
      <c r="W689">
        <v>1</v>
      </c>
      <c r="X689">
        <v>1</v>
      </c>
      <c r="Y689">
        <v>3</v>
      </c>
      <c r="Z689">
        <v>5</v>
      </c>
      <c r="AA689">
        <v>2</v>
      </c>
      <c r="AB689" t="str">
        <f t="shared" si="32"/>
        <v>Below average customer</v>
      </c>
    </row>
    <row r="690" spans="1:28" x14ac:dyDescent="0.35">
      <c r="A690">
        <v>6991</v>
      </c>
      <c r="B690">
        <v>1951</v>
      </c>
      <c r="C690" t="s">
        <v>36</v>
      </c>
      <c r="D690" t="s">
        <v>26</v>
      </c>
      <c r="E690" t="s">
        <v>35</v>
      </c>
      <c r="F690">
        <v>43185</v>
      </c>
      <c r="G690" t="str">
        <f t="shared" si="30"/>
        <v>Mid-low</v>
      </c>
      <c r="H690">
        <v>0</v>
      </c>
      <c r="I690">
        <v>1</v>
      </c>
      <c r="J690">
        <v>1</v>
      </c>
      <c r="K690" s="1">
        <v>41374</v>
      </c>
      <c r="L690">
        <v>88</v>
      </c>
      <c r="M690" t="str">
        <f t="shared" si="31"/>
        <v>Inactive</v>
      </c>
      <c r="N690">
        <v>0</v>
      </c>
      <c r="O690">
        <v>537</v>
      </c>
      <c r="P690">
        <v>6</v>
      </c>
      <c r="Q690">
        <v>42</v>
      </c>
      <c r="R690">
        <v>16</v>
      </c>
      <c r="S690">
        <v>6</v>
      </c>
      <c r="T690">
        <v>30</v>
      </c>
      <c r="U690">
        <v>637</v>
      </c>
      <c r="V690">
        <v>2</v>
      </c>
      <c r="W690">
        <v>9</v>
      </c>
      <c r="X690">
        <v>3</v>
      </c>
      <c r="Y690">
        <v>6</v>
      </c>
      <c r="Z690">
        <v>18</v>
      </c>
      <c r="AA690">
        <v>8</v>
      </c>
      <c r="AB690" t="str">
        <f t="shared" si="32"/>
        <v>Below average customer</v>
      </c>
    </row>
    <row r="691" spans="1:28" x14ac:dyDescent="0.35">
      <c r="A691">
        <v>3336</v>
      </c>
      <c r="B691">
        <v>1948</v>
      </c>
      <c r="C691" t="s">
        <v>36</v>
      </c>
      <c r="D691" t="s">
        <v>32</v>
      </c>
      <c r="E691" t="s">
        <v>29</v>
      </c>
      <c r="F691">
        <v>66375</v>
      </c>
      <c r="G691" t="str">
        <f t="shared" si="30"/>
        <v>Mid-high</v>
      </c>
      <c r="H691">
        <v>0</v>
      </c>
      <c r="I691">
        <v>1</v>
      </c>
      <c r="J691">
        <v>1</v>
      </c>
      <c r="K691" s="1">
        <v>41599</v>
      </c>
      <c r="L691">
        <v>96</v>
      </c>
      <c r="M691" t="str">
        <f t="shared" si="31"/>
        <v>Inactive</v>
      </c>
      <c r="N691">
        <v>0</v>
      </c>
      <c r="O691">
        <v>712</v>
      </c>
      <c r="P691">
        <v>0</v>
      </c>
      <c r="Q691">
        <v>45</v>
      </c>
      <c r="R691">
        <v>0</v>
      </c>
      <c r="S691">
        <v>0</v>
      </c>
      <c r="T691">
        <v>191</v>
      </c>
      <c r="U691">
        <v>948</v>
      </c>
      <c r="V691">
        <v>3</v>
      </c>
      <c r="W691">
        <v>2</v>
      </c>
      <c r="X691">
        <v>4</v>
      </c>
      <c r="Y691">
        <v>5</v>
      </c>
      <c r="Z691">
        <v>11</v>
      </c>
      <c r="AA691">
        <v>7</v>
      </c>
      <c r="AB691" t="str">
        <f t="shared" si="32"/>
        <v>Below average customer</v>
      </c>
    </row>
    <row r="692" spans="1:28" x14ac:dyDescent="0.35">
      <c r="A692">
        <v>1940</v>
      </c>
      <c r="B692">
        <v>1986</v>
      </c>
      <c r="C692" t="s">
        <v>30</v>
      </c>
      <c r="D692" t="s">
        <v>26</v>
      </c>
      <c r="E692" t="s">
        <v>33</v>
      </c>
      <c r="F692">
        <v>25252</v>
      </c>
      <c r="G692" t="str">
        <f t="shared" si="30"/>
        <v>Low</v>
      </c>
      <c r="H692">
        <v>1</v>
      </c>
      <c r="I692">
        <v>0</v>
      </c>
      <c r="J692">
        <v>1</v>
      </c>
      <c r="K692" s="1">
        <v>41467</v>
      </c>
      <c r="L692">
        <v>26</v>
      </c>
      <c r="M692" t="str">
        <f t="shared" si="31"/>
        <v>Active</v>
      </c>
      <c r="N692">
        <v>0</v>
      </c>
      <c r="O692">
        <v>1</v>
      </c>
      <c r="P692">
        <v>3</v>
      </c>
      <c r="Q692">
        <v>4</v>
      </c>
      <c r="R692">
        <v>2</v>
      </c>
      <c r="S692">
        <v>2</v>
      </c>
      <c r="T692">
        <v>6</v>
      </c>
      <c r="U692">
        <v>18</v>
      </c>
      <c r="V692">
        <v>1</v>
      </c>
      <c r="W692">
        <v>1</v>
      </c>
      <c r="X692">
        <v>0</v>
      </c>
      <c r="Y692">
        <v>2</v>
      </c>
      <c r="Z692">
        <v>3</v>
      </c>
      <c r="AA692">
        <v>8</v>
      </c>
      <c r="AB692" t="str">
        <f t="shared" si="32"/>
        <v>Below average customer</v>
      </c>
    </row>
    <row r="693" spans="1:28" x14ac:dyDescent="0.35">
      <c r="A693">
        <v>1272</v>
      </c>
      <c r="B693">
        <v>1965</v>
      </c>
      <c r="C693" t="s">
        <v>28</v>
      </c>
      <c r="D693" t="s">
        <v>34</v>
      </c>
      <c r="E693" t="s">
        <v>27</v>
      </c>
      <c r="F693">
        <v>55250</v>
      </c>
      <c r="G693" t="str">
        <f t="shared" si="30"/>
        <v>Mid-high</v>
      </c>
      <c r="H693">
        <v>0</v>
      </c>
      <c r="I693">
        <v>1</v>
      </c>
      <c r="J693">
        <v>1</v>
      </c>
      <c r="K693" s="1">
        <v>41203</v>
      </c>
      <c r="L693">
        <v>49</v>
      </c>
      <c r="M693" t="str">
        <f t="shared" si="31"/>
        <v>Inactive</v>
      </c>
      <c r="N693">
        <v>0</v>
      </c>
      <c r="O693">
        <v>664</v>
      </c>
      <c r="P693">
        <v>58</v>
      </c>
      <c r="Q693">
        <v>83</v>
      </c>
      <c r="R693">
        <v>32</v>
      </c>
      <c r="S693">
        <v>0</v>
      </c>
      <c r="T693">
        <v>66</v>
      </c>
      <c r="U693">
        <v>903</v>
      </c>
      <c r="V693">
        <v>4</v>
      </c>
      <c r="W693">
        <v>7</v>
      </c>
      <c r="X693">
        <v>5</v>
      </c>
      <c r="Y693">
        <v>10</v>
      </c>
      <c r="Z693">
        <v>22</v>
      </c>
      <c r="AA693">
        <v>5</v>
      </c>
      <c r="AB693" t="str">
        <f t="shared" si="32"/>
        <v>Below average customer</v>
      </c>
    </row>
    <row r="694" spans="1:28" x14ac:dyDescent="0.35">
      <c r="A694">
        <v>1388</v>
      </c>
      <c r="B694">
        <v>1975</v>
      </c>
      <c r="C694" t="s">
        <v>31</v>
      </c>
      <c r="D694" t="s">
        <v>26</v>
      </c>
      <c r="E694" t="s">
        <v>27</v>
      </c>
      <c r="F694">
        <v>33249</v>
      </c>
      <c r="G694" t="str">
        <f t="shared" si="30"/>
        <v>Low</v>
      </c>
      <c r="H694">
        <v>1</v>
      </c>
      <c r="I694">
        <v>0</v>
      </c>
      <c r="J694">
        <v>1</v>
      </c>
      <c r="K694" s="1">
        <v>41325</v>
      </c>
      <c r="L694">
        <v>11</v>
      </c>
      <c r="M694" t="str">
        <f t="shared" si="31"/>
        <v>Active</v>
      </c>
      <c r="N694">
        <v>0</v>
      </c>
      <c r="O694">
        <v>6</v>
      </c>
      <c r="P694">
        <v>10</v>
      </c>
      <c r="Q694">
        <v>21</v>
      </c>
      <c r="R694">
        <v>19</v>
      </c>
      <c r="S694">
        <v>14</v>
      </c>
      <c r="T694">
        <v>42</v>
      </c>
      <c r="U694">
        <v>112</v>
      </c>
      <c r="V694">
        <v>2</v>
      </c>
      <c r="W694">
        <v>2</v>
      </c>
      <c r="X694">
        <v>1</v>
      </c>
      <c r="Y694">
        <v>3</v>
      </c>
      <c r="Z694">
        <v>6</v>
      </c>
      <c r="AA694">
        <v>6</v>
      </c>
      <c r="AB694" t="str">
        <f t="shared" si="32"/>
        <v>Below average customer</v>
      </c>
    </row>
    <row r="695" spans="1:28" x14ac:dyDescent="0.35">
      <c r="A695">
        <v>1044</v>
      </c>
      <c r="B695">
        <v>1953</v>
      </c>
      <c r="C695" t="s">
        <v>25</v>
      </c>
      <c r="D695" t="s">
        <v>26</v>
      </c>
      <c r="E695" t="s">
        <v>29</v>
      </c>
      <c r="F695">
        <v>58398</v>
      </c>
      <c r="G695" t="str">
        <f t="shared" si="30"/>
        <v>Mid-high</v>
      </c>
      <c r="H695">
        <v>0</v>
      </c>
      <c r="I695">
        <v>0</v>
      </c>
      <c r="J695">
        <v>0</v>
      </c>
      <c r="K695" s="1">
        <v>41408</v>
      </c>
      <c r="L695">
        <v>44</v>
      </c>
      <c r="M695" t="str">
        <f t="shared" si="31"/>
        <v>Active</v>
      </c>
      <c r="N695">
        <v>0</v>
      </c>
      <c r="O695">
        <v>299</v>
      </c>
      <c r="P695">
        <v>5</v>
      </c>
      <c r="Q695">
        <v>201</v>
      </c>
      <c r="R695">
        <v>21</v>
      </c>
      <c r="S695">
        <v>21</v>
      </c>
      <c r="T695">
        <v>49</v>
      </c>
      <c r="U695">
        <v>596</v>
      </c>
      <c r="V695">
        <v>3</v>
      </c>
      <c r="W695">
        <v>5</v>
      </c>
      <c r="X695">
        <v>4</v>
      </c>
      <c r="Y695">
        <v>8</v>
      </c>
      <c r="Z695">
        <v>17</v>
      </c>
      <c r="AA695">
        <v>4</v>
      </c>
      <c r="AB695" t="str">
        <f t="shared" si="32"/>
        <v>Below average customer</v>
      </c>
    </row>
    <row r="696" spans="1:28" x14ac:dyDescent="0.35">
      <c r="A696">
        <v>6969</v>
      </c>
      <c r="B696">
        <v>1982</v>
      </c>
      <c r="C696" t="s">
        <v>31</v>
      </c>
      <c r="D696" t="s">
        <v>26</v>
      </c>
      <c r="E696" t="s">
        <v>29</v>
      </c>
      <c r="F696">
        <v>50272</v>
      </c>
      <c r="G696" t="str">
        <f t="shared" si="30"/>
        <v>Mid-low</v>
      </c>
      <c r="H696">
        <v>1</v>
      </c>
      <c r="I696">
        <v>0</v>
      </c>
      <c r="J696">
        <v>1</v>
      </c>
      <c r="K696" s="1">
        <v>41493</v>
      </c>
      <c r="L696">
        <v>75</v>
      </c>
      <c r="M696" t="str">
        <f t="shared" si="31"/>
        <v>Inactive</v>
      </c>
      <c r="N696">
        <v>0</v>
      </c>
      <c r="O696">
        <v>99</v>
      </c>
      <c r="P696">
        <v>13</v>
      </c>
      <c r="Q696">
        <v>66</v>
      </c>
      <c r="R696">
        <v>43</v>
      </c>
      <c r="S696">
        <v>8</v>
      </c>
      <c r="T696">
        <v>4</v>
      </c>
      <c r="U696">
        <v>233</v>
      </c>
      <c r="V696">
        <v>3</v>
      </c>
      <c r="W696">
        <v>4</v>
      </c>
      <c r="X696">
        <v>1</v>
      </c>
      <c r="Y696">
        <v>5</v>
      </c>
      <c r="Z696">
        <v>10</v>
      </c>
      <c r="AA696">
        <v>7</v>
      </c>
      <c r="AB696" t="str">
        <f t="shared" si="32"/>
        <v>Below average customer</v>
      </c>
    </row>
    <row r="697" spans="1:28" x14ac:dyDescent="0.35">
      <c r="A697">
        <v>10479</v>
      </c>
      <c r="B697">
        <v>1975</v>
      </c>
      <c r="C697" t="s">
        <v>31</v>
      </c>
      <c r="D697" t="s">
        <v>32</v>
      </c>
      <c r="E697" t="s">
        <v>33</v>
      </c>
      <c r="F697">
        <v>76618</v>
      </c>
      <c r="G697" t="str">
        <f t="shared" si="30"/>
        <v>High</v>
      </c>
      <c r="H697">
        <v>0</v>
      </c>
      <c r="I697">
        <v>0</v>
      </c>
      <c r="J697">
        <v>0</v>
      </c>
      <c r="K697" s="1">
        <v>41250</v>
      </c>
      <c r="L697">
        <v>64</v>
      </c>
      <c r="M697" t="str">
        <f t="shared" si="31"/>
        <v>Inactive</v>
      </c>
      <c r="N697">
        <v>0</v>
      </c>
      <c r="O697">
        <v>749</v>
      </c>
      <c r="P697">
        <v>40</v>
      </c>
      <c r="Q697">
        <v>294</v>
      </c>
      <c r="R697">
        <v>121</v>
      </c>
      <c r="S697">
        <v>160</v>
      </c>
      <c r="T697">
        <v>147</v>
      </c>
      <c r="U697">
        <v>1511</v>
      </c>
      <c r="V697">
        <v>1</v>
      </c>
      <c r="W697">
        <v>3</v>
      </c>
      <c r="X697">
        <v>2</v>
      </c>
      <c r="Y697">
        <v>5</v>
      </c>
      <c r="Z697">
        <v>10</v>
      </c>
      <c r="AA697">
        <v>1</v>
      </c>
      <c r="AB697" t="str">
        <f t="shared" si="32"/>
        <v>Below average customer</v>
      </c>
    </row>
    <row r="698" spans="1:28" x14ac:dyDescent="0.35">
      <c r="A698">
        <v>3619</v>
      </c>
      <c r="B698">
        <v>1960</v>
      </c>
      <c r="C698" t="s">
        <v>25</v>
      </c>
      <c r="D698" t="s">
        <v>34</v>
      </c>
      <c r="E698" t="s">
        <v>35</v>
      </c>
      <c r="F698">
        <v>87305</v>
      </c>
      <c r="G698" t="str">
        <f t="shared" si="30"/>
        <v>High</v>
      </c>
      <c r="H698">
        <v>0</v>
      </c>
      <c r="I698">
        <v>0</v>
      </c>
      <c r="J698">
        <v>0</v>
      </c>
      <c r="K698" s="1">
        <v>41175</v>
      </c>
      <c r="L698">
        <v>19</v>
      </c>
      <c r="M698" t="str">
        <f t="shared" si="31"/>
        <v>Active</v>
      </c>
      <c r="N698">
        <v>0</v>
      </c>
      <c r="O698">
        <v>345</v>
      </c>
      <c r="P698">
        <v>25</v>
      </c>
      <c r="Q698">
        <v>501</v>
      </c>
      <c r="R698">
        <v>63</v>
      </c>
      <c r="S698">
        <v>138</v>
      </c>
      <c r="T698">
        <v>80</v>
      </c>
      <c r="U698">
        <v>1152</v>
      </c>
      <c r="V698">
        <v>1</v>
      </c>
      <c r="W698">
        <v>5</v>
      </c>
      <c r="X698">
        <v>3</v>
      </c>
      <c r="Y698">
        <v>8</v>
      </c>
      <c r="Z698">
        <v>16</v>
      </c>
      <c r="AA698">
        <v>2</v>
      </c>
      <c r="AB698" t="str">
        <f t="shared" si="32"/>
        <v>Above average customer</v>
      </c>
    </row>
    <row r="699" spans="1:28" x14ac:dyDescent="0.35">
      <c r="A699">
        <v>1715</v>
      </c>
      <c r="B699">
        <v>1978</v>
      </c>
      <c r="C699" t="s">
        <v>31</v>
      </c>
      <c r="D699" t="s">
        <v>26</v>
      </c>
      <c r="E699" t="s">
        <v>29</v>
      </c>
      <c r="F699">
        <v>25851</v>
      </c>
      <c r="G699" t="str">
        <f t="shared" si="30"/>
        <v>Low</v>
      </c>
      <c r="H699">
        <v>1</v>
      </c>
      <c r="I699">
        <v>0</v>
      </c>
      <c r="J699">
        <v>1</v>
      </c>
      <c r="K699" s="1">
        <v>41316</v>
      </c>
      <c r="L699">
        <v>45</v>
      </c>
      <c r="M699" t="str">
        <f t="shared" si="31"/>
        <v>Active</v>
      </c>
      <c r="N699">
        <v>0</v>
      </c>
      <c r="O699">
        <v>9</v>
      </c>
      <c r="P699">
        <v>4</v>
      </c>
      <c r="Q699">
        <v>18</v>
      </c>
      <c r="R699">
        <v>7</v>
      </c>
      <c r="S699">
        <v>5</v>
      </c>
      <c r="T699">
        <v>5</v>
      </c>
      <c r="U699">
        <v>48</v>
      </c>
      <c r="V699">
        <v>2</v>
      </c>
      <c r="W699">
        <v>2</v>
      </c>
      <c r="X699">
        <v>0</v>
      </c>
      <c r="Y699">
        <v>3</v>
      </c>
      <c r="Z699">
        <v>5</v>
      </c>
      <c r="AA699">
        <v>7</v>
      </c>
      <c r="AB699" t="str">
        <f t="shared" si="32"/>
        <v>Below average customer</v>
      </c>
    </row>
    <row r="700" spans="1:28" x14ac:dyDescent="0.35">
      <c r="A700">
        <v>10159</v>
      </c>
      <c r="B700">
        <v>1970</v>
      </c>
      <c r="C700" t="s">
        <v>28</v>
      </c>
      <c r="D700" t="s">
        <v>26</v>
      </c>
      <c r="E700" t="s">
        <v>35</v>
      </c>
      <c r="F700">
        <v>58710</v>
      </c>
      <c r="G700" t="str">
        <f t="shared" si="30"/>
        <v>Mid-high</v>
      </c>
      <c r="H700">
        <v>0</v>
      </c>
      <c r="I700">
        <v>1</v>
      </c>
      <c r="J700">
        <v>1</v>
      </c>
      <c r="K700" s="1">
        <v>41364</v>
      </c>
      <c r="L700">
        <v>77</v>
      </c>
      <c r="M700" t="str">
        <f t="shared" si="31"/>
        <v>Inactive</v>
      </c>
      <c r="N700">
        <v>0</v>
      </c>
      <c r="O700">
        <v>440</v>
      </c>
      <c r="P700">
        <v>81</v>
      </c>
      <c r="Q700">
        <v>368</v>
      </c>
      <c r="R700">
        <v>0</v>
      </c>
      <c r="S700">
        <v>122</v>
      </c>
      <c r="T700">
        <v>174</v>
      </c>
      <c r="U700">
        <v>1185</v>
      </c>
      <c r="V700">
        <v>6</v>
      </c>
      <c r="W700">
        <v>11</v>
      </c>
      <c r="X700">
        <v>5</v>
      </c>
      <c r="Y700">
        <v>9</v>
      </c>
      <c r="Z700">
        <v>25</v>
      </c>
      <c r="AA700">
        <v>6</v>
      </c>
      <c r="AB700" t="str">
        <f t="shared" si="32"/>
        <v>Below average customer</v>
      </c>
    </row>
    <row r="701" spans="1:28" x14ac:dyDescent="0.35">
      <c r="A701">
        <v>1463</v>
      </c>
      <c r="B701">
        <v>1958</v>
      </c>
      <c r="C701" t="s">
        <v>25</v>
      </c>
      <c r="D701" t="s">
        <v>26</v>
      </c>
      <c r="E701" t="s">
        <v>27</v>
      </c>
      <c r="F701">
        <v>45160</v>
      </c>
      <c r="G701" t="str">
        <f t="shared" si="30"/>
        <v>Mid-low</v>
      </c>
      <c r="H701">
        <v>1</v>
      </c>
      <c r="I701">
        <v>1</v>
      </c>
      <c r="J701">
        <v>2</v>
      </c>
      <c r="K701" s="1">
        <v>41727</v>
      </c>
      <c r="L701">
        <v>9</v>
      </c>
      <c r="M701" t="str">
        <f t="shared" si="31"/>
        <v>Active</v>
      </c>
      <c r="N701">
        <v>0</v>
      </c>
      <c r="O701">
        <v>8</v>
      </c>
      <c r="P701">
        <v>2</v>
      </c>
      <c r="Q701">
        <v>5</v>
      </c>
      <c r="R701">
        <v>3</v>
      </c>
      <c r="S701">
        <v>0</v>
      </c>
      <c r="T701">
        <v>3</v>
      </c>
      <c r="U701">
        <v>21</v>
      </c>
      <c r="V701">
        <v>1</v>
      </c>
      <c r="W701">
        <v>1</v>
      </c>
      <c r="X701">
        <v>0</v>
      </c>
      <c r="Y701">
        <v>2</v>
      </c>
      <c r="Z701">
        <v>3</v>
      </c>
      <c r="AA701">
        <v>7</v>
      </c>
      <c r="AB701" t="str">
        <f t="shared" si="32"/>
        <v>Below average customer</v>
      </c>
    </row>
    <row r="702" spans="1:28" x14ac:dyDescent="0.35">
      <c r="A702">
        <v>5114</v>
      </c>
      <c r="B702">
        <v>1965</v>
      </c>
      <c r="C702" t="s">
        <v>28</v>
      </c>
      <c r="D702" t="s">
        <v>34</v>
      </c>
      <c r="E702" t="s">
        <v>33</v>
      </c>
      <c r="F702">
        <v>74806</v>
      </c>
      <c r="G702" t="str">
        <f t="shared" si="30"/>
        <v>High</v>
      </c>
      <c r="H702">
        <v>0</v>
      </c>
      <c r="I702">
        <v>1</v>
      </c>
      <c r="J702">
        <v>1</v>
      </c>
      <c r="K702" s="1">
        <v>41262</v>
      </c>
      <c r="L702">
        <v>1</v>
      </c>
      <c r="M702" t="str">
        <f t="shared" si="31"/>
        <v>Active</v>
      </c>
      <c r="N702">
        <v>0</v>
      </c>
      <c r="O702">
        <v>670</v>
      </c>
      <c r="P702">
        <v>9</v>
      </c>
      <c r="Q702">
        <v>249</v>
      </c>
      <c r="R702">
        <v>0</v>
      </c>
      <c r="S702">
        <v>28</v>
      </c>
      <c r="T702">
        <v>9</v>
      </c>
      <c r="U702">
        <v>965</v>
      </c>
      <c r="V702">
        <v>2</v>
      </c>
      <c r="W702">
        <v>5</v>
      </c>
      <c r="X702">
        <v>4</v>
      </c>
      <c r="Y702">
        <v>5</v>
      </c>
      <c r="Z702">
        <v>14</v>
      </c>
      <c r="AA702">
        <v>4</v>
      </c>
      <c r="AB702" t="str">
        <f t="shared" si="32"/>
        <v>Above average customer</v>
      </c>
    </row>
    <row r="703" spans="1:28" x14ac:dyDescent="0.35">
      <c r="A703">
        <v>4990</v>
      </c>
      <c r="B703">
        <v>1954</v>
      </c>
      <c r="C703" t="s">
        <v>25</v>
      </c>
      <c r="D703" t="s">
        <v>26</v>
      </c>
      <c r="E703" t="s">
        <v>33</v>
      </c>
      <c r="F703">
        <v>59111</v>
      </c>
      <c r="G703" t="str">
        <f t="shared" si="30"/>
        <v>Mid-high</v>
      </c>
      <c r="H703">
        <v>0</v>
      </c>
      <c r="I703">
        <v>0</v>
      </c>
      <c r="J703">
        <v>0</v>
      </c>
      <c r="K703" s="1">
        <v>41396</v>
      </c>
      <c r="L703">
        <v>90</v>
      </c>
      <c r="M703" t="str">
        <f t="shared" si="31"/>
        <v>Inactive</v>
      </c>
      <c r="N703">
        <v>0</v>
      </c>
      <c r="O703">
        <v>524</v>
      </c>
      <c r="P703">
        <v>0</v>
      </c>
      <c r="Q703">
        <v>134</v>
      </c>
      <c r="R703">
        <v>28</v>
      </c>
      <c r="S703">
        <v>28</v>
      </c>
      <c r="T703">
        <v>155</v>
      </c>
      <c r="U703">
        <v>869</v>
      </c>
      <c r="V703">
        <v>1</v>
      </c>
      <c r="W703">
        <v>11</v>
      </c>
      <c r="X703">
        <v>1</v>
      </c>
      <c r="Y703">
        <v>8</v>
      </c>
      <c r="Z703">
        <v>20</v>
      </c>
      <c r="AA703">
        <v>7</v>
      </c>
      <c r="AB703" t="str">
        <f t="shared" si="32"/>
        <v>Below average customer</v>
      </c>
    </row>
    <row r="704" spans="1:28" x14ac:dyDescent="0.35">
      <c r="A704">
        <v>4329</v>
      </c>
      <c r="B704">
        <v>1984</v>
      </c>
      <c r="C704" t="s">
        <v>30</v>
      </c>
      <c r="D704" t="s">
        <v>32</v>
      </c>
      <c r="E704" t="s">
        <v>33</v>
      </c>
      <c r="F704">
        <v>18988</v>
      </c>
      <c r="G704" t="str">
        <f t="shared" si="30"/>
        <v>Low</v>
      </c>
      <c r="H704">
        <v>1</v>
      </c>
      <c r="I704">
        <v>0</v>
      </c>
      <c r="J704">
        <v>1</v>
      </c>
      <c r="K704" s="1">
        <v>41782</v>
      </c>
      <c r="L704">
        <v>43</v>
      </c>
      <c r="M704" t="str">
        <f t="shared" si="31"/>
        <v>Active</v>
      </c>
      <c r="N704">
        <v>0</v>
      </c>
      <c r="O704">
        <v>6</v>
      </c>
      <c r="P704">
        <v>0</v>
      </c>
      <c r="Q704">
        <v>6</v>
      </c>
      <c r="R704">
        <v>2</v>
      </c>
      <c r="S704">
        <v>1</v>
      </c>
      <c r="T704">
        <v>1</v>
      </c>
      <c r="U704">
        <v>16</v>
      </c>
      <c r="V704">
        <v>2</v>
      </c>
      <c r="W704">
        <v>1</v>
      </c>
      <c r="X704">
        <v>0</v>
      </c>
      <c r="Y704">
        <v>3</v>
      </c>
      <c r="Z704">
        <v>4</v>
      </c>
      <c r="AA704">
        <v>7</v>
      </c>
      <c r="AB704" t="str">
        <f t="shared" si="32"/>
        <v>Below average customer</v>
      </c>
    </row>
    <row r="705" spans="1:28" x14ac:dyDescent="0.35">
      <c r="A705">
        <v>10936</v>
      </c>
      <c r="B705">
        <v>1965</v>
      </c>
      <c r="C705" t="s">
        <v>28</v>
      </c>
      <c r="D705" t="s">
        <v>26</v>
      </c>
      <c r="E705" t="s">
        <v>33</v>
      </c>
      <c r="F705">
        <v>72190</v>
      </c>
      <c r="G705" t="str">
        <f t="shared" si="30"/>
        <v>High</v>
      </c>
      <c r="H705">
        <v>0</v>
      </c>
      <c r="I705">
        <v>0</v>
      </c>
      <c r="J705">
        <v>0</v>
      </c>
      <c r="K705" s="1">
        <v>41318</v>
      </c>
      <c r="L705">
        <v>79</v>
      </c>
      <c r="M705" t="str">
        <f t="shared" si="31"/>
        <v>Inactive</v>
      </c>
      <c r="N705">
        <v>0</v>
      </c>
      <c r="O705">
        <v>597</v>
      </c>
      <c r="P705">
        <v>166</v>
      </c>
      <c r="Q705">
        <v>597</v>
      </c>
      <c r="R705">
        <v>172</v>
      </c>
      <c r="S705">
        <v>166</v>
      </c>
      <c r="T705">
        <v>249</v>
      </c>
      <c r="U705">
        <v>1947</v>
      </c>
      <c r="V705">
        <v>1</v>
      </c>
      <c r="W705">
        <v>5</v>
      </c>
      <c r="X705">
        <v>6</v>
      </c>
      <c r="Y705">
        <v>4</v>
      </c>
      <c r="Z705">
        <v>15</v>
      </c>
      <c r="AA705">
        <v>3</v>
      </c>
      <c r="AB705" t="str">
        <f t="shared" si="32"/>
        <v>Below average customer</v>
      </c>
    </row>
    <row r="706" spans="1:28" x14ac:dyDescent="0.35">
      <c r="A706">
        <v>4692</v>
      </c>
      <c r="B706">
        <v>1976</v>
      </c>
      <c r="C706" t="s">
        <v>31</v>
      </c>
      <c r="D706" t="s">
        <v>26</v>
      </c>
      <c r="E706" t="s">
        <v>33</v>
      </c>
      <c r="F706">
        <v>7500</v>
      </c>
      <c r="G706" t="str">
        <f t="shared" ref="G706:G769" si="33">IF(F706&lt;=_xlfn.PERCENTILE.INC($F$2:$F$2056,0.25),"Low",IF(F706&lt;=_xlfn.PERCENTILE.INC($F$2:$F$2056,0.5),"Mid-low",IF(F706&lt;=_xlfn.PERCENTILE.INC($F$2:$F$2056,0.75),"Mid-high","High")))</f>
        <v>Low</v>
      </c>
      <c r="H706">
        <v>1</v>
      </c>
      <c r="I706">
        <v>0</v>
      </c>
      <c r="J706">
        <v>1</v>
      </c>
      <c r="K706" s="1">
        <v>41122</v>
      </c>
      <c r="L706">
        <v>19</v>
      </c>
      <c r="M706" t="str">
        <f t="shared" ref="M706:M769" si="34">IF(L706&gt;AVERAGE($L$2:$L$2056),"Inactive","Active")</f>
        <v>Active</v>
      </c>
      <c r="N706">
        <v>0</v>
      </c>
      <c r="O706">
        <v>7</v>
      </c>
      <c r="P706">
        <v>0</v>
      </c>
      <c r="Q706">
        <v>12</v>
      </c>
      <c r="R706">
        <v>13</v>
      </c>
      <c r="S706">
        <v>7</v>
      </c>
      <c r="T706">
        <v>32</v>
      </c>
      <c r="U706">
        <v>71</v>
      </c>
      <c r="V706">
        <v>5</v>
      </c>
      <c r="W706">
        <v>4</v>
      </c>
      <c r="X706">
        <v>1</v>
      </c>
      <c r="Y706">
        <v>2</v>
      </c>
      <c r="Z706">
        <v>7</v>
      </c>
      <c r="AA706">
        <v>9</v>
      </c>
      <c r="AB706" t="str">
        <f t="shared" ref="AB706:AB769" si="35">IF(AND(Z706&gt;AVERAGE($Z$2:$Z$2056),U706&gt;AVERAGE($U$2:$U$2056),N706=0,L706&lt;AVERAGE($L$2:$L$2056),F706&gt;AVERAGE($F$2:$F$2240)),"Above average customer","Below average customer")</f>
        <v>Below average customer</v>
      </c>
    </row>
    <row r="707" spans="1:28" x14ac:dyDescent="0.35">
      <c r="A707">
        <v>6086</v>
      </c>
      <c r="B707">
        <v>1955</v>
      </c>
      <c r="C707" t="s">
        <v>25</v>
      </c>
      <c r="D707" t="s">
        <v>26</v>
      </c>
      <c r="E707" t="s">
        <v>33</v>
      </c>
      <c r="F707">
        <v>80395</v>
      </c>
      <c r="G707" t="str">
        <f t="shared" si="33"/>
        <v>High</v>
      </c>
      <c r="H707">
        <v>0</v>
      </c>
      <c r="I707">
        <v>0</v>
      </c>
      <c r="J707">
        <v>0</v>
      </c>
      <c r="K707" s="1">
        <v>41601</v>
      </c>
      <c r="L707">
        <v>62</v>
      </c>
      <c r="M707" t="str">
        <f t="shared" si="34"/>
        <v>Inactive</v>
      </c>
      <c r="N707">
        <v>0</v>
      </c>
      <c r="O707">
        <v>445</v>
      </c>
      <c r="P707">
        <v>25</v>
      </c>
      <c r="Q707">
        <v>706</v>
      </c>
      <c r="R707">
        <v>80</v>
      </c>
      <c r="S707">
        <v>76</v>
      </c>
      <c r="T707">
        <v>48</v>
      </c>
      <c r="U707">
        <v>1380</v>
      </c>
      <c r="V707">
        <v>1</v>
      </c>
      <c r="W707">
        <v>6</v>
      </c>
      <c r="X707">
        <v>5</v>
      </c>
      <c r="Y707">
        <v>12</v>
      </c>
      <c r="Z707">
        <v>23</v>
      </c>
      <c r="AA707">
        <v>2</v>
      </c>
      <c r="AB707" t="str">
        <f t="shared" si="35"/>
        <v>Below average customer</v>
      </c>
    </row>
    <row r="708" spans="1:28" x14ac:dyDescent="0.35">
      <c r="A708">
        <v>437</v>
      </c>
      <c r="B708">
        <v>1976</v>
      </c>
      <c r="C708" t="s">
        <v>31</v>
      </c>
      <c r="D708" t="s">
        <v>34</v>
      </c>
      <c r="E708" t="s">
        <v>35</v>
      </c>
      <c r="F708">
        <v>75012</v>
      </c>
      <c r="G708" t="str">
        <f t="shared" si="33"/>
        <v>High</v>
      </c>
      <c r="H708">
        <v>0</v>
      </c>
      <c r="I708">
        <v>0</v>
      </c>
      <c r="J708">
        <v>0</v>
      </c>
      <c r="K708" s="1">
        <v>41664</v>
      </c>
      <c r="L708">
        <v>41</v>
      </c>
      <c r="M708" t="str">
        <f t="shared" si="34"/>
        <v>Active</v>
      </c>
      <c r="N708">
        <v>0</v>
      </c>
      <c r="O708">
        <v>294</v>
      </c>
      <c r="P708">
        <v>142</v>
      </c>
      <c r="Q708">
        <v>218</v>
      </c>
      <c r="R708">
        <v>164</v>
      </c>
      <c r="S708">
        <v>58</v>
      </c>
      <c r="T708">
        <v>151</v>
      </c>
      <c r="U708">
        <v>1027</v>
      </c>
      <c r="V708">
        <v>1</v>
      </c>
      <c r="W708">
        <v>3</v>
      </c>
      <c r="X708">
        <v>8</v>
      </c>
      <c r="Y708">
        <v>11</v>
      </c>
      <c r="Z708">
        <v>22</v>
      </c>
      <c r="AA708">
        <v>1</v>
      </c>
      <c r="AB708" t="str">
        <f t="shared" si="35"/>
        <v>Above average customer</v>
      </c>
    </row>
    <row r="709" spans="1:28" x14ac:dyDescent="0.35">
      <c r="A709">
        <v>11171</v>
      </c>
      <c r="B709">
        <v>1965</v>
      </c>
      <c r="C709" t="s">
        <v>28</v>
      </c>
      <c r="D709" t="s">
        <v>34</v>
      </c>
      <c r="E709" t="s">
        <v>33</v>
      </c>
      <c r="F709">
        <v>56962</v>
      </c>
      <c r="G709" t="str">
        <f t="shared" si="33"/>
        <v>Mid-high</v>
      </c>
      <c r="H709">
        <v>2</v>
      </c>
      <c r="I709">
        <v>1</v>
      </c>
      <c r="J709">
        <v>3</v>
      </c>
      <c r="K709" s="1">
        <v>41558</v>
      </c>
      <c r="L709">
        <v>60</v>
      </c>
      <c r="M709" t="str">
        <f t="shared" si="34"/>
        <v>Inactive</v>
      </c>
      <c r="N709">
        <v>0</v>
      </c>
      <c r="O709">
        <v>292</v>
      </c>
      <c r="P709">
        <v>3</v>
      </c>
      <c r="Q709">
        <v>77</v>
      </c>
      <c r="R709">
        <v>10</v>
      </c>
      <c r="S709">
        <v>3</v>
      </c>
      <c r="T709">
        <v>26</v>
      </c>
      <c r="U709">
        <v>411</v>
      </c>
      <c r="V709">
        <v>7</v>
      </c>
      <c r="W709">
        <v>6</v>
      </c>
      <c r="X709">
        <v>3</v>
      </c>
      <c r="Y709">
        <v>5</v>
      </c>
      <c r="Z709">
        <v>14</v>
      </c>
      <c r="AA709">
        <v>7</v>
      </c>
      <c r="AB709" t="str">
        <f t="shared" si="35"/>
        <v>Below average customer</v>
      </c>
    </row>
    <row r="710" spans="1:28" x14ac:dyDescent="0.35">
      <c r="A710">
        <v>11101</v>
      </c>
      <c r="B710">
        <v>1991</v>
      </c>
      <c r="C710" t="s">
        <v>30</v>
      </c>
      <c r="D710" t="s">
        <v>26</v>
      </c>
      <c r="E710" t="s">
        <v>29</v>
      </c>
      <c r="F710">
        <v>89891</v>
      </c>
      <c r="G710" t="str">
        <f t="shared" si="33"/>
        <v>High</v>
      </c>
      <c r="H710">
        <v>0</v>
      </c>
      <c r="I710">
        <v>0</v>
      </c>
      <c r="J710">
        <v>0</v>
      </c>
      <c r="K710" s="1">
        <v>41379</v>
      </c>
      <c r="L710">
        <v>17</v>
      </c>
      <c r="M710" t="str">
        <f t="shared" si="34"/>
        <v>Active</v>
      </c>
      <c r="N710">
        <v>0</v>
      </c>
      <c r="O710">
        <v>412</v>
      </c>
      <c r="P710">
        <v>22</v>
      </c>
      <c r="Q710">
        <v>132</v>
      </c>
      <c r="R710">
        <v>59</v>
      </c>
      <c r="S710">
        <v>28</v>
      </c>
      <c r="T710">
        <v>183</v>
      </c>
      <c r="U710">
        <v>836</v>
      </c>
      <c r="V710">
        <v>1</v>
      </c>
      <c r="W710">
        <v>11</v>
      </c>
      <c r="X710">
        <v>6</v>
      </c>
      <c r="Y710">
        <v>8</v>
      </c>
      <c r="Z710">
        <v>25</v>
      </c>
      <c r="AA710">
        <v>4</v>
      </c>
      <c r="AB710" t="str">
        <f t="shared" si="35"/>
        <v>Above average customer</v>
      </c>
    </row>
    <row r="711" spans="1:28" x14ac:dyDescent="0.35">
      <c r="A711">
        <v>5329</v>
      </c>
      <c r="B711">
        <v>1949</v>
      </c>
      <c r="C711" t="s">
        <v>36</v>
      </c>
      <c r="D711" t="s">
        <v>32</v>
      </c>
      <c r="E711" t="s">
        <v>35</v>
      </c>
      <c r="F711">
        <v>35946</v>
      </c>
      <c r="G711" t="str">
        <f t="shared" si="33"/>
        <v>Mid-low</v>
      </c>
      <c r="H711">
        <v>1</v>
      </c>
      <c r="I711">
        <v>1</v>
      </c>
      <c r="J711">
        <v>2</v>
      </c>
      <c r="K711" s="1">
        <v>41544</v>
      </c>
      <c r="L711">
        <v>24</v>
      </c>
      <c r="M711" t="str">
        <f t="shared" si="34"/>
        <v>Active</v>
      </c>
      <c r="N711">
        <v>0</v>
      </c>
      <c r="O711">
        <v>8</v>
      </c>
      <c r="P711">
        <v>0</v>
      </c>
      <c r="Q711">
        <v>3</v>
      </c>
      <c r="R711">
        <v>0</v>
      </c>
      <c r="S711">
        <v>0</v>
      </c>
      <c r="T711">
        <v>0</v>
      </c>
      <c r="U711">
        <v>11</v>
      </c>
      <c r="V711">
        <v>1</v>
      </c>
      <c r="W711">
        <v>0</v>
      </c>
      <c r="X711">
        <v>0</v>
      </c>
      <c r="Y711">
        <v>3</v>
      </c>
      <c r="Z711">
        <v>3</v>
      </c>
      <c r="AA711">
        <v>5</v>
      </c>
      <c r="AB711" t="str">
        <f t="shared" si="35"/>
        <v>Below average customer</v>
      </c>
    </row>
    <row r="712" spans="1:28" x14ac:dyDescent="0.35">
      <c r="A712">
        <v>610</v>
      </c>
      <c r="B712">
        <v>1953</v>
      </c>
      <c r="C712" t="s">
        <v>25</v>
      </c>
      <c r="D712" t="s">
        <v>32</v>
      </c>
      <c r="E712" t="s">
        <v>29</v>
      </c>
      <c r="F712">
        <v>53593</v>
      </c>
      <c r="G712" t="str">
        <f t="shared" si="33"/>
        <v>Mid-high</v>
      </c>
      <c r="H712">
        <v>1</v>
      </c>
      <c r="I712">
        <v>1</v>
      </c>
      <c r="J712">
        <v>2</v>
      </c>
      <c r="K712" s="1">
        <v>41128</v>
      </c>
      <c r="L712">
        <v>60</v>
      </c>
      <c r="M712" t="str">
        <f t="shared" si="34"/>
        <v>Inactive</v>
      </c>
      <c r="N712">
        <v>0</v>
      </c>
      <c r="O712">
        <v>349</v>
      </c>
      <c r="P712">
        <v>4</v>
      </c>
      <c r="Q712">
        <v>78</v>
      </c>
      <c r="R712">
        <v>6</v>
      </c>
      <c r="S712">
        <v>0</v>
      </c>
      <c r="T712">
        <v>43</v>
      </c>
      <c r="U712">
        <v>480</v>
      </c>
      <c r="V712">
        <v>8</v>
      </c>
      <c r="W712">
        <v>7</v>
      </c>
      <c r="X712">
        <v>2</v>
      </c>
      <c r="Y712">
        <v>6</v>
      </c>
      <c r="Z712">
        <v>15</v>
      </c>
      <c r="AA712">
        <v>8</v>
      </c>
      <c r="AB712" t="str">
        <f t="shared" si="35"/>
        <v>Below average customer</v>
      </c>
    </row>
    <row r="713" spans="1:28" x14ac:dyDescent="0.35">
      <c r="A713">
        <v>5956</v>
      </c>
      <c r="B713">
        <v>1948</v>
      </c>
      <c r="C713" t="s">
        <v>36</v>
      </c>
      <c r="D713" t="s">
        <v>32</v>
      </c>
      <c r="E713" t="s">
        <v>35</v>
      </c>
      <c r="F713">
        <v>45072</v>
      </c>
      <c r="G713" t="str">
        <f t="shared" si="33"/>
        <v>Mid-low</v>
      </c>
      <c r="H713">
        <v>1</v>
      </c>
      <c r="I713">
        <v>2</v>
      </c>
      <c r="J713">
        <v>3</v>
      </c>
      <c r="K713" s="1">
        <v>41563</v>
      </c>
      <c r="L713">
        <v>74</v>
      </c>
      <c r="M713" t="str">
        <f t="shared" si="34"/>
        <v>Inactive</v>
      </c>
      <c r="N713">
        <v>0</v>
      </c>
      <c r="O713">
        <v>144</v>
      </c>
      <c r="P713">
        <v>2</v>
      </c>
      <c r="Q713">
        <v>99</v>
      </c>
      <c r="R713">
        <v>7</v>
      </c>
      <c r="S713">
        <v>2</v>
      </c>
      <c r="T713">
        <v>30</v>
      </c>
      <c r="U713">
        <v>284</v>
      </c>
      <c r="V713">
        <v>5</v>
      </c>
      <c r="W713">
        <v>6</v>
      </c>
      <c r="X713">
        <v>1</v>
      </c>
      <c r="Y713">
        <v>4</v>
      </c>
      <c r="Z713">
        <v>11</v>
      </c>
      <c r="AA713">
        <v>8</v>
      </c>
      <c r="AB713" t="str">
        <f t="shared" si="35"/>
        <v>Below average customer</v>
      </c>
    </row>
    <row r="714" spans="1:28" x14ac:dyDescent="0.35">
      <c r="A714">
        <v>10430</v>
      </c>
      <c r="B714">
        <v>1973</v>
      </c>
      <c r="C714" t="s">
        <v>31</v>
      </c>
      <c r="D714" t="s">
        <v>26</v>
      </c>
      <c r="E714" t="s">
        <v>35</v>
      </c>
      <c r="F714">
        <v>89694</v>
      </c>
      <c r="G714" t="str">
        <f t="shared" si="33"/>
        <v>High</v>
      </c>
      <c r="H714">
        <v>1</v>
      </c>
      <c r="I714">
        <v>1</v>
      </c>
      <c r="J714">
        <v>2</v>
      </c>
      <c r="K714" s="1">
        <v>41556</v>
      </c>
      <c r="L714">
        <v>22</v>
      </c>
      <c r="M714" t="str">
        <f t="shared" si="34"/>
        <v>Active</v>
      </c>
      <c r="N714">
        <v>0</v>
      </c>
      <c r="O714">
        <v>1126</v>
      </c>
      <c r="P714">
        <v>28</v>
      </c>
      <c r="Q714">
        <v>211</v>
      </c>
      <c r="R714">
        <v>37</v>
      </c>
      <c r="S714">
        <v>28</v>
      </c>
      <c r="T714">
        <v>42</v>
      </c>
      <c r="U714">
        <v>1472</v>
      </c>
      <c r="V714">
        <v>3</v>
      </c>
      <c r="W714">
        <v>4</v>
      </c>
      <c r="X714">
        <v>3</v>
      </c>
      <c r="Y714">
        <v>4</v>
      </c>
      <c r="Z714">
        <v>11</v>
      </c>
      <c r="AA714">
        <v>5</v>
      </c>
      <c r="AB714" t="str">
        <f t="shared" si="35"/>
        <v>Below average customer</v>
      </c>
    </row>
    <row r="715" spans="1:28" x14ac:dyDescent="0.35">
      <c r="A715">
        <v>7875</v>
      </c>
      <c r="B715">
        <v>1949</v>
      </c>
      <c r="C715" t="s">
        <v>36</v>
      </c>
      <c r="D715" t="s">
        <v>26</v>
      </c>
      <c r="E715" t="s">
        <v>33</v>
      </c>
      <c r="F715">
        <v>72025</v>
      </c>
      <c r="G715" t="str">
        <f t="shared" si="33"/>
        <v>High</v>
      </c>
      <c r="H715">
        <v>0</v>
      </c>
      <c r="I715">
        <v>0</v>
      </c>
      <c r="J715">
        <v>0</v>
      </c>
      <c r="K715" s="1">
        <v>41758</v>
      </c>
      <c r="L715">
        <v>46</v>
      </c>
      <c r="M715" t="str">
        <f t="shared" si="34"/>
        <v>Active</v>
      </c>
      <c r="N715">
        <v>0</v>
      </c>
      <c r="O715">
        <v>967</v>
      </c>
      <c r="P715">
        <v>0</v>
      </c>
      <c r="Q715">
        <v>617</v>
      </c>
      <c r="R715">
        <v>43</v>
      </c>
      <c r="S715">
        <v>50</v>
      </c>
      <c r="T715">
        <v>0</v>
      </c>
      <c r="U715">
        <v>1677</v>
      </c>
      <c r="V715">
        <v>1</v>
      </c>
      <c r="W715">
        <v>4</v>
      </c>
      <c r="X715">
        <v>8</v>
      </c>
      <c r="Y715">
        <v>13</v>
      </c>
      <c r="Z715">
        <v>25</v>
      </c>
      <c r="AA715">
        <v>2</v>
      </c>
      <c r="AB715" t="str">
        <f t="shared" si="35"/>
        <v>Above average customer</v>
      </c>
    </row>
    <row r="716" spans="1:28" x14ac:dyDescent="0.35">
      <c r="A716">
        <v>7072</v>
      </c>
      <c r="B716">
        <v>1973</v>
      </c>
      <c r="C716" t="s">
        <v>31</v>
      </c>
      <c r="D716" t="s">
        <v>26</v>
      </c>
      <c r="E716" t="s">
        <v>33</v>
      </c>
      <c r="F716">
        <v>67432</v>
      </c>
      <c r="G716" t="str">
        <f t="shared" si="33"/>
        <v>Mid-high</v>
      </c>
      <c r="H716">
        <v>0</v>
      </c>
      <c r="I716">
        <v>1</v>
      </c>
      <c r="J716">
        <v>1</v>
      </c>
      <c r="K716" s="1">
        <v>41362</v>
      </c>
      <c r="L716">
        <v>69</v>
      </c>
      <c r="M716" t="str">
        <f t="shared" si="34"/>
        <v>Inactive</v>
      </c>
      <c r="N716">
        <v>0</v>
      </c>
      <c r="O716">
        <v>432</v>
      </c>
      <c r="P716">
        <v>79</v>
      </c>
      <c r="Q716">
        <v>341</v>
      </c>
      <c r="R716">
        <v>177</v>
      </c>
      <c r="S716">
        <v>136</v>
      </c>
      <c r="T716">
        <v>170</v>
      </c>
      <c r="U716">
        <v>1335</v>
      </c>
      <c r="V716">
        <v>2</v>
      </c>
      <c r="W716">
        <v>8</v>
      </c>
      <c r="X716">
        <v>5</v>
      </c>
      <c r="Y716">
        <v>4</v>
      </c>
      <c r="Z716">
        <v>17</v>
      </c>
      <c r="AA716">
        <v>4</v>
      </c>
      <c r="AB716" t="str">
        <f t="shared" si="35"/>
        <v>Below average customer</v>
      </c>
    </row>
    <row r="717" spans="1:28" x14ac:dyDescent="0.35">
      <c r="A717">
        <v>6255</v>
      </c>
      <c r="B717">
        <v>1952</v>
      </c>
      <c r="C717" t="s">
        <v>36</v>
      </c>
      <c r="D717" t="s">
        <v>34</v>
      </c>
      <c r="E717" t="s">
        <v>29</v>
      </c>
      <c r="F717">
        <v>70545</v>
      </c>
      <c r="G717" t="str">
        <f t="shared" si="33"/>
        <v>High</v>
      </c>
      <c r="H717">
        <v>0</v>
      </c>
      <c r="I717">
        <v>1</v>
      </c>
      <c r="J717">
        <v>1</v>
      </c>
      <c r="K717" s="1">
        <v>41793</v>
      </c>
      <c r="L717">
        <v>29</v>
      </c>
      <c r="M717" t="str">
        <f t="shared" si="34"/>
        <v>Active</v>
      </c>
      <c r="N717">
        <v>0</v>
      </c>
      <c r="O717">
        <v>138</v>
      </c>
      <c r="P717">
        <v>39</v>
      </c>
      <c r="Q717">
        <v>63</v>
      </c>
      <c r="R717">
        <v>55</v>
      </c>
      <c r="S717">
        <v>18</v>
      </c>
      <c r="T717">
        <v>21</v>
      </c>
      <c r="U717">
        <v>334</v>
      </c>
      <c r="V717">
        <v>1</v>
      </c>
      <c r="W717">
        <v>4</v>
      </c>
      <c r="X717">
        <v>1</v>
      </c>
      <c r="Y717">
        <v>7</v>
      </c>
      <c r="Z717">
        <v>12</v>
      </c>
      <c r="AA717">
        <v>2</v>
      </c>
      <c r="AB717" t="str">
        <f t="shared" si="35"/>
        <v>Below average customer</v>
      </c>
    </row>
    <row r="718" spans="1:28" x14ac:dyDescent="0.35">
      <c r="A718">
        <v>6516</v>
      </c>
      <c r="B718">
        <v>1989</v>
      </c>
      <c r="C718" t="s">
        <v>30</v>
      </c>
      <c r="D718" t="s">
        <v>37</v>
      </c>
      <c r="E718" t="s">
        <v>33</v>
      </c>
      <c r="F718">
        <v>17487</v>
      </c>
      <c r="G718" t="str">
        <f t="shared" si="33"/>
        <v>Low</v>
      </c>
      <c r="H718">
        <v>1</v>
      </c>
      <c r="I718">
        <v>0</v>
      </c>
      <c r="J718">
        <v>1</v>
      </c>
      <c r="K718" s="1">
        <v>41351</v>
      </c>
      <c r="L718">
        <v>37</v>
      </c>
      <c r="M718" t="str">
        <f t="shared" si="34"/>
        <v>Active</v>
      </c>
      <c r="N718">
        <v>0</v>
      </c>
      <c r="O718">
        <v>0</v>
      </c>
      <c r="P718">
        <v>0</v>
      </c>
      <c r="Q718">
        <v>1</v>
      </c>
      <c r="R718">
        <v>7</v>
      </c>
      <c r="S718">
        <v>4</v>
      </c>
      <c r="T718">
        <v>6</v>
      </c>
      <c r="U718">
        <v>18</v>
      </c>
      <c r="V718">
        <v>1</v>
      </c>
      <c r="W718">
        <v>1</v>
      </c>
      <c r="X718">
        <v>0</v>
      </c>
      <c r="Y718">
        <v>2</v>
      </c>
      <c r="Z718">
        <v>3</v>
      </c>
      <c r="AA718">
        <v>7</v>
      </c>
      <c r="AB718" t="str">
        <f t="shared" si="35"/>
        <v>Below average customer</v>
      </c>
    </row>
    <row r="719" spans="1:28" x14ac:dyDescent="0.35">
      <c r="A719">
        <v>5564</v>
      </c>
      <c r="B719">
        <v>1969</v>
      </c>
      <c r="C719" t="s">
        <v>28</v>
      </c>
      <c r="D719" t="s">
        <v>26</v>
      </c>
      <c r="E719" t="s">
        <v>29</v>
      </c>
      <c r="F719">
        <v>62882</v>
      </c>
      <c r="G719" t="str">
        <f t="shared" si="33"/>
        <v>Mid-high</v>
      </c>
      <c r="H719">
        <v>0</v>
      </c>
      <c r="I719">
        <v>1</v>
      </c>
      <c r="J719">
        <v>1</v>
      </c>
      <c r="K719" s="1">
        <v>41130</v>
      </c>
      <c r="L719">
        <v>26</v>
      </c>
      <c r="M719" t="str">
        <f t="shared" si="34"/>
        <v>Active</v>
      </c>
      <c r="N719">
        <v>0</v>
      </c>
      <c r="O719">
        <v>509</v>
      </c>
      <c r="P719">
        <v>133</v>
      </c>
      <c r="Q719">
        <v>497</v>
      </c>
      <c r="R719">
        <v>78</v>
      </c>
      <c r="S719">
        <v>24</v>
      </c>
      <c r="T719">
        <v>97</v>
      </c>
      <c r="U719">
        <v>1338</v>
      </c>
      <c r="V719">
        <v>2</v>
      </c>
      <c r="W719">
        <v>7</v>
      </c>
      <c r="X719">
        <v>5</v>
      </c>
      <c r="Y719">
        <v>6</v>
      </c>
      <c r="Z719">
        <v>18</v>
      </c>
      <c r="AA719">
        <v>4</v>
      </c>
      <c r="AB719" t="str">
        <f t="shared" si="35"/>
        <v>Above average customer</v>
      </c>
    </row>
    <row r="720" spans="1:28" x14ac:dyDescent="0.35">
      <c r="A720">
        <v>5682</v>
      </c>
      <c r="B720">
        <v>1953</v>
      </c>
      <c r="C720" t="s">
        <v>25</v>
      </c>
      <c r="D720" t="s">
        <v>32</v>
      </c>
      <c r="E720" t="s">
        <v>27</v>
      </c>
      <c r="F720">
        <v>64108</v>
      </c>
      <c r="G720" t="str">
        <f t="shared" si="33"/>
        <v>Mid-high</v>
      </c>
      <c r="H720">
        <v>0</v>
      </c>
      <c r="I720">
        <v>1</v>
      </c>
      <c r="J720">
        <v>1</v>
      </c>
      <c r="K720" s="1">
        <v>41356</v>
      </c>
      <c r="L720">
        <v>8</v>
      </c>
      <c r="M720" t="str">
        <f t="shared" si="34"/>
        <v>Active</v>
      </c>
      <c r="N720">
        <v>0</v>
      </c>
      <c r="O720">
        <v>948</v>
      </c>
      <c r="P720">
        <v>10</v>
      </c>
      <c r="Q720">
        <v>86</v>
      </c>
      <c r="R720">
        <v>13</v>
      </c>
      <c r="S720">
        <v>21</v>
      </c>
      <c r="T720">
        <v>21</v>
      </c>
      <c r="U720">
        <v>1099</v>
      </c>
      <c r="V720">
        <v>4</v>
      </c>
      <c r="W720">
        <v>6</v>
      </c>
      <c r="X720">
        <v>9</v>
      </c>
      <c r="Y720">
        <v>11</v>
      </c>
      <c r="Z720">
        <v>26</v>
      </c>
      <c r="AA720">
        <v>5</v>
      </c>
      <c r="AB720" t="str">
        <f t="shared" si="35"/>
        <v>Above average customer</v>
      </c>
    </row>
    <row r="721" spans="1:28" x14ac:dyDescent="0.35">
      <c r="A721">
        <v>7458</v>
      </c>
      <c r="B721">
        <v>1956</v>
      </c>
      <c r="C721" t="s">
        <v>25</v>
      </c>
      <c r="D721" t="s">
        <v>34</v>
      </c>
      <c r="E721" t="s">
        <v>29</v>
      </c>
      <c r="F721">
        <v>34941</v>
      </c>
      <c r="G721" t="str">
        <f t="shared" si="33"/>
        <v>Low</v>
      </c>
      <c r="H721">
        <v>1</v>
      </c>
      <c r="I721">
        <v>1</v>
      </c>
      <c r="J721">
        <v>2</v>
      </c>
      <c r="K721" s="1">
        <v>41339</v>
      </c>
      <c r="L721">
        <v>26</v>
      </c>
      <c r="M721" t="str">
        <f t="shared" si="34"/>
        <v>Active</v>
      </c>
      <c r="N721">
        <v>0</v>
      </c>
      <c r="O721">
        <v>39</v>
      </c>
      <c r="P721">
        <v>2</v>
      </c>
      <c r="Q721">
        <v>25</v>
      </c>
      <c r="R721">
        <v>4</v>
      </c>
      <c r="S721">
        <v>3</v>
      </c>
      <c r="T721">
        <v>24</v>
      </c>
      <c r="U721">
        <v>97</v>
      </c>
      <c r="V721">
        <v>2</v>
      </c>
      <c r="W721">
        <v>3</v>
      </c>
      <c r="X721">
        <v>0</v>
      </c>
      <c r="Y721">
        <v>3</v>
      </c>
      <c r="Z721">
        <v>6</v>
      </c>
      <c r="AA721">
        <v>8</v>
      </c>
      <c r="AB721" t="str">
        <f t="shared" si="35"/>
        <v>Below average customer</v>
      </c>
    </row>
    <row r="722" spans="1:28" x14ac:dyDescent="0.35">
      <c r="A722">
        <v>5237</v>
      </c>
      <c r="B722">
        <v>1950</v>
      </c>
      <c r="C722" t="s">
        <v>36</v>
      </c>
      <c r="D722" t="s">
        <v>32</v>
      </c>
      <c r="E722" t="s">
        <v>27</v>
      </c>
      <c r="F722">
        <v>48767</v>
      </c>
      <c r="G722" t="str">
        <f t="shared" si="33"/>
        <v>Mid-low</v>
      </c>
      <c r="H722">
        <v>1</v>
      </c>
      <c r="I722">
        <v>2</v>
      </c>
      <c r="J722">
        <v>3</v>
      </c>
      <c r="K722" s="1">
        <v>41640</v>
      </c>
      <c r="L722">
        <v>79</v>
      </c>
      <c r="M722" t="str">
        <f t="shared" si="34"/>
        <v>Inactive</v>
      </c>
      <c r="N722">
        <v>0</v>
      </c>
      <c r="O722">
        <v>28</v>
      </c>
      <c r="P722">
        <v>1</v>
      </c>
      <c r="Q722">
        <v>21</v>
      </c>
      <c r="R722">
        <v>3</v>
      </c>
      <c r="S722">
        <v>0</v>
      </c>
      <c r="T722">
        <v>10</v>
      </c>
      <c r="U722">
        <v>63</v>
      </c>
      <c r="V722">
        <v>3</v>
      </c>
      <c r="W722">
        <v>2</v>
      </c>
      <c r="X722">
        <v>1</v>
      </c>
      <c r="Y722">
        <v>3</v>
      </c>
      <c r="Z722">
        <v>6</v>
      </c>
      <c r="AA722">
        <v>5</v>
      </c>
      <c r="AB722" t="str">
        <f t="shared" si="35"/>
        <v>Below average customer</v>
      </c>
    </row>
    <row r="723" spans="1:28" x14ac:dyDescent="0.35">
      <c r="A723">
        <v>7761</v>
      </c>
      <c r="B723">
        <v>1978</v>
      </c>
      <c r="C723" t="s">
        <v>31</v>
      </c>
      <c r="D723" t="s">
        <v>34</v>
      </c>
      <c r="E723" t="s">
        <v>29</v>
      </c>
      <c r="F723">
        <v>38702</v>
      </c>
      <c r="G723" t="str">
        <f t="shared" si="33"/>
        <v>Mid-low</v>
      </c>
      <c r="H723">
        <v>1</v>
      </c>
      <c r="I723">
        <v>0</v>
      </c>
      <c r="J723">
        <v>1</v>
      </c>
      <c r="K723" s="1">
        <v>41487</v>
      </c>
      <c r="L723">
        <v>71</v>
      </c>
      <c r="M723" t="str">
        <f t="shared" si="34"/>
        <v>Inactive</v>
      </c>
      <c r="N723">
        <v>0</v>
      </c>
      <c r="O723">
        <v>13</v>
      </c>
      <c r="P723">
        <v>11</v>
      </c>
      <c r="Q723">
        <v>24</v>
      </c>
      <c r="R723">
        <v>13</v>
      </c>
      <c r="S723">
        <v>8</v>
      </c>
      <c r="T723">
        <v>40</v>
      </c>
      <c r="U723">
        <v>109</v>
      </c>
      <c r="V723">
        <v>2</v>
      </c>
      <c r="W723">
        <v>3</v>
      </c>
      <c r="X723">
        <v>0</v>
      </c>
      <c r="Y723">
        <v>4</v>
      </c>
      <c r="Z723">
        <v>7</v>
      </c>
      <c r="AA723">
        <v>6</v>
      </c>
      <c r="AB723" t="str">
        <f t="shared" si="35"/>
        <v>Below average customer</v>
      </c>
    </row>
    <row r="724" spans="1:28" x14ac:dyDescent="0.35">
      <c r="A724">
        <v>5278</v>
      </c>
      <c r="B724">
        <v>1964</v>
      </c>
      <c r="C724" t="s">
        <v>28</v>
      </c>
      <c r="D724" t="s">
        <v>26</v>
      </c>
      <c r="E724" t="s">
        <v>33</v>
      </c>
      <c r="F724">
        <v>82224</v>
      </c>
      <c r="G724" t="str">
        <f t="shared" si="33"/>
        <v>High</v>
      </c>
      <c r="H724">
        <v>0</v>
      </c>
      <c r="I724">
        <v>0</v>
      </c>
      <c r="J724">
        <v>0</v>
      </c>
      <c r="K724" s="1">
        <v>41664</v>
      </c>
      <c r="L724">
        <v>83</v>
      </c>
      <c r="M724" t="str">
        <f t="shared" si="34"/>
        <v>Inactive</v>
      </c>
      <c r="N724">
        <v>0</v>
      </c>
      <c r="O724">
        <v>307</v>
      </c>
      <c r="P724">
        <v>26</v>
      </c>
      <c r="Q724">
        <v>360</v>
      </c>
      <c r="R724">
        <v>138</v>
      </c>
      <c r="S724">
        <v>31</v>
      </c>
      <c r="T724">
        <v>40</v>
      </c>
      <c r="U724">
        <v>902</v>
      </c>
      <c r="V724">
        <v>1</v>
      </c>
      <c r="W724">
        <v>6</v>
      </c>
      <c r="X724">
        <v>9</v>
      </c>
      <c r="Y724">
        <v>5</v>
      </c>
      <c r="Z724">
        <v>20</v>
      </c>
      <c r="AA724">
        <v>3</v>
      </c>
      <c r="AB724" t="str">
        <f t="shared" si="35"/>
        <v>Below average customer</v>
      </c>
    </row>
    <row r="725" spans="1:28" x14ac:dyDescent="0.35">
      <c r="A725">
        <v>3560</v>
      </c>
      <c r="B725">
        <v>1952</v>
      </c>
      <c r="C725" t="s">
        <v>36</v>
      </c>
      <c r="D725" t="s">
        <v>26</v>
      </c>
      <c r="E725" t="s">
        <v>29</v>
      </c>
      <c r="F725">
        <v>83844</v>
      </c>
      <c r="G725" t="str">
        <f t="shared" si="33"/>
        <v>High</v>
      </c>
      <c r="H725">
        <v>0</v>
      </c>
      <c r="I725">
        <v>0</v>
      </c>
      <c r="J725">
        <v>0</v>
      </c>
      <c r="K725" s="1">
        <v>41406</v>
      </c>
      <c r="L725">
        <v>57</v>
      </c>
      <c r="M725" t="str">
        <f t="shared" si="34"/>
        <v>Inactive</v>
      </c>
      <c r="N725">
        <v>0</v>
      </c>
      <c r="O725">
        <v>901</v>
      </c>
      <c r="P725">
        <v>31</v>
      </c>
      <c r="Q725">
        <v>345</v>
      </c>
      <c r="R725">
        <v>75</v>
      </c>
      <c r="S725">
        <v>31</v>
      </c>
      <c r="T725">
        <v>191</v>
      </c>
      <c r="U725">
        <v>1574</v>
      </c>
      <c r="V725">
        <v>1</v>
      </c>
      <c r="W725">
        <v>4</v>
      </c>
      <c r="X725">
        <v>4</v>
      </c>
      <c r="Y725">
        <v>11</v>
      </c>
      <c r="Z725">
        <v>19</v>
      </c>
      <c r="AA725">
        <v>1</v>
      </c>
      <c r="AB725" t="str">
        <f t="shared" si="35"/>
        <v>Below average customer</v>
      </c>
    </row>
    <row r="726" spans="1:28" x14ac:dyDescent="0.35">
      <c r="A726">
        <v>7235</v>
      </c>
      <c r="B726">
        <v>1975</v>
      </c>
      <c r="C726" t="s">
        <v>31</v>
      </c>
      <c r="D726" t="s">
        <v>34</v>
      </c>
      <c r="E726" t="s">
        <v>33</v>
      </c>
      <c r="F726">
        <v>17003</v>
      </c>
      <c r="G726" t="str">
        <f t="shared" si="33"/>
        <v>Low</v>
      </c>
      <c r="H726">
        <v>1</v>
      </c>
      <c r="I726">
        <v>0</v>
      </c>
      <c r="J726">
        <v>1</v>
      </c>
      <c r="K726" s="1">
        <v>41617</v>
      </c>
      <c r="L726">
        <v>37</v>
      </c>
      <c r="M726" t="str">
        <f t="shared" si="34"/>
        <v>Active</v>
      </c>
      <c r="N726">
        <v>0</v>
      </c>
      <c r="O726">
        <v>2</v>
      </c>
      <c r="P726">
        <v>5</v>
      </c>
      <c r="Q726">
        <v>12</v>
      </c>
      <c r="R726">
        <v>4</v>
      </c>
      <c r="S726">
        <v>8</v>
      </c>
      <c r="T726">
        <v>7</v>
      </c>
      <c r="U726">
        <v>38</v>
      </c>
      <c r="V726">
        <v>3</v>
      </c>
      <c r="W726">
        <v>2</v>
      </c>
      <c r="X726">
        <v>0</v>
      </c>
      <c r="Y726">
        <v>4</v>
      </c>
      <c r="Z726">
        <v>6</v>
      </c>
      <c r="AA726">
        <v>5</v>
      </c>
      <c r="AB726" t="str">
        <f t="shared" si="35"/>
        <v>Below average customer</v>
      </c>
    </row>
    <row r="727" spans="1:28" x14ac:dyDescent="0.35">
      <c r="A727">
        <v>10548</v>
      </c>
      <c r="B727">
        <v>1995</v>
      </c>
      <c r="C727" t="s">
        <v>30</v>
      </c>
      <c r="D727" t="s">
        <v>26</v>
      </c>
      <c r="E727" t="s">
        <v>27</v>
      </c>
      <c r="F727">
        <v>71163</v>
      </c>
      <c r="G727" t="str">
        <f t="shared" si="33"/>
        <v>High</v>
      </c>
      <c r="H727">
        <v>0</v>
      </c>
      <c r="I727">
        <v>0</v>
      </c>
      <c r="J727">
        <v>0</v>
      </c>
      <c r="K727" s="1">
        <v>41707</v>
      </c>
      <c r="L727">
        <v>30</v>
      </c>
      <c r="M727" t="str">
        <f t="shared" si="34"/>
        <v>Active</v>
      </c>
      <c r="N727">
        <v>0</v>
      </c>
      <c r="O727">
        <v>283</v>
      </c>
      <c r="P727">
        <v>17</v>
      </c>
      <c r="Q727">
        <v>372</v>
      </c>
      <c r="R727">
        <v>138</v>
      </c>
      <c r="S727">
        <v>106</v>
      </c>
      <c r="T727">
        <v>44</v>
      </c>
      <c r="U727">
        <v>960</v>
      </c>
      <c r="V727">
        <v>1</v>
      </c>
      <c r="W727">
        <v>3</v>
      </c>
      <c r="X727">
        <v>8</v>
      </c>
      <c r="Y727">
        <v>12</v>
      </c>
      <c r="Z727">
        <v>23</v>
      </c>
      <c r="AA727">
        <v>1</v>
      </c>
      <c r="AB727" t="str">
        <f t="shared" si="35"/>
        <v>Above average customer</v>
      </c>
    </row>
    <row r="728" spans="1:28" x14ac:dyDescent="0.35">
      <c r="A728">
        <v>2281</v>
      </c>
      <c r="B728">
        <v>1970</v>
      </c>
      <c r="C728" t="s">
        <v>28</v>
      </c>
      <c r="D728" t="s">
        <v>26</v>
      </c>
      <c r="E728" t="s">
        <v>27</v>
      </c>
      <c r="F728">
        <v>33697</v>
      </c>
      <c r="G728" t="str">
        <f t="shared" si="33"/>
        <v>Low</v>
      </c>
      <c r="H728">
        <v>1</v>
      </c>
      <c r="I728">
        <v>0</v>
      </c>
      <c r="J728">
        <v>1</v>
      </c>
      <c r="K728" s="1">
        <v>41532</v>
      </c>
      <c r="L728">
        <v>34</v>
      </c>
      <c r="M728" t="str">
        <f t="shared" si="34"/>
        <v>Active</v>
      </c>
      <c r="N728">
        <v>0</v>
      </c>
      <c r="O728">
        <v>4</v>
      </c>
      <c r="P728">
        <v>3</v>
      </c>
      <c r="Q728">
        <v>7</v>
      </c>
      <c r="R728">
        <v>0</v>
      </c>
      <c r="S728">
        <v>3</v>
      </c>
      <c r="T728">
        <v>11</v>
      </c>
      <c r="U728">
        <v>28</v>
      </c>
      <c r="V728">
        <v>1</v>
      </c>
      <c r="W728">
        <v>1</v>
      </c>
      <c r="X728">
        <v>0</v>
      </c>
      <c r="Y728">
        <v>2</v>
      </c>
      <c r="Z728">
        <v>3</v>
      </c>
      <c r="AA728">
        <v>7</v>
      </c>
      <c r="AB728" t="str">
        <f t="shared" si="35"/>
        <v>Below average customer</v>
      </c>
    </row>
    <row r="729" spans="1:28" x14ac:dyDescent="0.35">
      <c r="A729">
        <v>4073</v>
      </c>
      <c r="B729">
        <v>1954</v>
      </c>
      <c r="C729" t="s">
        <v>25</v>
      </c>
      <c r="D729" t="s">
        <v>34</v>
      </c>
      <c r="E729" t="s">
        <v>33</v>
      </c>
      <c r="F729">
        <v>63564</v>
      </c>
      <c r="G729" t="str">
        <f t="shared" si="33"/>
        <v>Mid-high</v>
      </c>
      <c r="H729">
        <v>0</v>
      </c>
      <c r="I729">
        <v>0</v>
      </c>
      <c r="J729">
        <v>0</v>
      </c>
      <c r="K729" s="1">
        <v>41668</v>
      </c>
      <c r="L729">
        <v>0</v>
      </c>
      <c r="M729" t="str">
        <f t="shared" si="34"/>
        <v>Active</v>
      </c>
      <c r="N729">
        <v>0</v>
      </c>
      <c r="O729">
        <v>769</v>
      </c>
      <c r="P729">
        <v>80</v>
      </c>
      <c r="Q729">
        <v>252</v>
      </c>
      <c r="R729">
        <v>15</v>
      </c>
      <c r="S729">
        <v>34</v>
      </c>
      <c r="T729">
        <v>65</v>
      </c>
      <c r="U729">
        <v>1215</v>
      </c>
      <c r="V729">
        <v>1</v>
      </c>
      <c r="W729">
        <v>10</v>
      </c>
      <c r="X729">
        <v>10</v>
      </c>
      <c r="Y729">
        <v>7</v>
      </c>
      <c r="Z729">
        <v>27</v>
      </c>
      <c r="AA729">
        <v>6</v>
      </c>
      <c r="AB729" t="str">
        <f t="shared" si="35"/>
        <v>Above average customer</v>
      </c>
    </row>
    <row r="730" spans="1:28" x14ac:dyDescent="0.35">
      <c r="A730">
        <v>6974</v>
      </c>
      <c r="B730">
        <v>1972</v>
      </c>
      <c r="C730" t="s">
        <v>28</v>
      </c>
      <c r="D730" t="s">
        <v>32</v>
      </c>
      <c r="E730" t="s">
        <v>29</v>
      </c>
      <c r="F730">
        <v>83443</v>
      </c>
      <c r="G730" t="str">
        <f t="shared" si="33"/>
        <v>High</v>
      </c>
      <c r="H730">
        <v>0</v>
      </c>
      <c r="I730">
        <v>0</v>
      </c>
      <c r="J730">
        <v>0</v>
      </c>
      <c r="K730" s="1">
        <v>41639</v>
      </c>
      <c r="L730">
        <v>89</v>
      </c>
      <c r="M730" t="str">
        <f t="shared" si="34"/>
        <v>Inactive</v>
      </c>
      <c r="N730">
        <v>0</v>
      </c>
      <c r="O730">
        <v>518</v>
      </c>
      <c r="P730">
        <v>42</v>
      </c>
      <c r="Q730">
        <v>742</v>
      </c>
      <c r="R730">
        <v>55</v>
      </c>
      <c r="S730">
        <v>56</v>
      </c>
      <c r="T730">
        <v>84</v>
      </c>
      <c r="U730">
        <v>1497</v>
      </c>
      <c r="V730">
        <v>1</v>
      </c>
      <c r="W730">
        <v>6</v>
      </c>
      <c r="X730">
        <v>10</v>
      </c>
      <c r="Y730">
        <v>5</v>
      </c>
      <c r="Z730">
        <v>21</v>
      </c>
      <c r="AA730">
        <v>2</v>
      </c>
      <c r="AB730" t="str">
        <f t="shared" si="35"/>
        <v>Below average customer</v>
      </c>
    </row>
    <row r="731" spans="1:28" x14ac:dyDescent="0.35">
      <c r="A731">
        <v>7938</v>
      </c>
      <c r="B731">
        <v>1958</v>
      </c>
      <c r="C731" t="s">
        <v>25</v>
      </c>
      <c r="D731" t="s">
        <v>32</v>
      </c>
      <c r="E731" t="s">
        <v>29</v>
      </c>
      <c r="F731">
        <v>51518</v>
      </c>
      <c r="G731" t="str">
        <f t="shared" si="33"/>
        <v>Mid-low</v>
      </c>
      <c r="H731">
        <v>0</v>
      </c>
      <c r="I731">
        <v>1</v>
      </c>
      <c r="J731">
        <v>1</v>
      </c>
      <c r="K731" s="1">
        <v>41550</v>
      </c>
      <c r="L731">
        <v>92</v>
      </c>
      <c r="M731" t="str">
        <f t="shared" si="34"/>
        <v>Inactive</v>
      </c>
      <c r="N731">
        <v>0</v>
      </c>
      <c r="O731">
        <v>350</v>
      </c>
      <c r="P731">
        <v>8</v>
      </c>
      <c r="Q731">
        <v>66</v>
      </c>
      <c r="R731">
        <v>17</v>
      </c>
      <c r="S731">
        <v>4</v>
      </c>
      <c r="T731">
        <v>4</v>
      </c>
      <c r="U731">
        <v>449</v>
      </c>
      <c r="V731">
        <v>2</v>
      </c>
      <c r="W731">
        <v>3</v>
      </c>
      <c r="X731">
        <v>2</v>
      </c>
      <c r="Y731">
        <v>10</v>
      </c>
      <c r="Z731">
        <v>15</v>
      </c>
      <c r="AA731">
        <v>3</v>
      </c>
      <c r="AB731" t="str">
        <f t="shared" si="35"/>
        <v>Below average customer</v>
      </c>
    </row>
    <row r="732" spans="1:28" x14ac:dyDescent="0.35">
      <c r="A732">
        <v>3667</v>
      </c>
      <c r="B732">
        <v>1969</v>
      </c>
      <c r="C732" t="s">
        <v>28</v>
      </c>
      <c r="D732" t="s">
        <v>26</v>
      </c>
      <c r="E732" t="s">
        <v>33</v>
      </c>
      <c r="F732">
        <v>80952</v>
      </c>
      <c r="G732" t="str">
        <f t="shared" si="33"/>
        <v>High</v>
      </c>
      <c r="H732">
        <v>0</v>
      </c>
      <c r="I732">
        <v>0</v>
      </c>
      <c r="J732">
        <v>0</v>
      </c>
      <c r="K732" s="1">
        <v>41333</v>
      </c>
      <c r="L732">
        <v>20</v>
      </c>
      <c r="M732" t="str">
        <f t="shared" si="34"/>
        <v>Active</v>
      </c>
      <c r="N732">
        <v>0</v>
      </c>
      <c r="O732">
        <v>778</v>
      </c>
      <c r="P732">
        <v>178</v>
      </c>
      <c r="Q732">
        <v>689</v>
      </c>
      <c r="R732">
        <v>41</v>
      </c>
      <c r="S732">
        <v>27</v>
      </c>
      <c r="T732">
        <v>44</v>
      </c>
      <c r="U732">
        <v>1757</v>
      </c>
      <c r="V732">
        <v>1</v>
      </c>
      <c r="W732">
        <v>8</v>
      </c>
      <c r="X732">
        <v>5</v>
      </c>
      <c r="Y732">
        <v>11</v>
      </c>
      <c r="Z732">
        <v>24</v>
      </c>
      <c r="AA732">
        <v>8</v>
      </c>
      <c r="AB732" t="str">
        <f t="shared" si="35"/>
        <v>Above average customer</v>
      </c>
    </row>
    <row r="733" spans="1:28" x14ac:dyDescent="0.35">
      <c r="A733">
        <v>7723</v>
      </c>
      <c r="B733">
        <v>1979</v>
      </c>
      <c r="C733" t="s">
        <v>31</v>
      </c>
      <c r="D733" t="s">
        <v>26</v>
      </c>
      <c r="E733" t="s">
        <v>29</v>
      </c>
      <c r="F733">
        <v>75507</v>
      </c>
      <c r="G733" t="str">
        <f t="shared" si="33"/>
        <v>High</v>
      </c>
      <c r="H733">
        <v>0</v>
      </c>
      <c r="I733">
        <v>0</v>
      </c>
      <c r="J733">
        <v>0</v>
      </c>
      <c r="K733" s="1">
        <v>41761</v>
      </c>
      <c r="L733">
        <v>56</v>
      </c>
      <c r="M733" t="str">
        <f t="shared" si="34"/>
        <v>Inactive</v>
      </c>
      <c r="N733">
        <v>0</v>
      </c>
      <c r="O733">
        <v>709</v>
      </c>
      <c r="P733">
        <v>93</v>
      </c>
      <c r="Q733">
        <v>374</v>
      </c>
      <c r="R733">
        <v>104</v>
      </c>
      <c r="S733">
        <v>80</v>
      </c>
      <c r="T733">
        <v>80</v>
      </c>
      <c r="U733">
        <v>1440</v>
      </c>
      <c r="V733">
        <v>1</v>
      </c>
      <c r="W733">
        <v>8</v>
      </c>
      <c r="X733">
        <v>6</v>
      </c>
      <c r="Y733">
        <v>6</v>
      </c>
      <c r="Z733">
        <v>20</v>
      </c>
      <c r="AA733">
        <v>3</v>
      </c>
      <c r="AB733" t="str">
        <f t="shared" si="35"/>
        <v>Below average customer</v>
      </c>
    </row>
    <row r="734" spans="1:28" x14ac:dyDescent="0.35">
      <c r="A734">
        <v>3870</v>
      </c>
      <c r="B734">
        <v>1978</v>
      </c>
      <c r="C734" t="s">
        <v>31</v>
      </c>
      <c r="D734" t="s">
        <v>34</v>
      </c>
      <c r="E734" t="s">
        <v>29</v>
      </c>
      <c r="F734">
        <v>63855</v>
      </c>
      <c r="G734" t="str">
        <f t="shared" si="33"/>
        <v>Mid-high</v>
      </c>
      <c r="H734">
        <v>0</v>
      </c>
      <c r="I734">
        <v>0</v>
      </c>
      <c r="J734">
        <v>0</v>
      </c>
      <c r="K734" s="1">
        <v>41314</v>
      </c>
      <c r="L734">
        <v>28</v>
      </c>
      <c r="M734" t="str">
        <f t="shared" si="34"/>
        <v>Active</v>
      </c>
      <c r="N734">
        <v>0</v>
      </c>
      <c r="O734">
        <v>359</v>
      </c>
      <c r="P734">
        <v>35</v>
      </c>
      <c r="Q734">
        <v>314</v>
      </c>
      <c r="R734">
        <v>93</v>
      </c>
      <c r="S734">
        <v>116</v>
      </c>
      <c r="T734">
        <v>89</v>
      </c>
      <c r="U734">
        <v>1006</v>
      </c>
      <c r="V734">
        <v>1</v>
      </c>
      <c r="W734">
        <v>7</v>
      </c>
      <c r="X734">
        <v>3</v>
      </c>
      <c r="Y734">
        <v>13</v>
      </c>
      <c r="Z734">
        <v>23</v>
      </c>
      <c r="AA734">
        <v>4</v>
      </c>
      <c r="AB734" t="str">
        <f t="shared" si="35"/>
        <v>Above average customer</v>
      </c>
    </row>
    <row r="735" spans="1:28" x14ac:dyDescent="0.35">
      <c r="A735">
        <v>4012</v>
      </c>
      <c r="B735">
        <v>1972</v>
      </c>
      <c r="C735" t="s">
        <v>28</v>
      </c>
      <c r="D735" t="s">
        <v>32</v>
      </c>
      <c r="E735" t="s">
        <v>29</v>
      </c>
      <c r="F735">
        <v>62220</v>
      </c>
      <c r="G735" t="str">
        <f t="shared" si="33"/>
        <v>Mid-high</v>
      </c>
      <c r="H735">
        <v>0</v>
      </c>
      <c r="I735">
        <v>1</v>
      </c>
      <c r="J735">
        <v>1</v>
      </c>
      <c r="K735" s="1">
        <v>41132</v>
      </c>
      <c r="L735">
        <v>55</v>
      </c>
      <c r="M735" t="str">
        <f t="shared" si="34"/>
        <v>Inactive</v>
      </c>
      <c r="N735">
        <v>0</v>
      </c>
      <c r="O735">
        <v>799</v>
      </c>
      <c r="P735">
        <v>12</v>
      </c>
      <c r="Q735">
        <v>375</v>
      </c>
      <c r="R735">
        <v>16</v>
      </c>
      <c r="S735">
        <v>12</v>
      </c>
      <c r="T735">
        <v>12</v>
      </c>
      <c r="U735">
        <v>1226</v>
      </c>
      <c r="V735">
        <v>5</v>
      </c>
      <c r="W735">
        <v>7</v>
      </c>
      <c r="X735">
        <v>6</v>
      </c>
      <c r="Y735">
        <v>5</v>
      </c>
      <c r="Z735">
        <v>18</v>
      </c>
      <c r="AA735">
        <v>6</v>
      </c>
      <c r="AB735" t="str">
        <f t="shared" si="35"/>
        <v>Below average customer</v>
      </c>
    </row>
    <row r="736" spans="1:28" x14ac:dyDescent="0.35">
      <c r="A736">
        <v>5909</v>
      </c>
      <c r="B736">
        <v>1964</v>
      </c>
      <c r="C736" t="s">
        <v>28</v>
      </c>
      <c r="D736" t="s">
        <v>26</v>
      </c>
      <c r="E736" t="s">
        <v>33</v>
      </c>
      <c r="F736">
        <v>58512</v>
      </c>
      <c r="G736" t="str">
        <f t="shared" si="33"/>
        <v>Mid-high</v>
      </c>
      <c r="H736">
        <v>0</v>
      </c>
      <c r="I736">
        <v>1</v>
      </c>
      <c r="J736">
        <v>1</v>
      </c>
      <c r="K736" s="1">
        <v>41536</v>
      </c>
      <c r="L736">
        <v>25</v>
      </c>
      <c r="M736" t="str">
        <f t="shared" si="34"/>
        <v>Active</v>
      </c>
      <c r="N736">
        <v>0</v>
      </c>
      <c r="O736">
        <v>895</v>
      </c>
      <c r="P736">
        <v>10</v>
      </c>
      <c r="Q736">
        <v>101</v>
      </c>
      <c r="R736">
        <v>13</v>
      </c>
      <c r="S736">
        <v>0</v>
      </c>
      <c r="T736">
        <v>152</v>
      </c>
      <c r="U736">
        <v>1171</v>
      </c>
      <c r="V736">
        <v>5</v>
      </c>
      <c r="W736">
        <v>3</v>
      </c>
      <c r="X736">
        <v>4</v>
      </c>
      <c r="Y736">
        <v>8</v>
      </c>
      <c r="Z736">
        <v>15</v>
      </c>
      <c r="AA736">
        <v>8</v>
      </c>
      <c r="AB736" t="str">
        <f t="shared" si="35"/>
        <v>Above average customer</v>
      </c>
    </row>
    <row r="737" spans="1:28" x14ac:dyDescent="0.35">
      <c r="A737">
        <v>10470</v>
      </c>
      <c r="B737">
        <v>1979</v>
      </c>
      <c r="C737" t="s">
        <v>31</v>
      </c>
      <c r="D737" t="s">
        <v>34</v>
      </c>
      <c r="E737" t="s">
        <v>33</v>
      </c>
      <c r="F737">
        <v>40662</v>
      </c>
      <c r="G737" t="str">
        <f t="shared" si="33"/>
        <v>Mid-low</v>
      </c>
      <c r="H737">
        <v>1</v>
      </c>
      <c r="I737">
        <v>0</v>
      </c>
      <c r="J737">
        <v>1</v>
      </c>
      <c r="K737" s="1">
        <v>41348</v>
      </c>
      <c r="L737">
        <v>0</v>
      </c>
      <c r="M737" t="str">
        <f t="shared" si="34"/>
        <v>Active</v>
      </c>
      <c r="N737">
        <v>0</v>
      </c>
      <c r="O737">
        <v>40</v>
      </c>
      <c r="P737">
        <v>2</v>
      </c>
      <c r="Q737">
        <v>23</v>
      </c>
      <c r="R737">
        <v>0</v>
      </c>
      <c r="S737">
        <v>4</v>
      </c>
      <c r="T737">
        <v>23</v>
      </c>
      <c r="U737">
        <v>92</v>
      </c>
      <c r="V737">
        <v>2</v>
      </c>
      <c r="W737">
        <v>2</v>
      </c>
      <c r="X737">
        <v>1</v>
      </c>
      <c r="Y737">
        <v>3</v>
      </c>
      <c r="Z737">
        <v>6</v>
      </c>
      <c r="AA737">
        <v>4</v>
      </c>
      <c r="AB737" t="str">
        <f t="shared" si="35"/>
        <v>Below average customer</v>
      </c>
    </row>
    <row r="738" spans="1:28" x14ac:dyDescent="0.35">
      <c r="A738">
        <v>6488</v>
      </c>
      <c r="B738">
        <v>1959</v>
      </c>
      <c r="C738" t="s">
        <v>25</v>
      </c>
      <c r="D738" t="s">
        <v>32</v>
      </c>
      <c r="E738" t="s">
        <v>33</v>
      </c>
      <c r="F738">
        <v>38829</v>
      </c>
      <c r="G738" t="str">
        <f t="shared" si="33"/>
        <v>Mid-low</v>
      </c>
      <c r="H738">
        <v>0</v>
      </c>
      <c r="I738">
        <v>1</v>
      </c>
      <c r="J738">
        <v>1</v>
      </c>
      <c r="K738" s="1">
        <v>41735</v>
      </c>
      <c r="L738">
        <v>86</v>
      </c>
      <c r="M738" t="str">
        <f t="shared" si="34"/>
        <v>Inactive</v>
      </c>
      <c r="N738">
        <v>0</v>
      </c>
      <c r="O738">
        <v>76</v>
      </c>
      <c r="P738">
        <v>0</v>
      </c>
      <c r="Q738">
        <v>7</v>
      </c>
      <c r="R738">
        <v>0</v>
      </c>
      <c r="S738">
        <v>0</v>
      </c>
      <c r="T738">
        <v>16</v>
      </c>
      <c r="U738">
        <v>99</v>
      </c>
      <c r="V738">
        <v>1</v>
      </c>
      <c r="W738">
        <v>3</v>
      </c>
      <c r="X738">
        <v>2</v>
      </c>
      <c r="Y738">
        <v>2</v>
      </c>
      <c r="Z738">
        <v>7</v>
      </c>
      <c r="AA738">
        <v>5</v>
      </c>
      <c r="AB738" t="str">
        <f t="shared" si="35"/>
        <v>Below average customer</v>
      </c>
    </row>
    <row r="739" spans="1:28" x14ac:dyDescent="0.35">
      <c r="A739">
        <v>10270</v>
      </c>
      <c r="B739">
        <v>1981</v>
      </c>
      <c r="C739" t="s">
        <v>31</v>
      </c>
      <c r="D739" t="s">
        <v>34</v>
      </c>
      <c r="E739" t="s">
        <v>33</v>
      </c>
      <c r="F739">
        <v>35523</v>
      </c>
      <c r="G739" t="str">
        <f t="shared" si="33"/>
        <v>Low</v>
      </c>
      <c r="H739">
        <v>1</v>
      </c>
      <c r="I739">
        <v>0</v>
      </c>
      <c r="J739">
        <v>1</v>
      </c>
      <c r="K739" s="1">
        <v>41550</v>
      </c>
      <c r="L739">
        <v>8</v>
      </c>
      <c r="M739" t="str">
        <f t="shared" si="34"/>
        <v>Active</v>
      </c>
      <c r="N739">
        <v>0</v>
      </c>
      <c r="O739">
        <v>11</v>
      </c>
      <c r="P739">
        <v>5</v>
      </c>
      <c r="Q739">
        <v>22</v>
      </c>
      <c r="R739">
        <v>12</v>
      </c>
      <c r="S739">
        <v>5</v>
      </c>
      <c r="T739">
        <v>11</v>
      </c>
      <c r="U739">
        <v>66</v>
      </c>
      <c r="V739">
        <v>2</v>
      </c>
      <c r="W739">
        <v>3</v>
      </c>
      <c r="X739">
        <v>0</v>
      </c>
      <c r="Y739">
        <v>3</v>
      </c>
      <c r="Z739">
        <v>6</v>
      </c>
      <c r="AA739">
        <v>7</v>
      </c>
      <c r="AB739" t="str">
        <f t="shared" si="35"/>
        <v>Below average customer</v>
      </c>
    </row>
    <row r="740" spans="1:28" x14ac:dyDescent="0.35">
      <c r="A740">
        <v>6887</v>
      </c>
      <c r="B740">
        <v>1967</v>
      </c>
      <c r="C740" t="s">
        <v>28</v>
      </c>
      <c r="D740" t="s">
        <v>26</v>
      </c>
      <c r="E740" t="s">
        <v>27</v>
      </c>
      <c r="F740">
        <v>79146</v>
      </c>
      <c r="G740" t="str">
        <f t="shared" si="33"/>
        <v>High</v>
      </c>
      <c r="H740">
        <v>1</v>
      </c>
      <c r="I740">
        <v>1</v>
      </c>
      <c r="J740">
        <v>2</v>
      </c>
      <c r="K740" s="1">
        <v>41753</v>
      </c>
      <c r="L740">
        <v>33</v>
      </c>
      <c r="M740" t="str">
        <f t="shared" si="34"/>
        <v>Active</v>
      </c>
      <c r="N740">
        <v>0</v>
      </c>
      <c r="O740">
        <v>245</v>
      </c>
      <c r="P740">
        <v>16</v>
      </c>
      <c r="Q740">
        <v>223</v>
      </c>
      <c r="R740">
        <v>21</v>
      </c>
      <c r="S740">
        <v>43</v>
      </c>
      <c r="T740">
        <v>16</v>
      </c>
      <c r="U740">
        <v>564</v>
      </c>
      <c r="V740">
        <v>2</v>
      </c>
      <c r="W740">
        <v>8</v>
      </c>
      <c r="X740">
        <v>1</v>
      </c>
      <c r="Y740">
        <v>8</v>
      </c>
      <c r="Z740">
        <v>17</v>
      </c>
      <c r="AA740">
        <v>6</v>
      </c>
      <c r="AB740" t="str">
        <f t="shared" si="35"/>
        <v>Below average customer</v>
      </c>
    </row>
    <row r="741" spans="1:28" x14ac:dyDescent="0.35">
      <c r="A741">
        <v>6406</v>
      </c>
      <c r="B741">
        <v>1988</v>
      </c>
      <c r="C741" t="s">
        <v>30</v>
      </c>
      <c r="D741" t="s">
        <v>34</v>
      </c>
      <c r="E741" t="s">
        <v>33</v>
      </c>
      <c r="F741">
        <v>78285</v>
      </c>
      <c r="G741" t="str">
        <f t="shared" si="33"/>
        <v>High</v>
      </c>
      <c r="H741">
        <v>0</v>
      </c>
      <c r="I741">
        <v>0</v>
      </c>
      <c r="J741">
        <v>0</v>
      </c>
      <c r="K741" s="1">
        <v>41575</v>
      </c>
      <c r="L741">
        <v>13</v>
      </c>
      <c r="M741" t="str">
        <f t="shared" si="34"/>
        <v>Active</v>
      </c>
      <c r="N741">
        <v>0</v>
      </c>
      <c r="O741">
        <v>647</v>
      </c>
      <c r="P741">
        <v>107</v>
      </c>
      <c r="Q741">
        <v>391</v>
      </c>
      <c r="R741">
        <v>175</v>
      </c>
      <c r="S741">
        <v>67</v>
      </c>
      <c r="T741">
        <v>40</v>
      </c>
      <c r="U741">
        <v>1427</v>
      </c>
      <c r="V741">
        <v>1</v>
      </c>
      <c r="W741">
        <v>6</v>
      </c>
      <c r="X741">
        <v>4</v>
      </c>
      <c r="Y741">
        <v>10</v>
      </c>
      <c r="Z741">
        <v>20</v>
      </c>
      <c r="AA741">
        <v>3</v>
      </c>
      <c r="AB741" t="str">
        <f t="shared" si="35"/>
        <v>Above average customer</v>
      </c>
    </row>
    <row r="742" spans="1:28" x14ac:dyDescent="0.35">
      <c r="A742">
        <v>7573</v>
      </c>
      <c r="B742">
        <v>1978</v>
      </c>
      <c r="C742" t="s">
        <v>31</v>
      </c>
      <c r="D742" t="s">
        <v>32</v>
      </c>
      <c r="E742" t="s">
        <v>27</v>
      </c>
      <c r="F742">
        <v>31626</v>
      </c>
      <c r="G742" t="str">
        <f t="shared" si="33"/>
        <v>Low</v>
      </c>
      <c r="H742">
        <v>1</v>
      </c>
      <c r="I742">
        <v>0</v>
      </c>
      <c r="J742">
        <v>1</v>
      </c>
      <c r="K742" s="1">
        <v>41404</v>
      </c>
      <c r="L742">
        <v>12</v>
      </c>
      <c r="M742" t="str">
        <f t="shared" si="34"/>
        <v>Active</v>
      </c>
      <c r="N742">
        <v>0</v>
      </c>
      <c r="O742">
        <v>39</v>
      </c>
      <c r="P742">
        <v>1</v>
      </c>
      <c r="Q742">
        <v>9</v>
      </c>
      <c r="R742">
        <v>2</v>
      </c>
      <c r="S742">
        <v>1</v>
      </c>
      <c r="T742">
        <v>34</v>
      </c>
      <c r="U742">
        <v>86</v>
      </c>
      <c r="V742">
        <v>1</v>
      </c>
      <c r="W742">
        <v>2</v>
      </c>
      <c r="X742">
        <v>1</v>
      </c>
      <c r="Y742">
        <v>2</v>
      </c>
      <c r="Z742">
        <v>5</v>
      </c>
      <c r="AA742">
        <v>7</v>
      </c>
      <c r="AB742" t="str">
        <f t="shared" si="35"/>
        <v>Below average customer</v>
      </c>
    </row>
    <row r="743" spans="1:28" x14ac:dyDescent="0.35">
      <c r="A743">
        <v>4508</v>
      </c>
      <c r="B743">
        <v>1952</v>
      </c>
      <c r="C743" t="s">
        <v>36</v>
      </c>
      <c r="D743" t="s">
        <v>26</v>
      </c>
      <c r="E743" t="s">
        <v>27</v>
      </c>
      <c r="F743">
        <v>75127</v>
      </c>
      <c r="G743" t="str">
        <f t="shared" si="33"/>
        <v>High</v>
      </c>
      <c r="H743">
        <v>0</v>
      </c>
      <c r="I743">
        <v>0</v>
      </c>
      <c r="J743">
        <v>0</v>
      </c>
      <c r="K743" s="1">
        <v>41781</v>
      </c>
      <c r="L743">
        <v>92</v>
      </c>
      <c r="M743" t="str">
        <f t="shared" si="34"/>
        <v>Inactive</v>
      </c>
      <c r="N743">
        <v>0</v>
      </c>
      <c r="O743">
        <v>203</v>
      </c>
      <c r="P743">
        <v>35</v>
      </c>
      <c r="Q743">
        <v>305</v>
      </c>
      <c r="R743">
        <v>46</v>
      </c>
      <c r="S743">
        <v>17</v>
      </c>
      <c r="T743">
        <v>227</v>
      </c>
      <c r="U743">
        <v>833</v>
      </c>
      <c r="V743">
        <v>1</v>
      </c>
      <c r="W743">
        <v>2</v>
      </c>
      <c r="X743">
        <v>11</v>
      </c>
      <c r="Y743">
        <v>5</v>
      </c>
      <c r="Z743">
        <v>18</v>
      </c>
      <c r="AA743">
        <v>1</v>
      </c>
      <c r="AB743" t="str">
        <f t="shared" si="35"/>
        <v>Below average customer</v>
      </c>
    </row>
    <row r="744" spans="1:28" x14ac:dyDescent="0.35">
      <c r="A744">
        <v>221</v>
      </c>
      <c r="B744">
        <v>1955</v>
      </c>
      <c r="C744" t="s">
        <v>25</v>
      </c>
      <c r="D744" t="s">
        <v>26</v>
      </c>
      <c r="E744" t="s">
        <v>33</v>
      </c>
      <c r="F744">
        <v>48726</v>
      </c>
      <c r="G744" t="str">
        <f t="shared" si="33"/>
        <v>Mid-low</v>
      </c>
      <c r="H744">
        <v>0</v>
      </c>
      <c r="I744">
        <v>1</v>
      </c>
      <c r="J744">
        <v>1</v>
      </c>
      <c r="K744" s="1">
        <v>41391</v>
      </c>
      <c r="L744">
        <v>90</v>
      </c>
      <c r="M744" t="str">
        <f t="shared" si="34"/>
        <v>Inactive</v>
      </c>
      <c r="N744">
        <v>0</v>
      </c>
      <c r="O744">
        <v>138</v>
      </c>
      <c r="P744">
        <v>3</v>
      </c>
      <c r="Q744">
        <v>38</v>
      </c>
      <c r="R744">
        <v>4</v>
      </c>
      <c r="S744">
        <v>0</v>
      </c>
      <c r="T744">
        <v>59</v>
      </c>
      <c r="U744">
        <v>242</v>
      </c>
      <c r="V744">
        <v>3</v>
      </c>
      <c r="W744">
        <v>3</v>
      </c>
      <c r="X744">
        <v>2</v>
      </c>
      <c r="Y744">
        <v>4</v>
      </c>
      <c r="Z744">
        <v>9</v>
      </c>
      <c r="AA744">
        <v>6</v>
      </c>
      <c r="AB744" t="str">
        <f t="shared" si="35"/>
        <v>Below average customer</v>
      </c>
    </row>
    <row r="745" spans="1:28" x14ac:dyDescent="0.35">
      <c r="A745">
        <v>5331</v>
      </c>
      <c r="B745">
        <v>1977</v>
      </c>
      <c r="C745" t="s">
        <v>31</v>
      </c>
      <c r="D745" t="s">
        <v>26</v>
      </c>
      <c r="E745" t="s">
        <v>33</v>
      </c>
      <c r="F745">
        <v>74985</v>
      </c>
      <c r="G745" t="str">
        <f t="shared" si="33"/>
        <v>High</v>
      </c>
      <c r="H745">
        <v>0</v>
      </c>
      <c r="I745">
        <v>0</v>
      </c>
      <c r="J745">
        <v>0</v>
      </c>
      <c r="K745" s="1">
        <v>41163</v>
      </c>
      <c r="L745">
        <v>8</v>
      </c>
      <c r="M745" t="str">
        <f t="shared" si="34"/>
        <v>Active</v>
      </c>
      <c r="N745">
        <v>0</v>
      </c>
      <c r="O745">
        <v>587</v>
      </c>
      <c r="P745">
        <v>51</v>
      </c>
      <c r="Q745">
        <v>898</v>
      </c>
      <c r="R745">
        <v>247</v>
      </c>
      <c r="S745">
        <v>0</v>
      </c>
      <c r="T745">
        <v>86</v>
      </c>
      <c r="U745">
        <v>1869</v>
      </c>
      <c r="V745">
        <v>1</v>
      </c>
      <c r="W745">
        <v>3</v>
      </c>
      <c r="X745">
        <v>6</v>
      </c>
      <c r="Y745">
        <v>7</v>
      </c>
      <c r="Z745">
        <v>16</v>
      </c>
      <c r="AA745">
        <v>2</v>
      </c>
      <c r="AB745" t="str">
        <f t="shared" si="35"/>
        <v>Above average customer</v>
      </c>
    </row>
    <row r="746" spans="1:28" x14ac:dyDescent="0.35">
      <c r="A746">
        <v>1911</v>
      </c>
      <c r="B746">
        <v>1987</v>
      </c>
      <c r="C746" t="s">
        <v>30</v>
      </c>
      <c r="D746" t="s">
        <v>26</v>
      </c>
      <c r="E746" t="s">
        <v>29</v>
      </c>
      <c r="F746">
        <v>67430</v>
      </c>
      <c r="G746" t="str">
        <f t="shared" si="33"/>
        <v>Mid-high</v>
      </c>
      <c r="H746">
        <v>0</v>
      </c>
      <c r="I746">
        <v>0</v>
      </c>
      <c r="J746">
        <v>0</v>
      </c>
      <c r="K746" s="1">
        <v>41157</v>
      </c>
      <c r="L746">
        <v>6</v>
      </c>
      <c r="M746" t="str">
        <f t="shared" si="34"/>
        <v>Active</v>
      </c>
      <c r="N746">
        <v>0</v>
      </c>
      <c r="O746">
        <v>595</v>
      </c>
      <c r="P746">
        <v>97</v>
      </c>
      <c r="Q746">
        <v>291</v>
      </c>
      <c r="R746">
        <v>127</v>
      </c>
      <c r="S746">
        <v>133</v>
      </c>
      <c r="T746">
        <v>121</v>
      </c>
      <c r="U746">
        <v>1364</v>
      </c>
      <c r="V746">
        <v>1</v>
      </c>
      <c r="W746">
        <v>11</v>
      </c>
      <c r="X746">
        <v>5</v>
      </c>
      <c r="Y746">
        <v>12</v>
      </c>
      <c r="Z746">
        <v>28</v>
      </c>
      <c r="AA746">
        <v>6</v>
      </c>
      <c r="AB746" t="str">
        <f t="shared" si="35"/>
        <v>Above average customer</v>
      </c>
    </row>
    <row r="747" spans="1:28" x14ac:dyDescent="0.35">
      <c r="A747">
        <v>20</v>
      </c>
      <c r="B747">
        <v>1965</v>
      </c>
      <c r="C747" t="s">
        <v>28</v>
      </c>
      <c r="D747" t="s">
        <v>34</v>
      </c>
      <c r="E747" t="s">
        <v>33</v>
      </c>
      <c r="F747">
        <v>46891</v>
      </c>
      <c r="G747" t="str">
        <f t="shared" si="33"/>
        <v>Mid-low</v>
      </c>
      <c r="H747">
        <v>0</v>
      </c>
      <c r="I747">
        <v>1</v>
      </c>
      <c r="J747">
        <v>1</v>
      </c>
      <c r="K747" s="1">
        <v>41518</v>
      </c>
      <c r="L747">
        <v>91</v>
      </c>
      <c r="M747" t="str">
        <f t="shared" si="34"/>
        <v>Inactive</v>
      </c>
      <c r="N747">
        <v>0</v>
      </c>
      <c r="O747">
        <v>43</v>
      </c>
      <c r="P747">
        <v>12</v>
      </c>
      <c r="Q747">
        <v>23</v>
      </c>
      <c r="R747">
        <v>29</v>
      </c>
      <c r="S747">
        <v>15</v>
      </c>
      <c r="T747">
        <v>61</v>
      </c>
      <c r="U747">
        <v>183</v>
      </c>
      <c r="V747">
        <v>1</v>
      </c>
      <c r="W747">
        <v>2</v>
      </c>
      <c r="X747">
        <v>1</v>
      </c>
      <c r="Y747">
        <v>4</v>
      </c>
      <c r="Z747">
        <v>7</v>
      </c>
      <c r="AA747">
        <v>4</v>
      </c>
      <c r="AB747" t="str">
        <f t="shared" si="35"/>
        <v>Below average customer</v>
      </c>
    </row>
    <row r="748" spans="1:28" x14ac:dyDescent="0.35">
      <c r="A748">
        <v>8786</v>
      </c>
      <c r="B748">
        <v>1956</v>
      </c>
      <c r="C748" t="s">
        <v>25</v>
      </c>
      <c r="D748" t="s">
        <v>34</v>
      </c>
      <c r="E748" t="s">
        <v>33</v>
      </c>
      <c r="F748">
        <v>62058</v>
      </c>
      <c r="G748" t="str">
        <f t="shared" si="33"/>
        <v>Mid-high</v>
      </c>
      <c r="H748">
        <v>0</v>
      </c>
      <c r="I748">
        <v>1</v>
      </c>
      <c r="J748">
        <v>1</v>
      </c>
      <c r="K748" s="1">
        <v>41420</v>
      </c>
      <c r="L748">
        <v>52</v>
      </c>
      <c r="M748" t="str">
        <f t="shared" si="34"/>
        <v>Inactive</v>
      </c>
      <c r="N748">
        <v>0</v>
      </c>
      <c r="O748">
        <v>301</v>
      </c>
      <c r="P748">
        <v>7</v>
      </c>
      <c r="Q748">
        <v>74</v>
      </c>
      <c r="R748">
        <v>10</v>
      </c>
      <c r="S748">
        <v>0</v>
      </c>
      <c r="T748">
        <v>58</v>
      </c>
      <c r="U748">
        <v>450</v>
      </c>
      <c r="V748">
        <v>4</v>
      </c>
      <c r="W748">
        <v>6</v>
      </c>
      <c r="X748">
        <v>1</v>
      </c>
      <c r="Y748">
        <v>7</v>
      </c>
      <c r="Z748">
        <v>14</v>
      </c>
      <c r="AA748">
        <v>6</v>
      </c>
      <c r="AB748" t="str">
        <f t="shared" si="35"/>
        <v>Below average customer</v>
      </c>
    </row>
    <row r="749" spans="1:28" x14ac:dyDescent="0.35">
      <c r="A749">
        <v>10582</v>
      </c>
      <c r="B749">
        <v>1979</v>
      </c>
      <c r="C749" t="s">
        <v>31</v>
      </c>
      <c r="D749" t="s">
        <v>26</v>
      </c>
      <c r="E749" t="s">
        <v>33</v>
      </c>
      <c r="F749">
        <v>72063</v>
      </c>
      <c r="G749" t="str">
        <f t="shared" si="33"/>
        <v>High</v>
      </c>
      <c r="H749">
        <v>0</v>
      </c>
      <c r="I749">
        <v>1</v>
      </c>
      <c r="J749">
        <v>1</v>
      </c>
      <c r="K749" s="1">
        <v>41458</v>
      </c>
      <c r="L749">
        <v>3</v>
      </c>
      <c r="M749" t="str">
        <f t="shared" si="34"/>
        <v>Active</v>
      </c>
      <c r="N749">
        <v>0</v>
      </c>
      <c r="O749">
        <v>180</v>
      </c>
      <c r="P749">
        <v>32</v>
      </c>
      <c r="Q749">
        <v>348</v>
      </c>
      <c r="R749">
        <v>76</v>
      </c>
      <c r="S749">
        <v>32</v>
      </c>
      <c r="T749">
        <v>90</v>
      </c>
      <c r="U749">
        <v>758</v>
      </c>
      <c r="V749">
        <v>2</v>
      </c>
      <c r="W749">
        <v>5</v>
      </c>
      <c r="X749">
        <v>2</v>
      </c>
      <c r="Y749">
        <v>12</v>
      </c>
      <c r="Z749">
        <v>19</v>
      </c>
      <c r="AA749">
        <v>2</v>
      </c>
      <c r="AB749" t="str">
        <f t="shared" si="35"/>
        <v>Above average customer</v>
      </c>
    </row>
    <row r="750" spans="1:28" x14ac:dyDescent="0.35">
      <c r="A750">
        <v>1915</v>
      </c>
      <c r="B750">
        <v>1951</v>
      </c>
      <c r="C750" t="s">
        <v>36</v>
      </c>
      <c r="D750" t="s">
        <v>32</v>
      </c>
      <c r="E750" t="s">
        <v>33</v>
      </c>
      <c r="F750">
        <v>78939</v>
      </c>
      <c r="G750" t="str">
        <f t="shared" si="33"/>
        <v>High</v>
      </c>
      <c r="H750">
        <v>0</v>
      </c>
      <c r="I750">
        <v>0</v>
      </c>
      <c r="J750">
        <v>0</v>
      </c>
      <c r="K750" s="1">
        <v>41620</v>
      </c>
      <c r="L750">
        <v>57</v>
      </c>
      <c r="M750" t="str">
        <f t="shared" si="34"/>
        <v>Inactive</v>
      </c>
      <c r="N750">
        <v>0</v>
      </c>
      <c r="O750">
        <v>794</v>
      </c>
      <c r="P750">
        <v>115</v>
      </c>
      <c r="Q750">
        <v>243</v>
      </c>
      <c r="R750">
        <v>150</v>
      </c>
      <c r="S750">
        <v>0</v>
      </c>
      <c r="T750">
        <v>205</v>
      </c>
      <c r="U750">
        <v>1507</v>
      </c>
      <c r="V750">
        <v>1</v>
      </c>
      <c r="W750">
        <v>8</v>
      </c>
      <c r="X750">
        <v>5</v>
      </c>
      <c r="Y750">
        <v>6</v>
      </c>
      <c r="Z750">
        <v>19</v>
      </c>
      <c r="AA750">
        <v>3</v>
      </c>
      <c r="AB750" t="str">
        <f t="shared" si="35"/>
        <v>Below average customer</v>
      </c>
    </row>
    <row r="751" spans="1:28" x14ac:dyDescent="0.35">
      <c r="A751">
        <v>8897</v>
      </c>
      <c r="B751">
        <v>1965</v>
      </c>
      <c r="C751" t="s">
        <v>28</v>
      </c>
      <c r="D751" t="s">
        <v>26</v>
      </c>
      <c r="E751" t="s">
        <v>27</v>
      </c>
      <c r="F751">
        <v>42720</v>
      </c>
      <c r="G751" t="str">
        <f t="shared" si="33"/>
        <v>Mid-low</v>
      </c>
      <c r="H751">
        <v>1</v>
      </c>
      <c r="I751">
        <v>1</v>
      </c>
      <c r="J751">
        <v>2</v>
      </c>
      <c r="K751" s="1">
        <v>41388</v>
      </c>
      <c r="L751">
        <v>9</v>
      </c>
      <c r="M751" t="str">
        <f t="shared" si="34"/>
        <v>Active</v>
      </c>
      <c r="N751">
        <v>0</v>
      </c>
      <c r="O751">
        <v>392</v>
      </c>
      <c r="P751">
        <v>5</v>
      </c>
      <c r="Q751">
        <v>91</v>
      </c>
      <c r="R751">
        <v>28</v>
      </c>
      <c r="S751">
        <v>26</v>
      </c>
      <c r="T751">
        <v>112</v>
      </c>
      <c r="U751">
        <v>654</v>
      </c>
      <c r="V751">
        <v>8</v>
      </c>
      <c r="W751">
        <v>7</v>
      </c>
      <c r="X751">
        <v>3</v>
      </c>
      <c r="Y751">
        <v>7</v>
      </c>
      <c r="Z751">
        <v>17</v>
      </c>
      <c r="AA751">
        <v>8</v>
      </c>
      <c r="AB751" t="str">
        <f t="shared" si="35"/>
        <v>Below average customer</v>
      </c>
    </row>
    <row r="752" spans="1:28" x14ac:dyDescent="0.35">
      <c r="A752">
        <v>2371</v>
      </c>
      <c r="B752">
        <v>1972</v>
      </c>
      <c r="C752" t="s">
        <v>28</v>
      </c>
      <c r="D752" t="s">
        <v>26</v>
      </c>
      <c r="E752" t="s">
        <v>33</v>
      </c>
      <c r="F752">
        <v>33622</v>
      </c>
      <c r="G752" t="str">
        <f t="shared" si="33"/>
        <v>Low</v>
      </c>
      <c r="H752">
        <v>1</v>
      </c>
      <c r="I752">
        <v>1</v>
      </c>
      <c r="J752">
        <v>2</v>
      </c>
      <c r="K752" s="1">
        <v>41377</v>
      </c>
      <c r="L752">
        <v>22</v>
      </c>
      <c r="M752" t="str">
        <f t="shared" si="34"/>
        <v>Active</v>
      </c>
      <c r="N752">
        <v>0</v>
      </c>
      <c r="O752">
        <v>39</v>
      </c>
      <c r="P752">
        <v>1</v>
      </c>
      <c r="Q752">
        <v>22</v>
      </c>
      <c r="R752">
        <v>3</v>
      </c>
      <c r="S752">
        <v>4</v>
      </c>
      <c r="T752">
        <v>12</v>
      </c>
      <c r="U752">
        <v>81</v>
      </c>
      <c r="V752">
        <v>3</v>
      </c>
      <c r="W752">
        <v>2</v>
      </c>
      <c r="X752">
        <v>0</v>
      </c>
      <c r="Y752">
        <v>4</v>
      </c>
      <c r="Z752">
        <v>6</v>
      </c>
      <c r="AA752">
        <v>7</v>
      </c>
      <c r="AB752" t="str">
        <f t="shared" si="35"/>
        <v>Below average customer</v>
      </c>
    </row>
    <row r="753" spans="1:28" x14ac:dyDescent="0.35">
      <c r="A753">
        <v>4303</v>
      </c>
      <c r="B753">
        <v>1957</v>
      </c>
      <c r="C753" t="s">
        <v>25</v>
      </c>
      <c r="D753" t="s">
        <v>32</v>
      </c>
      <c r="E753" t="s">
        <v>29</v>
      </c>
      <c r="F753">
        <v>6835</v>
      </c>
      <c r="G753" t="str">
        <f t="shared" si="33"/>
        <v>Low</v>
      </c>
      <c r="H753">
        <v>0</v>
      </c>
      <c r="I753">
        <v>1</v>
      </c>
      <c r="J753">
        <v>1</v>
      </c>
      <c r="K753" s="1">
        <v>41251</v>
      </c>
      <c r="L753">
        <v>76</v>
      </c>
      <c r="M753" t="str">
        <f t="shared" si="34"/>
        <v>Inactive</v>
      </c>
      <c r="N753">
        <v>0</v>
      </c>
      <c r="O753">
        <v>107</v>
      </c>
      <c r="P753">
        <v>2</v>
      </c>
      <c r="Q753">
        <v>12</v>
      </c>
      <c r="R753">
        <v>2</v>
      </c>
      <c r="S753">
        <v>2</v>
      </c>
      <c r="T753">
        <v>12</v>
      </c>
      <c r="U753">
        <v>137</v>
      </c>
      <c r="V753">
        <v>0</v>
      </c>
      <c r="W753">
        <v>0</v>
      </c>
      <c r="X753">
        <v>0</v>
      </c>
      <c r="Y753">
        <v>1</v>
      </c>
      <c r="Z753">
        <v>1</v>
      </c>
      <c r="AA753">
        <v>20</v>
      </c>
      <c r="AB753" t="str">
        <f t="shared" si="35"/>
        <v>Below average customer</v>
      </c>
    </row>
    <row r="754" spans="1:28" x14ac:dyDescent="0.35">
      <c r="A754">
        <v>6825</v>
      </c>
      <c r="B754">
        <v>1953</v>
      </c>
      <c r="C754" t="s">
        <v>25</v>
      </c>
      <c r="D754" t="s">
        <v>26</v>
      </c>
      <c r="E754" t="s">
        <v>29</v>
      </c>
      <c r="F754">
        <v>41452</v>
      </c>
      <c r="G754" t="str">
        <f t="shared" si="33"/>
        <v>Mid-low</v>
      </c>
      <c r="H754">
        <v>1</v>
      </c>
      <c r="I754">
        <v>1</v>
      </c>
      <c r="J754">
        <v>2</v>
      </c>
      <c r="K754" s="1">
        <v>41339</v>
      </c>
      <c r="L754">
        <v>86</v>
      </c>
      <c r="M754" t="str">
        <f t="shared" si="34"/>
        <v>Inactive</v>
      </c>
      <c r="N754">
        <v>0</v>
      </c>
      <c r="O754">
        <v>13</v>
      </c>
      <c r="P754">
        <v>0</v>
      </c>
      <c r="Q754">
        <v>3</v>
      </c>
      <c r="R754">
        <v>0</v>
      </c>
      <c r="S754">
        <v>0</v>
      </c>
      <c r="T754">
        <v>0</v>
      </c>
      <c r="U754">
        <v>16</v>
      </c>
      <c r="V754">
        <v>1</v>
      </c>
      <c r="W754">
        <v>1</v>
      </c>
      <c r="X754">
        <v>0</v>
      </c>
      <c r="Y754">
        <v>2</v>
      </c>
      <c r="Z754">
        <v>3</v>
      </c>
      <c r="AA754">
        <v>7</v>
      </c>
      <c r="AB754" t="str">
        <f t="shared" si="35"/>
        <v>Below average customer</v>
      </c>
    </row>
    <row r="755" spans="1:28" x14ac:dyDescent="0.35">
      <c r="A755">
        <v>1072</v>
      </c>
      <c r="B755">
        <v>1965</v>
      </c>
      <c r="C755" t="s">
        <v>28</v>
      </c>
      <c r="D755" t="s">
        <v>32</v>
      </c>
      <c r="E755" t="s">
        <v>27</v>
      </c>
      <c r="F755">
        <v>40760</v>
      </c>
      <c r="G755" t="str">
        <f t="shared" si="33"/>
        <v>Mid-low</v>
      </c>
      <c r="H755">
        <v>0</v>
      </c>
      <c r="I755">
        <v>1</v>
      </c>
      <c r="J755">
        <v>1</v>
      </c>
      <c r="K755" s="1">
        <v>41516</v>
      </c>
      <c r="L755">
        <v>64</v>
      </c>
      <c r="M755" t="str">
        <f t="shared" si="34"/>
        <v>Inactive</v>
      </c>
      <c r="N755">
        <v>0</v>
      </c>
      <c r="O755">
        <v>70</v>
      </c>
      <c r="P755">
        <v>0</v>
      </c>
      <c r="Q755">
        <v>17</v>
      </c>
      <c r="R755">
        <v>0</v>
      </c>
      <c r="S755">
        <v>0</v>
      </c>
      <c r="T755">
        <v>6</v>
      </c>
      <c r="U755">
        <v>93</v>
      </c>
      <c r="V755">
        <v>2</v>
      </c>
      <c r="W755">
        <v>2</v>
      </c>
      <c r="X755">
        <v>1</v>
      </c>
      <c r="Y755">
        <v>3</v>
      </c>
      <c r="Z755">
        <v>6</v>
      </c>
      <c r="AA755">
        <v>6</v>
      </c>
      <c r="AB755" t="str">
        <f t="shared" si="35"/>
        <v>Below average customer</v>
      </c>
    </row>
    <row r="756" spans="1:28" x14ac:dyDescent="0.35">
      <c r="A756">
        <v>4964</v>
      </c>
      <c r="B756">
        <v>1958</v>
      </c>
      <c r="C756" t="s">
        <v>25</v>
      </c>
      <c r="D756" t="s">
        <v>32</v>
      </c>
      <c r="E756" t="s">
        <v>29</v>
      </c>
      <c r="F756">
        <v>74250</v>
      </c>
      <c r="G756" t="str">
        <f t="shared" si="33"/>
        <v>High</v>
      </c>
      <c r="H756">
        <v>0</v>
      </c>
      <c r="I756">
        <v>0</v>
      </c>
      <c r="J756">
        <v>0</v>
      </c>
      <c r="K756" s="1">
        <v>41665</v>
      </c>
      <c r="L756">
        <v>90</v>
      </c>
      <c r="M756" t="str">
        <f t="shared" si="34"/>
        <v>Inactive</v>
      </c>
      <c r="N756">
        <v>0</v>
      </c>
      <c r="O756">
        <v>680</v>
      </c>
      <c r="P756">
        <v>11</v>
      </c>
      <c r="Q756">
        <v>392</v>
      </c>
      <c r="R756">
        <v>75</v>
      </c>
      <c r="S756">
        <v>0</v>
      </c>
      <c r="T756">
        <v>0</v>
      </c>
      <c r="U756">
        <v>1158</v>
      </c>
      <c r="V756">
        <v>1</v>
      </c>
      <c r="W756">
        <v>2</v>
      </c>
      <c r="X756">
        <v>11</v>
      </c>
      <c r="Y756">
        <v>4</v>
      </c>
      <c r="Z756">
        <v>17</v>
      </c>
      <c r="AA756">
        <v>1</v>
      </c>
      <c r="AB756" t="str">
        <f t="shared" si="35"/>
        <v>Below average customer</v>
      </c>
    </row>
    <row r="757" spans="1:28" x14ac:dyDescent="0.35">
      <c r="A757">
        <v>2461</v>
      </c>
      <c r="B757">
        <v>1955</v>
      </c>
      <c r="C757" t="s">
        <v>25</v>
      </c>
      <c r="D757" t="s">
        <v>34</v>
      </c>
      <c r="E757" t="s">
        <v>27</v>
      </c>
      <c r="F757">
        <v>51124</v>
      </c>
      <c r="G757" t="str">
        <f t="shared" si="33"/>
        <v>Mid-low</v>
      </c>
      <c r="H757">
        <v>1</v>
      </c>
      <c r="I757">
        <v>1</v>
      </c>
      <c r="J757">
        <v>2</v>
      </c>
      <c r="K757" s="1">
        <v>41626</v>
      </c>
      <c r="L757">
        <v>79</v>
      </c>
      <c r="M757" t="str">
        <f t="shared" si="34"/>
        <v>Inactive</v>
      </c>
      <c r="N757">
        <v>0</v>
      </c>
      <c r="O757">
        <v>26</v>
      </c>
      <c r="P757">
        <v>1</v>
      </c>
      <c r="Q757">
        <v>11</v>
      </c>
      <c r="R757">
        <v>0</v>
      </c>
      <c r="S757">
        <v>1</v>
      </c>
      <c r="T757">
        <v>4</v>
      </c>
      <c r="U757">
        <v>43</v>
      </c>
      <c r="V757">
        <v>2</v>
      </c>
      <c r="W757">
        <v>1</v>
      </c>
      <c r="X757">
        <v>0</v>
      </c>
      <c r="Y757">
        <v>3</v>
      </c>
      <c r="Z757">
        <v>4</v>
      </c>
      <c r="AA757">
        <v>3</v>
      </c>
      <c r="AB757" t="str">
        <f t="shared" si="35"/>
        <v>Below average customer</v>
      </c>
    </row>
    <row r="758" spans="1:28" x14ac:dyDescent="0.35">
      <c r="A758">
        <v>10736</v>
      </c>
      <c r="B758">
        <v>1971</v>
      </c>
      <c r="C758" t="s">
        <v>28</v>
      </c>
      <c r="D758" t="s">
        <v>26</v>
      </c>
      <c r="E758" t="s">
        <v>27</v>
      </c>
      <c r="F758">
        <v>72258</v>
      </c>
      <c r="G758" t="str">
        <f t="shared" si="33"/>
        <v>High</v>
      </c>
      <c r="H758">
        <v>0</v>
      </c>
      <c r="I758">
        <v>1</v>
      </c>
      <c r="J758">
        <v>1</v>
      </c>
      <c r="K758" s="1">
        <v>41529</v>
      </c>
      <c r="L758">
        <v>28</v>
      </c>
      <c r="M758" t="str">
        <f t="shared" si="34"/>
        <v>Active</v>
      </c>
      <c r="N758">
        <v>0</v>
      </c>
      <c r="O758">
        <v>522</v>
      </c>
      <c r="P758">
        <v>0</v>
      </c>
      <c r="Q758">
        <v>522</v>
      </c>
      <c r="R758">
        <v>227</v>
      </c>
      <c r="S758">
        <v>120</v>
      </c>
      <c r="T758">
        <v>134</v>
      </c>
      <c r="U758">
        <v>1525</v>
      </c>
      <c r="V758">
        <v>2</v>
      </c>
      <c r="W758">
        <v>6</v>
      </c>
      <c r="X758">
        <v>9</v>
      </c>
      <c r="Y758">
        <v>5</v>
      </c>
      <c r="Z758">
        <v>20</v>
      </c>
      <c r="AA758">
        <v>2</v>
      </c>
      <c r="AB758" t="str">
        <f t="shared" si="35"/>
        <v>Above average customer</v>
      </c>
    </row>
    <row r="759" spans="1:28" x14ac:dyDescent="0.35">
      <c r="A759">
        <v>3194</v>
      </c>
      <c r="B759">
        <v>1974</v>
      </c>
      <c r="C759" t="s">
        <v>31</v>
      </c>
      <c r="D759" t="s">
        <v>32</v>
      </c>
      <c r="E759" t="s">
        <v>27</v>
      </c>
      <c r="F759">
        <v>71466</v>
      </c>
      <c r="G759" t="str">
        <f t="shared" si="33"/>
        <v>High</v>
      </c>
      <c r="H759">
        <v>0</v>
      </c>
      <c r="I759">
        <v>0</v>
      </c>
      <c r="J759">
        <v>0</v>
      </c>
      <c r="K759" s="1">
        <v>41734</v>
      </c>
      <c r="L759">
        <v>86</v>
      </c>
      <c r="M759" t="str">
        <f t="shared" si="34"/>
        <v>Inactive</v>
      </c>
      <c r="N759">
        <v>0</v>
      </c>
      <c r="O759">
        <v>412</v>
      </c>
      <c r="P759">
        <v>12</v>
      </c>
      <c r="Q759">
        <v>546</v>
      </c>
      <c r="R759">
        <v>78</v>
      </c>
      <c r="S759">
        <v>182</v>
      </c>
      <c r="T759">
        <v>0</v>
      </c>
      <c r="U759">
        <v>1230</v>
      </c>
      <c r="V759">
        <v>1</v>
      </c>
      <c r="W759">
        <v>4</v>
      </c>
      <c r="X759">
        <v>4</v>
      </c>
      <c r="Y759">
        <v>10</v>
      </c>
      <c r="Z759">
        <v>18</v>
      </c>
      <c r="AA759">
        <v>1</v>
      </c>
      <c r="AB759" t="str">
        <f t="shared" si="35"/>
        <v>Below average customer</v>
      </c>
    </row>
    <row r="760" spans="1:28" x14ac:dyDescent="0.35">
      <c r="A760">
        <v>10839</v>
      </c>
      <c r="B760">
        <v>1976</v>
      </c>
      <c r="C760" t="s">
        <v>31</v>
      </c>
      <c r="D760" t="s">
        <v>26</v>
      </c>
      <c r="E760" t="s">
        <v>29</v>
      </c>
      <c r="F760">
        <v>36283</v>
      </c>
      <c r="G760" t="str">
        <f t="shared" si="33"/>
        <v>Mid-low</v>
      </c>
      <c r="H760">
        <v>1</v>
      </c>
      <c r="I760">
        <v>1</v>
      </c>
      <c r="J760">
        <v>2</v>
      </c>
      <c r="K760" s="1">
        <v>41743</v>
      </c>
      <c r="L760">
        <v>42</v>
      </c>
      <c r="M760" t="str">
        <f t="shared" si="34"/>
        <v>Active</v>
      </c>
      <c r="N760">
        <v>0</v>
      </c>
      <c r="O760">
        <v>6</v>
      </c>
      <c r="P760">
        <v>5</v>
      </c>
      <c r="Q760">
        <v>5</v>
      </c>
      <c r="R760">
        <v>8</v>
      </c>
      <c r="S760">
        <v>0</v>
      </c>
      <c r="T760">
        <v>5</v>
      </c>
      <c r="U760">
        <v>29</v>
      </c>
      <c r="V760">
        <v>2</v>
      </c>
      <c r="W760">
        <v>1</v>
      </c>
      <c r="X760">
        <v>0</v>
      </c>
      <c r="Y760">
        <v>3</v>
      </c>
      <c r="Z760">
        <v>4</v>
      </c>
      <c r="AA760">
        <v>4</v>
      </c>
      <c r="AB760" t="str">
        <f t="shared" si="35"/>
        <v>Below average customer</v>
      </c>
    </row>
    <row r="761" spans="1:28" x14ac:dyDescent="0.35">
      <c r="A761">
        <v>49</v>
      </c>
      <c r="B761">
        <v>1970</v>
      </c>
      <c r="C761" t="s">
        <v>28</v>
      </c>
      <c r="D761" t="s">
        <v>26</v>
      </c>
      <c r="E761" t="s">
        <v>27</v>
      </c>
      <c r="F761">
        <v>20587</v>
      </c>
      <c r="G761" t="str">
        <f t="shared" si="33"/>
        <v>Low</v>
      </c>
      <c r="H761">
        <v>1</v>
      </c>
      <c r="I761">
        <v>0</v>
      </c>
      <c r="J761">
        <v>1</v>
      </c>
      <c r="K761" s="1">
        <v>41770</v>
      </c>
      <c r="L761">
        <v>39</v>
      </c>
      <c r="M761" t="str">
        <f t="shared" si="34"/>
        <v>Active</v>
      </c>
      <c r="N761">
        <v>0</v>
      </c>
      <c r="O761">
        <v>2</v>
      </c>
      <c r="P761">
        <v>3</v>
      </c>
      <c r="Q761">
        <v>6</v>
      </c>
      <c r="R761">
        <v>4</v>
      </c>
      <c r="S761">
        <v>1</v>
      </c>
      <c r="T761">
        <v>9</v>
      </c>
      <c r="U761">
        <v>25</v>
      </c>
      <c r="V761">
        <v>1</v>
      </c>
      <c r="W761">
        <v>1</v>
      </c>
      <c r="X761">
        <v>1</v>
      </c>
      <c r="Y761">
        <v>2</v>
      </c>
      <c r="Z761">
        <v>4</v>
      </c>
      <c r="AA761">
        <v>7</v>
      </c>
      <c r="AB761" t="str">
        <f t="shared" si="35"/>
        <v>Below average customer</v>
      </c>
    </row>
    <row r="762" spans="1:28" x14ac:dyDescent="0.35">
      <c r="A762">
        <v>4290</v>
      </c>
      <c r="B762">
        <v>1972</v>
      </c>
      <c r="C762" t="s">
        <v>28</v>
      </c>
      <c r="D762" t="s">
        <v>26</v>
      </c>
      <c r="E762" t="s">
        <v>33</v>
      </c>
      <c r="F762">
        <v>30467</v>
      </c>
      <c r="G762" t="str">
        <f t="shared" si="33"/>
        <v>Low</v>
      </c>
      <c r="H762">
        <v>1</v>
      </c>
      <c r="I762">
        <v>0</v>
      </c>
      <c r="J762">
        <v>1</v>
      </c>
      <c r="K762" s="1">
        <v>41717</v>
      </c>
      <c r="L762">
        <v>8</v>
      </c>
      <c r="M762" t="str">
        <f t="shared" si="34"/>
        <v>Active</v>
      </c>
      <c r="N762">
        <v>0</v>
      </c>
      <c r="O762">
        <v>1</v>
      </c>
      <c r="P762">
        <v>3</v>
      </c>
      <c r="Q762">
        <v>8</v>
      </c>
      <c r="R762">
        <v>2</v>
      </c>
      <c r="S762">
        <v>5</v>
      </c>
      <c r="T762">
        <v>5</v>
      </c>
      <c r="U762">
        <v>24</v>
      </c>
      <c r="V762">
        <v>1</v>
      </c>
      <c r="W762">
        <v>1</v>
      </c>
      <c r="X762">
        <v>0</v>
      </c>
      <c r="Y762">
        <v>2</v>
      </c>
      <c r="Z762">
        <v>3</v>
      </c>
      <c r="AA762">
        <v>7</v>
      </c>
      <c r="AB762" t="str">
        <f t="shared" si="35"/>
        <v>Below average customer</v>
      </c>
    </row>
    <row r="763" spans="1:28" x14ac:dyDescent="0.35">
      <c r="A763">
        <v>10219</v>
      </c>
      <c r="B763">
        <v>1972</v>
      </c>
      <c r="C763" t="s">
        <v>28</v>
      </c>
      <c r="D763" t="s">
        <v>26</v>
      </c>
      <c r="E763" t="s">
        <v>29</v>
      </c>
      <c r="F763">
        <v>31590</v>
      </c>
      <c r="G763" t="str">
        <f t="shared" si="33"/>
        <v>Low</v>
      </c>
      <c r="H763">
        <v>1</v>
      </c>
      <c r="I763">
        <v>0</v>
      </c>
      <c r="J763">
        <v>1</v>
      </c>
      <c r="K763" s="1">
        <v>41443</v>
      </c>
      <c r="L763">
        <v>40</v>
      </c>
      <c r="M763" t="str">
        <f t="shared" si="34"/>
        <v>Active</v>
      </c>
      <c r="N763">
        <v>0</v>
      </c>
      <c r="O763">
        <v>6</v>
      </c>
      <c r="P763">
        <v>2</v>
      </c>
      <c r="Q763">
        <v>15</v>
      </c>
      <c r="R763">
        <v>6</v>
      </c>
      <c r="S763">
        <v>6</v>
      </c>
      <c r="T763">
        <v>3</v>
      </c>
      <c r="U763">
        <v>38</v>
      </c>
      <c r="V763">
        <v>1</v>
      </c>
      <c r="W763">
        <v>1</v>
      </c>
      <c r="X763">
        <v>0</v>
      </c>
      <c r="Y763">
        <v>3</v>
      </c>
      <c r="Z763">
        <v>4</v>
      </c>
      <c r="AA763">
        <v>8</v>
      </c>
      <c r="AB763" t="str">
        <f t="shared" si="35"/>
        <v>Below average customer</v>
      </c>
    </row>
    <row r="764" spans="1:28" x14ac:dyDescent="0.35">
      <c r="A764">
        <v>4211</v>
      </c>
      <c r="B764">
        <v>1986</v>
      </c>
      <c r="C764" t="s">
        <v>30</v>
      </c>
      <c r="D764" t="s">
        <v>37</v>
      </c>
      <c r="E764" t="s">
        <v>33</v>
      </c>
      <c r="F764">
        <v>20425</v>
      </c>
      <c r="G764" t="str">
        <f t="shared" si="33"/>
        <v>Low</v>
      </c>
      <c r="H764">
        <v>1</v>
      </c>
      <c r="I764">
        <v>0</v>
      </c>
      <c r="J764">
        <v>1</v>
      </c>
      <c r="K764" s="1">
        <v>41211</v>
      </c>
      <c r="L764">
        <v>5</v>
      </c>
      <c r="M764" t="str">
        <f t="shared" si="34"/>
        <v>Active</v>
      </c>
      <c r="N764">
        <v>0</v>
      </c>
      <c r="O764">
        <v>4</v>
      </c>
      <c r="P764">
        <v>12</v>
      </c>
      <c r="Q764">
        <v>5</v>
      </c>
      <c r="R764">
        <v>3</v>
      </c>
      <c r="S764">
        <v>16</v>
      </c>
      <c r="T764">
        <v>17</v>
      </c>
      <c r="U764">
        <v>57</v>
      </c>
      <c r="V764">
        <v>2</v>
      </c>
      <c r="W764">
        <v>2</v>
      </c>
      <c r="X764">
        <v>0</v>
      </c>
      <c r="Y764">
        <v>3</v>
      </c>
      <c r="Z764">
        <v>5</v>
      </c>
      <c r="AA764">
        <v>7</v>
      </c>
      <c r="AB764" t="str">
        <f t="shared" si="35"/>
        <v>Below average customer</v>
      </c>
    </row>
    <row r="765" spans="1:28" x14ac:dyDescent="0.35">
      <c r="A765">
        <v>1135</v>
      </c>
      <c r="B765">
        <v>1960</v>
      </c>
      <c r="C765" t="s">
        <v>25</v>
      </c>
      <c r="D765" t="s">
        <v>34</v>
      </c>
      <c r="E765" t="s">
        <v>29</v>
      </c>
      <c r="F765">
        <v>17144</v>
      </c>
      <c r="G765" t="str">
        <f t="shared" si="33"/>
        <v>Low</v>
      </c>
      <c r="H765">
        <v>1</v>
      </c>
      <c r="I765">
        <v>1</v>
      </c>
      <c r="J765">
        <v>2</v>
      </c>
      <c r="K765" s="1">
        <v>41685</v>
      </c>
      <c r="L765">
        <v>96</v>
      </c>
      <c r="M765" t="str">
        <f t="shared" si="34"/>
        <v>Inactive</v>
      </c>
      <c r="N765">
        <v>0</v>
      </c>
      <c r="O765">
        <v>18</v>
      </c>
      <c r="P765">
        <v>2</v>
      </c>
      <c r="Q765">
        <v>19</v>
      </c>
      <c r="R765">
        <v>0</v>
      </c>
      <c r="S765">
        <v>2</v>
      </c>
      <c r="T765">
        <v>6</v>
      </c>
      <c r="U765">
        <v>47</v>
      </c>
      <c r="V765">
        <v>5</v>
      </c>
      <c r="W765">
        <v>3</v>
      </c>
      <c r="X765">
        <v>0</v>
      </c>
      <c r="Y765">
        <v>4</v>
      </c>
      <c r="Z765">
        <v>7</v>
      </c>
      <c r="AA765">
        <v>7</v>
      </c>
      <c r="AB765" t="str">
        <f t="shared" si="35"/>
        <v>Below average customer</v>
      </c>
    </row>
    <row r="766" spans="1:28" x14ac:dyDescent="0.35">
      <c r="A766">
        <v>6299</v>
      </c>
      <c r="B766">
        <v>1968</v>
      </c>
      <c r="C766" t="s">
        <v>28</v>
      </c>
      <c r="D766" t="s">
        <v>32</v>
      </c>
      <c r="E766" t="s">
        <v>35</v>
      </c>
      <c r="F766">
        <v>42564</v>
      </c>
      <c r="G766" t="str">
        <f t="shared" si="33"/>
        <v>Mid-low</v>
      </c>
      <c r="H766">
        <v>0</v>
      </c>
      <c r="I766">
        <v>1</v>
      </c>
      <c r="J766">
        <v>1</v>
      </c>
      <c r="K766" s="1">
        <v>41276</v>
      </c>
      <c r="L766">
        <v>28</v>
      </c>
      <c r="M766" t="str">
        <f t="shared" si="34"/>
        <v>Active</v>
      </c>
      <c r="N766">
        <v>0</v>
      </c>
      <c r="O766">
        <v>324</v>
      </c>
      <c r="P766">
        <v>48</v>
      </c>
      <c r="Q766">
        <v>186</v>
      </c>
      <c r="R766">
        <v>39</v>
      </c>
      <c r="S766">
        <v>18</v>
      </c>
      <c r="T766">
        <v>198</v>
      </c>
      <c r="U766">
        <v>813</v>
      </c>
      <c r="V766">
        <v>6</v>
      </c>
      <c r="W766">
        <v>6</v>
      </c>
      <c r="X766">
        <v>8</v>
      </c>
      <c r="Y766">
        <v>4</v>
      </c>
      <c r="Z766">
        <v>18</v>
      </c>
      <c r="AA766">
        <v>7</v>
      </c>
      <c r="AB766" t="str">
        <f t="shared" si="35"/>
        <v>Below average customer</v>
      </c>
    </row>
    <row r="767" spans="1:28" x14ac:dyDescent="0.35">
      <c r="A767">
        <v>10846</v>
      </c>
      <c r="B767">
        <v>1978</v>
      </c>
      <c r="C767" t="s">
        <v>31</v>
      </c>
      <c r="D767" t="s">
        <v>34</v>
      </c>
      <c r="E767" t="s">
        <v>33</v>
      </c>
      <c r="F767">
        <v>43783</v>
      </c>
      <c r="G767" t="str">
        <f t="shared" si="33"/>
        <v>Mid-low</v>
      </c>
      <c r="H767">
        <v>1</v>
      </c>
      <c r="I767">
        <v>0</v>
      </c>
      <c r="J767">
        <v>1</v>
      </c>
      <c r="K767" s="1">
        <v>41788</v>
      </c>
      <c r="L767">
        <v>22</v>
      </c>
      <c r="M767" t="str">
        <f t="shared" si="34"/>
        <v>Active</v>
      </c>
      <c r="N767">
        <v>0</v>
      </c>
      <c r="O767">
        <v>327</v>
      </c>
      <c r="P767">
        <v>9</v>
      </c>
      <c r="Q767">
        <v>125</v>
      </c>
      <c r="R767">
        <v>25</v>
      </c>
      <c r="S767">
        <v>4</v>
      </c>
      <c r="T767">
        <v>139</v>
      </c>
      <c r="U767">
        <v>629</v>
      </c>
      <c r="V767">
        <v>6</v>
      </c>
      <c r="W767">
        <v>7</v>
      </c>
      <c r="X767">
        <v>1</v>
      </c>
      <c r="Y767">
        <v>8</v>
      </c>
      <c r="Z767">
        <v>16</v>
      </c>
      <c r="AA767">
        <v>7</v>
      </c>
      <c r="AB767" t="str">
        <f t="shared" si="35"/>
        <v>Below average customer</v>
      </c>
    </row>
    <row r="768" spans="1:28" x14ac:dyDescent="0.35">
      <c r="A768">
        <v>347</v>
      </c>
      <c r="B768">
        <v>1976</v>
      </c>
      <c r="C768" t="s">
        <v>31</v>
      </c>
      <c r="D768" t="s">
        <v>26</v>
      </c>
      <c r="E768" t="s">
        <v>35</v>
      </c>
      <c r="F768">
        <v>40780</v>
      </c>
      <c r="G768" t="str">
        <f t="shared" si="33"/>
        <v>Mid-low</v>
      </c>
      <c r="H768">
        <v>0</v>
      </c>
      <c r="I768">
        <v>1</v>
      </c>
      <c r="J768">
        <v>1</v>
      </c>
      <c r="K768" s="1">
        <v>41160</v>
      </c>
      <c r="L768">
        <v>30</v>
      </c>
      <c r="M768" t="str">
        <f t="shared" si="34"/>
        <v>Active</v>
      </c>
      <c r="N768">
        <v>0</v>
      </c>
      <c r="O768">
        <v>229</v>
      </c>
      <c r="P768">
        <v>27</v>
      </c>
      <c r="Q768">
        <v>71</v>
      </c>
      <c r="R768">
        <v>13</v>
      </c>
      <c r="S768">
        <v>3</v>
      </c>
      <c r="T768">
        <v>34</v>
      </c>
      <c r="U768">
        <v>377</v>
      </c>
      <c r="V768">
        <v>4</v>
      </c>
      <c r="W768">
        <v>7</v>
      </c>
      <c r="X768">
        <v>1</v>
      </c>
      <c r="Y768">
        <v>5</v>
      </c>
      <c r="Z768">
        <v>13</v>
      </c>
      <c r="AA768">
        <v>9</v>
      </c>
      <c r="AB768" t="str">
        <f t="shared" si="35"/>
        <v>Below average customer</v>
      </c>
    </row>
    <row r="769" spans="1:28" x14ac:dyDescent="0.35">
      <c r="A769">
        <v>6543</v>
      </c>
      <c r="B769">
        <v>1945</v>
      </c>
      <c r="C769" t="s">
        <v>36</v>
      </c>
      <c r="D769" t="s">
        <v>34</v>
      </c>
      <c r="E769" t="s">
        <v>29</v>
      </c>
      <c r="F769">
        <v>62847</v>
      </c>
      <c r="G769" t="str">
        <f t="shared" si="33"/>
        <v>Mid-high</v>
      </c>
      <c r="H769">
        <v>0</v>
      </c>
      <c r="I769">
        <v>0</v>
      </c>
      <c r="J769">
        <v>0</v>
      </c>
      <c r="K769" s="1">
        <v>41289</v>
      </c>
      <c r="L769">
        <v>45</v>
      </c>
      <c r="M769" t="str">
        <f t="shared" si="34"/>
        <v>Active</v>
      </c>
      <c r="N769">
        <v>0</v>
      </c>
      <c r="O769">
        <v>521</v>
      </c>
      <c r="P769">
        <v>168</v>
      </c>
      <c r="Q769">
        <v>706</v>
      </c>
      <c r="R769">
        <v>80</v>
      </c>
      <c r="S769">
        <v>76</v>
      </c>
      <c r="T769">
        <v>61</v>
      </c>
      <c r="U769">
        <v>1612</v>
      </c>
      <c r="V769">
        <v>1</v>
      </c>
      <c r="W769">
        <v>3</v>
      </c>
      <c r="X769">
        <v>6</v>
      </c>
      <c r="Y769">
        <v>4</v>
      </c>
      <c r="Z769">
        <v>13</v>
      </c>
      <c r="AA769">
        <v>2</v>
      </c>
      <c r="AB769" t="str">
        <f t="shared" si="35"/>
        <v>Above average customer</v>
      </c>
    </row>
    <row r="770" spans="1:28" x14ac:dyDescent="0.35">
      <c r="A770">
        <v>10446</v>
      </c>
      <c r="B770">
        <v>1957</v>
      </c>
      <c r="C770" t="s">
        <v>25</v>
      </c>
      <c r="D770" t="s">
        <v>32</v>
      </c>
      <c r="E770" t="s">
        <v>33</v>
      </c>
      <c r="F770">
        <v>82017</v>
      </c>
      <c r="G770" t="str">
        <f t="shared" ref="G770:G833" si="36">IF(F770&lt;=_xlfn.PERCENTILE.INC($F$2:$F$2056,0.25),"Low",IF(F770&lt;=_xlfn.PERCENTILE.INC($F$2:$F$2056,0.5),"Mid-low",IF(F770&lt;=_xlfn.PERCENTILE.INC($F$2:$F$2056,0.75),"Mid-high","High")))</f>
        <v>High</v>
      </c>
      <c r="H770">
        <v>0</v>
      </c>
      <c r="I770">
        <v>0</v>
      </c>
      <c r="J770">
        <v>0</v>
      </c>
      <c r="K770" s="1">
        <v>41220</v>
      </c>
      <c r="L770">
        <v>58</v>
      </c>
      <c r="M770" t="str">
        <f t="shared" ref="M770:M833" si="37">IF(L770&gt;AVERAGE($L$2:$L$2056),"Inactive","Active")</f>
        <v>Inactive</v>
      </c>
      <c r="N770">
        <v>0</v>
      </c>
      <c r="O770">
        <v>184</v>
      </c>
      <c r="P770">
        <v>23</v>
      </c>
      <c r="Q770">
        <v>446</v>
      </c>
      <c r="R770">
        <v>30</v>
      </c>
      <c r="S770">
        <v>23</v>
      </c>
      <c r="T770">
        <v>23</v>
      </c>
      <c r="U770">
        <v>729</v>
      </c>
      <c r="V770">
        <v>1</v>
      </c>
      <c r="W770">
        <v>5</v>
      </c>
      <c r="X770">
        <v>4</v>
      </c>
      <c r="Y770">
        <v>7</v>
      </c>
      <c r="Z770">
        <v>16</v>
      </c>
      <c r="AA770">
        <v>2</v>
      </c>
      <c r="AB770" t="str">
        <f t="shared" ref="AB770:AB833" si="38">IF(AND(Z770&gt;AVERAGE($Z$2:$Z$2056),U770&gt;AVERAGE($U$2:$U$2056),N770=0,L770&lt;AVERAGE($L$2:$L$2056),F770&gt;AVERAGE($F$2:$F$2240)),"Above average customer","Below average customer")</f>
        <v>Below average customer</v>
      </c>
    </row>
    <row r="771" spans="1:28" x14ac:dyDescent="0.35">
      <c r="A771">
        <v>3479</v>
      </c>
      <c r="B771">
        <v>1950</v>
      </c>
      <c r="C771" t="s">
        <v>36</v>
      </c>
      <c r="D771" t="s">
        <v>26</v>
      </c>
      <c r="E771" t="s">
        <v>27</v>
      </c>
      <c r="F771">
        <v>16813</v>
      </c>
      <c r="G771" t="str">
        <f t="shared" si="36"/>
        <v>Low</v>
      </c>
      <c r="H771">
        <v>0</v>
      </c>
      <c r="I771">
        <v>0</v>
      </c>
      <c r="J771">
        <v>0</v>
      </c>
      <c r="K771" s="1">
        <v>41474</v>
      </c>
      <c r="L771">
        <v>49</v>
      </c>
      <c r="M771" t="str">
        <f t="shared" si="37"/>
        <v>Inactive</v>
      </c>
      <c r="N771">
        <v>0</v>
      </c>
      <c r="O771">
        <v>4</v>
      </c>
      <c r="P771">
        <v>8</v>
      </c>
      <c r="Q771">
        <v>11</v>
      </c>
      <c r="R771">
        <v>12</v>
      </c>
      <c r="S771">
        <v>2</v>
      </c>
      <c r="T771">
        <v>13</v>
      </c>
      <c r="U771">
        <v>50</v>
      </c>
      <c r="V771">
        <v>1</v>
      </c>
      <c r="W771">
        <v>2</v>
      </c>
      <c r="X771">
        <v>0</v>
      </c>
      <c r="Y771">
        <v>3</v>
      </c>
      <c r="Z771">
        <v>5</v>
      </c>
      <c r="AA771">
        <v>7</v>
      </c>
      <c r="AB771" t="str">
        <f t="shared" si="38"/>
        <v>Below average customer</v>
      </c>
    </row>
    <row r="772" spans="1:28" x14ac:dyDescent="0.35">
      <c r="A772">
        <v>11075</v>
      </c>
      <c r="B772">
        <v>1978</v>
      </c>
      <c r="C772" t="s">
        <v>31</v>
      </c>
      <c r="D772" t="s">
        <v>26</v>
      </c>
      <c r="E772" t="s">
        <v>33</v>
      </c>
      <c r="F772">
        <v>51267</v>
      </c>
      <c r="G772" t="str">
        <f t="shared" si="36"/>
        <v>Mid-low</v>
      </c>
      <c r="H772">
        <v>1</v>
      </c>
      <c r="I772">
        <v>1</v>
      </c>
      <c r="J772">
        <v>2</v>
      </c>
      <c r="K772" s="1">
        <v>41576</v>
      </c>
      <c r="L772">
        <v>37</v>
      </c>
      <c r="M772" t="str">
        <f t="shared" si="37"/>
        <v>Active</v>
      </c>
      <c r="N772">
        <v>0</v>
      </c>
      <c r="O772">
        <v>183</v>
      </c>
      <c r="P772">
        <v>2</v>
      </c>
      <c r="Q772">
        <v>64</v>
      </c>
      <c r="R772">
        <v>7</v>
      </c>
      <c r="S772">
        <v>2</v>
      </c>
      <c r="T772">
        <v>12</v>
      </c>
      <c r="U772">
        <v>270</v>
      </c>
      <c r="V772">
        <v>4</v>
      </c>
      <c r="W772">
        <v>3</v>
      </c>
      <c r="X772">
        <v>3</v>
      </c>
      <c r="Y772">
        <v>5</v>
      </c>
      <c r="Z772">
        <v>11</v>
      </c>
      <c r="AA772">
        <v>4</v>
      </c>
      <c r="AB772" t="str">
        <f t="shared" si="38"/>
        <v>Below average customer</v>
      </c>
    </row>
    <row r="773" spans="1:28" x14ac:dyDescent="0.35">
      <c r="A773">
        <v>4442</v>
      </c>
      <c r="B773">
        <v>1961</v>
      </c>
      <c r="C773" t="s">
        <v>25</v>
      </c>
      <c r="D773" t="s">
        <v>26</v>
      </c>
      <c r="E773" t="s">
        <v>27</v>
      </c>
      <c r="F773">
        <v>46524</v>
      </c>
      <c r="G773" t="str">
        <f t="shared" si="36"/>
        <v>Mid-low</v>
      </c>
      <c r="H773">
        <v>0</v>
      </c>
      <c r="I773">
        <v>1</v>
      </c>
      <c r="J773">
        <v>1</v>
      </c>
      <c r="K773" s="1">
        <v>41369</v>
      </c>
      <c r="L773">
        <v>70</v>
      </c>
      <c r="M773" t="str">
        <f t="shared" si="37"/>
        <v>Inactive</v>
      </c>
      <c r="N773">
        <v>0</v>
      </c>
      <c r="O773">
        <v>31</v>
      </c>
      <c r="P773">
        <v>19</v>
      </c>
      <c r="Q773">
        <v>35</v>
      </c>
      <c r="R773">
        <v>26</v>
      </c>
      <c r="S773">
        <v>14</v>
      </c>
      <c r="T773">
        <v>52</v>
      </c>
      <c r="U773">
        <v>177</v>
      </c>
      <c r="V773">
        <v>2</v>
      </c>
      <c r="W773">
        <v>1</v>
      </c>
      <c r="X773">
        <v>1</v>
      </c>
      <c r="Y773">
        <v>5</v>
      </c>
      <c r="Z773">
        <v>7</v>
      </c>
      <c r="AA773">
        <v>3</v>
      </c>
      <c r="AB773" t="str">
        <f t="shared" si="38"/>
        <v>Below average customer</v>
      </c>
    </row>
    <row r="774" spans="1:28" x14ac:dyDescent="0.35">
      <c r="A774">
        <v>199</v>
      </c>
      <c r="B774">
        <v>1962</v>
      </c>
      <c r="C774" t="s">
        <v>25</v>
      </c>
      <c r="D774" t="s">
        <v>34</v>
      </c>
      <c r="E774" t="s">
        <v>27</v>
      </c>
      <c r="F774">
        <v>45183</v>
      </c>
      <c r="G774" t="str">
        <f t="shared" si="36"/>
        <v>Mid-low</v>
      </c>
      <c r="H774">
        <v>0</v>
      </c>
      <c r="I774">
        <v>0</v>
      </c>
      <c r="J774">
        <v>0</v>
      </c>
      <c r="K774" s="1">
        <v>41294</v>
      </c>
      <c r="L774">
        <v>33</v>
      </c>
      <c r="M774" t="str">
        <f t="shared" si="37"/>
        <v>Active</v>
      </c>
      <c r="N774">
        <v>0</v>
      </c>
      <c r="O774">
        <v>219</v>
      </c>
      <c r="P774">
        <v>3</v>
      </c>
      <c r="Q774">
        <v>60</v>
      </c>
      <c r="R774">
        <v>12</v>
      </c>
      <c r="S774">
        <v>9</v>
      </c>
      <c r="T774">
        <v>12</v>
      </c>
      <c r="U774">
        <v>315</v>
      </c>
      <c r="V774">
        <v>1</v>
      </c>
      <c r="W774">
        <v>4</v>
      </c>
      <c r="X774">
        <v>1</v>
      </c>
      <c r="Y774">
        <v>7</v>
      </c>
      <c r="Z774">
        <v>12</v>
      </c>
      <c r="AA774">
        <v>7</v>
      </c>
      <c r="AB774" t="str">
        <f t="shared" si="38"/>
        <v>Below average customer</v>
      </c>
    </row>
    <row r="775" spans="1:28" x14ac:dyDescent="0.35">
      <c r="A775">
        <v>6722</v>
      </c>
      <c r="B775">
        <v>1954</v>
      </c>
      <c r="C775" t="s">
        <v>25</v>
      </c>
      <c r="D775" t="s">
        <v>32</v>
      </c>
      <c r="E775" t="s">
        <v>33</v>
      </c>
      <c r="F775">
        <v>70421</v>
      </c>
      <c r="G775" t="str">
        <f t="shared" si="36"/>
        <v>High</v>
      </c>
      <c r="H775">
        <v>0</v>
      </c>
      <c r="I775">
        <v>1</v>
      </c>
      <c r="J775">
        <v>1</v>
      </c>
      <c r="K775" s="1">
        <v>41818</v>
      </c>
      <c r="L775">
        <v>98</v>
      </c>
      <c r="M775" t="str">
        <f t="shared" si="37"/>
        <v>Inactive</v>
      </c>
      <c r="N775">
        <v>0</v>
      </c>
      <c r="O775">
        <v>479</v>
      </c>
      <c r="P775">
        <v>28</v>
      </c>
      <c r="Q775">
        <v>136</v>
      </c>
      <c r="R775">
        <v>75</v>
      </c>
      <c r="S775">
        <v>14</v>
      </c>
      <c r="T775">
        <v>35</v>
      </c>
      <c r="U775">
        <v>767</v>
      </c>
      <c r="V775">
        <v>3</v>
      </c>
      <c r="W775">
        <v>10</v>
      </c>
      <c r="X775">
        <v>3</v>
      </c>
      <c r="Y775">
        <v>7</v>
      </c>
      <c r="Z775">
        <v>20</v>
      </c>
      <c r="AA775">
        <v>6</v>
      </c>
      <c r="AB775" t="str">
        <f t="shared" si="38"/>
        <v>Below average customer</v>
      </c>
    </row>
    <row r="776" spans="1:28" x14ac:dyDescent="0.35">
      <c r="A776">
        <v>796</v>
      </c>
      <c r="B776">
        <v>1965</v>
      </c>
      <c r="C776" t="s">
        <v>28</v>
      </c>
      <c r="D776" t="s">
        <v>34</v>
      </c>
      <c r="E776" t="s">
        <v>35</v>
      </c>
      <c r="F776">
        <v>60161</v>
      </c>
      <c r="G776" t="str">
        <f t="shared" si="36"/>
        <v>Mid-high</v>
      </c>
      <c r="H776">
        <v>0</v>
      </c>
      <c r="I776">
        <v>1</v>
      </c>
      <c r="J776">
        <v>1</v>
      </c>
      <c r="K776" s="1">
        <v>41205</v>
      </c>
      <c r="L776">
        <v>17</v>
      </c>
      <c r="M776" t="str">
        <f t="shared" si="37"/>
        <v>Active</v>
      </c>
      <c r="N776">
        <v>0</v>
      </c>
      <c r="O776">
        <v>584</v>
      </c>
      <c r="P776">
        <v>44</v>
      </c>
      <c r="Q776">
        <v>212</v>
      </c>
      <c r="R776">
        <v>46</v>
      </c>
      <c r="S776">
        <v>8</v>
      </c>
      <c r="T776">
        <v>177</v>
      </c>
      <c r="U776">
        <v>1071</v>
      </c>
      <c r="V776">
        <v>3</v>
      </c>
      <c r="W776">
        <v>11</v>
      </c>
      <c r="X776">
        <v>4</v>
      </c>
      <c r="Y776">
        <v>8</v>
      </c>
      <c r="Z776">
        <v>23</v>
      </c>
      <c r="AA776">
        <v>8</v>
      </c>
      <c r="AB776" t="str">
        <f t="shared" si="38"/>
        <v>Above average customer</v>
      </c>
    </row>
    <row r="777" spans="1:28" x14ac:dyDescent="0.35">
      <c r="A777">
        <v>3749</v>
      </c>
      <c r="B777">
        <v>1973</v>
      </c>
      <c r="C777" t="s">
        <v>31</v>
      </c>
      <c r="D777" t="s">
        <v>26</v>
      </c>
      <c r="E777" t="s">
        <v>29</v>
      </c>
      <c r="F777">
        <v>73926</v>
      </c>
      <c r="G777" t="str">
        <f t="shared" si="36"/>
        <v>High</v>
      </c>
      <c r="H777">
        <v>0</v>
      </c>
      <c r="I777">
        <v>0</v>
      </c>
      <c r="J777">
        <v>0</v>
      </c>
      <c r="K777" s="1">
        <v>41335</v>
      </c>
      <c r="L777">
        <v>54</v>
      </c>
      <c r="M777" t="str">
        <f t="shared" si="37"/>
        <v>Inactive</v>
      </c>
      <c r="N777">
        <v>0</v>
      </c>
      <c r="O777">
        <v>627</v>
      </c>
      <c r="P777">
        <v>91</v>
      </c>
      <c r="Q777">
        <v>597</v>
      </c>
      <c r="R777">
        <v>159</v>
      </c>
      <c r="S777">
        <v>91</v>
      </c>
      <c r="T777">
        <v>15</v>
      </c>
      <c r="U777">
        <v>1580</v>
      </c>
      <c r="V777">
        <v>1</v>
      </c>
      <c r="W777">
        <v>6</v>
      </c>
      <c r="X777">
        <v>5</v>
      </c>
      <c r="Y777">
        <v>12</v>
      </c>
      <c r="Z777">
        <v>23</v>
      </c>
      <c r="AA777">
        <v>3</v>
      </c>
      <c r="AB777" t="str">
        <f t="shared" si="38"/>
        <v>Below average customer</v>
      </c>
    </row>
    <row r="778" spans="1:28" x14ac:dyDescent="0.35">
      <c r="A778">
        <v>8523</v>
      </c>
      <c r="B778">
        <v>1968</v>
      </c>
      <c r="C778" t="s">
        <v>28</v>
      </c>
      <c r="D778" t="s">
        <v>26</v>
      </c>
      <c r="E778" t="s">
        <v>33</v>
      </c>
      <c r="F778">
        <v>19329</v>
      </c>
      <c r="G778" t="str">
        <f t="shared" si="36"/>
        <v>Low</v>
      </c>
      <c r="H778">
        <v>1</v>
      </c>
      <c r="I778">
        <v>0</v>
      </c>
      <c r="J778">
        <v>1</v>
      </c>
      <c r="K778" s="1">
        <v>41622</v>
      </c>
      <c r="L778">
        <v>39</v>
      </c>
      <c r="M778" t="str">
        <f t="shared" si="37"/>
        <v>Active</v>
      </c>
      <c r="N778">
        <v>0</v>
      </c>
      <c r="O778">
        <v>24</v>
      </c>
      <c r="P778">
        <v>1</v>
      </c>
      <c r="Q778">
        <v>16</v>
      </c>
      <c r="R778">
        <v>12</v>
      </c>
      <c r="S778">
        <v>2</v>
      </c>
      <c r="T778">
        <v>5</v>
      </c>
      <c r="U778">
        <v>60</v>
      </c>
      <c r="V778">
        <v>3</v>
      </c>
      <c r="W778">
        <v>4</v>
      </c>
      <c r="X778">
        <v>0</v>
      </c>
      <c r="Y778">
        <v>3</v>
      </c>
      <c r="Z778">
        <v>7</v>
      </c>
      <c r="AA778">
        <v>8</v>
      </c>
      <c r="AB778" t="str">
        <f t="shared" si="38"/>
        <v>Below average customer</v>
      </c>
    </row>
    <row r="779" spans="1:28" x14ac:dyDescent="0.35">
      <c r="A779">
        <v>310</v>
      </c>
      <c r="B779">
        <v>1970</v>
      </c>
      <c r="C779" t="s">
        <v>28</v>
      </c>
      <c r="D779" t="s">
        <v>34</v>
      </c>
      <c r="E779" t="s">
        <v>33</v>
      </c>
      <c r="F779">
        <v>61872</v>
      </c>
      <c r="G779" t="str">
        <f t="shared" si="36"/>
        <v>Mid-high</v>
      </c>
      <c r="H779">
        <v>0</v>
      </c>
      <c r="I779">
        <v>1</v>
      </c>
      <c r="J779">
        <v>1</v>
      </c>
      <c r="K779" s="1">
        <v>41621</v>
      </c>
      <c r="L779">
        <v>81</v>
      </c>
      <c r="M779" t="str">
        <f t="shared" si="37"/>
        <v>Inactive</v>
      </c>
      <c r="N779">
        <v>0</v>
      </c>
      <c r="O779">
        <v>330</v>
      </c>
      <c r="P779">
        <v>5</v>
      </c>
      <c r="Q779">
        <v>159</v>
      </c>
      <c r="R779">
        <v>36</v>
      </c>
      <c r="S779">
        <v>27</v>
      </c>
      <c r="T779">
        <v>16</v>
      </c>
      <c r="U779">
        <v>573</v>
      </c>
      <c r="V779">
        <v>4</v>
      </c>
      <c r="W779">
        <v>4</v>
      </c>
      <c r="X779">
        <v>4</v>
      </c>
      <c r="Y779">
        <v>9</v>
      </c>
      <c r="Z779">
        <v>17</v>
      </c>
      <c r="AA779">
        <v>4</v>
      </c>
      <c r="AB779" t="str">
        <f t="shared" si="38"/>
        <v>Below average customer</v>
      </c>
    </row>
    <row r="780" spans="1:28" x14ac:dyDescent="0.35">
      <c r="A780">
        <v>8629</v>
      </c>
      <c r="B780">
        <v>1956</v>
      </c>
      <c r="C780" t="s">
        <v>25</v>
      </c>
      <c r="D780" t="s">
        <v>26</v>
      </c>
      <c r="E780" t="s">
        <v>38</v>
      </c>
      <c r="F780">
        <v>46984</v>
      </c>
      <c r="G780" t="str">
        <f t="shared" si="36"/>
        <v>Mid-low</v>
      </c>
      <c r="H780">
        <v>1</v>
      </c>
      <c r="I780">
        <v>1</v>
      </c>
      <c r="J780">
        <v>2</v>
      </c>
      <c r="K780" s="1">
        <v>41359</v>
      </c>
      <c r="L780">
        <v>71</v>
      </c>
      <c r="M780" t="str">
        <f t="shared" si="37"/>
        <v>Inactive</v>
      </c>
      <c r="N780">
        <v>0</v>
      </c>
      <c r="O780">
        <v>19</v>
      </c>
      <c r="P780">
        <v>1</v>
      </c>
      <c r="Q780">
        <v>10</v>
      </c>
      <c r="R780">
        <v>2</v>
      </c>
      <c r="S780">
        <v>1</v>
      </c>
      <c r="T780">
        <v>8</v>
      </c>
      <c r="U780">
        <v>41</v>
      </c>
      <c r="V780">
        <v>1</v>
      </c>
      <c r="W780">
        <v>1</v>
      </c>
      <c r="X780">
        <v>0</v>
      </c>
      <c r="Y780">
        <v>3</v>
      </c>
      <c r="Z780">
        <v>4</v>
      </c>
      <c r="AA780">
        <v>5</v>
      </c>
      <c r="AB780" t="str">
        <f t="shared" si="38"/>
        <v>Below average customer</v>
      </c>
    </row>
    <row r="781" spans="1:28" x14ac:dyDescent="0.35">
      <c r="A781">
        <v>236</v>
      </c>
      <c r="B781">
        <v>1951</v>
      </c>
      <c r="C781" t="s">
        <v>36</v>
      </c>
      <c r="D781" t="s">
        <v>26</v>
      </c>
      <c r="E781" t="s">
        <v>33</v>
      </c>
      <c r="F781">
        <v>34838</v>
      </c>
      <c r="G781" t="str">
        <f t="shared" si="36"/>
        <v>Low</v>
      </c>
      <c r="H781">
        <v>1</v>
      </c>
      <c r="I781">
        <v>1</v>
      </c>
      <c r="J781">
        <v>2</v>
      </c>
      <c r="K781" s="1">
        <v>41293</v>
      </c>
      <c r="L781">
        <v>62</v>
      </c>
      <c r="M781" t="str">
        <f t="shared" si="37"/>
        <v>Inactive</v>
      </c>
      <c r="N781">
        <v>0</v>
      </c>
      <c r="O781">
        <v>28</v>
      </c>
      <c r="P781">
        <v>23</v>
      </c>
      <c r="Q781">
        <v>29</v>
      </c>
      <c r="R781">
        <v>29</v>
      </c>
      <c r="S781">
        <v>14</v>
      </c>
      <c r="T781">
        <v>47</v>
      </c>
      <c r="U781">
        <v>170</v>
      </c>
      <c r="V781">
        <v>3</v>
      </c>
      <c r="W781">
        <v>2</v>
      </c>
      <c r="X781">
        <v>1</v>
      </c>
      <c r="Y781">
        <v>4</v>
      </c>
      <c r="Z781">
        <v>7</v>
      </c>
      <c r="AA781">
        <v>6</v>
      </c>
      <c r="AB781" t="str">
        <f t="shared" si="38"/>
        <v>Below average customer</v>
      </c>
    </row>
    <row r="782" spans="1:28" x14ac:dyDescent="0.35">
      <c r="A782">
        <v>9930</v>
      </c>
      <c r="B782">
        <v>1944</v>
      </c>
      <c r="C782" t="s">
        <v>36</v>
      </c>
      <c r="D782" t="s">
        <v>32</v>
      </c>
      <c r="E782" t="s">
        <v>27</v>
      </c>
      <c r="F782">
        <v>82716</v>
      </c>
      <c r="G782" t="str">
        <f t="shared" si="36"/>
        <v>High</v>
      </c>
      <c r="H782">
        <v>0</v>
      </c>
      <c r="I782">
        <v>0</v>
      </c>
      <c r="J782">
        <v>0</v>
      </c>
      <c r="K782" s="1">
        <v>41583</v>
      </c>
      <c r="L782">
        <v>8</v>
      </c>
      <c r="M782" t="str">
        <f t="shared" si="37"/>
        <v>Active</v>
      </c>
      <c r="N782">
        <v>0</v>
      </c>
      <c r="O782">
        <v>606</v>
      </c>
      <c r="P782">
        <v>148</v>
      </c>
      <c r="Q782">
        <v>228</v>
      </c>
      <c r="R782">
        <v>15</v>
      </c>
      <c r="S782">
        <v>148</v>
      </c>
      <c r="T782">
        <v>22</v>
      </c>
      <c r="U782">
        <v>1167</v>
      </c>
      <c r="V782">
        <v>1</v>
      </c>
      <c r="W782">
        <v>6</v>
      </c>
      <c r="X782">
        <v>8</v>
      </c>
      <c r="Y782">
        <v>13</v>
      </c>
      <c r="Z782">
        <v>27</v>
      </c>
      <c r="AA782">
        <v>2</v>
      </c>
      <c r="AB782" t="str">
        <f t="shared" si="38"/>
        <v>Above average customer</v>
      </c>
    </row>
    <row r="783" spans="1:28" x14ac:dyDescent="0.35">
      <c r="A783">
        <v>3483</v>
      </c>
      <c r="B783">
        <v>1958</v>
      </c>
      <c r="C783" t="s">
        <v>25</v>
      </c>
      <c r="D783" t="s">
        <v>26</v>
      </c>
      <c r="E783" t="s">
        <v>33</v>
      </c>
      <c r="F783">
        <v>48192</v>
      </c>
      <c r="G783" t="str">
        <f t="shared" si="36"/>
        <v>Mid-low</v>
      </c>
      <c r="H783">
        <v>0</v>
      </c>
      <c r="I783">
        <v>0</v>
      </c>
      <c r="J783">
        <v>0</v>
      </c>
      <c r="K783" s="1">
        <v>41370</v>
      </c>
      <c r="L783">
        <v>76</v>
      </c>
      <c r="M783" t="str">
        <f t="shared" si="37"/>
        <v>Inactive</v>
      </c>
      <c r="N783">
        <v>0</v>
      </c>
      <c r="O783">
        <v>1039</v>
      </c>
      <c r="P783">
        <v>43</v>
      </c>
      <c r="Q783">
        <v>204</v>
      </c>
      <c r="R783">
        <v>153</v>
      </c>
      <c r="S783">
        <v>58</v>
      </c>
      <c r="T783">
        <v>29</v>
      </c>
      <c r="U783">
        <v>1526</v>
      </c>
      <c r="V783">
        <v>3</v>
      </c>
      <c r="W783">
        <v>2</v>
      </c>
      <c r="X783">
        <v>8</v>
      </c>
      <c r="Y783">
        <v>12</v>
      </c>
      <c r="Z783">
        <v>22</v>
      </c>
      <c r="AA783">
        <v>8</v>
      </c>
      <c r="AB783" t="str">
        <f t="shared" si="38"/>
        <v>Below average customer</v>
      </c>
    </row>
    <row r="784" spans="1:28" x14ac:dyDescent="0.35">
      <c r="A784">
        <v>4599</v>
      </c>
      <c r="B784">
        <v>1976</v>
      </c>
      <c r="C784" t="s">
        <v>31</v>
      </c>
      <c r="D784" t="s">
        <v>34</v>
      </c>
      <c r="E784" t="s">
        <v>33</v>
      </c>
      <c r="F784">
        <v>49681</v>
      </c>
      <c r="G784" t="str">
        <f t="shared" si="36"/>
        <v>Mid-low</v>
      </c>
      <c r="H784">
        <v>0</v>
      </c>
      <c r="I784">
        <v>2</v>
      </c>
      <c r="J784">
        <v>2</v>
      </c>
      <c r="K784" s="1">
        <v>41582</v>
      </c>
      <c r="L784">
        <v>66</v>
      </c>
      <c r="M784" t="str">
        <f t="shared" si="37"/>
        <v>Inactive</v>
      </c>
      <c r="N784">
        <v>0</v>
      </c>
      <c r="O784">
        <v>411</v>
      </c>
      <c r="P784">
        <v>0</v>
      </c>
      <c r="Q784">
        <v>26</v>
      </c>
      <c r="R784">
        <v>0</v>
      </c>
      <c r="S784">
        <v>0</v>
      </c>
      <c r="T784">
        <v>21</v>
      </c>
      <c r="U784">
        <v>458</v>
      </c>
      <c r="V784">
        <v>6</v>
      </c>
      <c r="W784">
        <v>7</v>
      </c>
      <c r="X784">
        <v>1</v>
      </c>
      <c r="Y784">
        <v>7</v>
      </c>
      <c r="Z784">
        <v>15</v>
      </c>
      <c r="AA784">
        <v>7</v>
      </c>
      <c r="AB784" t="str">
        <f t="shared" si="38"/>
        <v>Below average customer</v>
      </c>
    </row>
    <row r="785" spans="1:28" x14ac:dyDescent="0.35">
      <c r="A785">
        <v>7326</v>
      </c>
      <c r="B785">
        <v>1971</v>
      </c>
      <c r="C785" t="s">
        <v>28</v>
      </c>
      <c r="D785" t="s">
        <v>34</v>
      </c>
      <c r="E785" t="s">
        <v>33</v>
      </c>
      <c r="F785">
        <v>56850</v>
      </c>
      <c r="G785" t="str">
        <f t="shared" si="36"/>
        <v>Mid-high</v>
      </c>
      <c r="H785">
        <v>0</v>
      </c>
      <c r="I785">
        <v>1</v>
      </c>
      <c r="J785">
        <v>1</v>
      </c>
      <c r="K785" s="1">
        <v>41721</v>
      </c>
      <c r="L785">
        <v>83</v>
      </c>
      <c r="M785" t="str">
        <f t="shared" si="37"/>
        <v>Inactive</v>
      </c>
      <c r="N785">
        <v>0</v>
      </c>
      <c r="O785">
        <v>34</v>
      </c>
      <c r="P785">
        <v>1</v>
      </c>
      <c r="Q785">
        <v>19</v>
      </c>
      <c r="R785">
        <v>2</v>
      </c>
      <c r="S785">
        <v>7</v>
      </c>
      <c r="T785">
        <v>0</v>
      </c>
      <c r="U785">
        <v>63</v>
      </c>
      <c r="V785">
        <v>1</v>
      </c>
      <c r="W785">
        <v>1</v>
      </c>
      <c r="X785">
        <v>1</v>
      </c>
      <c r="Y785">
        <v>3</v>
      </c>
      <c r="Z785">
        <v>5</v>
      </c>
      <c r="AA785">
        <v>2</v>
      </c>
      <c r="AB785" t="str">
        <f t="shared" si="38"/>
        <v>Below average customer</v>
      </c>
    </row>
    <row r="786" spans="1:28" x14ac:dyDescent="0.35">
      <c r="A786">
        <v>7352</v>
      </c>
      <c r="B786">
        <v>1957</v>
      </c>
      <c r="C786" t="s">
        <v>25</v>
      </c>
      <c r="D786" t="s">
        <v>26</v>
      </c>
      <c r="E786" t="s">
        <v>33</v>
      </c>
      <c r="F786">
        <v>55267</v>
      </c>
      <c r="G786" t="str">
        <f t="shared" si="36"/>
        <v>Mid-high</v>
      </c>
      <c r="H786">
        <v>0</v>
      </c>
      <c r="I786">
        <v>1</v>
      </c>
      <c r="J786">
        <v>1</v>
      </c>
      <c r="K786" s="1">
        <v>41568</v>
      </c>
      <c r="L786">
        <v>28</v>
      </c>
      <c r="M786" t="str">
        <f t="shared" si="37"/>
        <v>Active</v>
      </c>
      <c r="N786">
        <v>0</v>
      </c>
      <c r="O786">
        <v>161</v>
      </c>
      <c r="P786">
        <v>28</v>
      </c>
      <c r="Q786">
        <v>136</v>
      </c>
      <c r="R786">
        <v>32</v>
      </c>
      <c r="S786">
        <v>3</v>
      </c>
      <c r="T786">
        <v>45</v>
      </c>
      <c r="U786">
        <v>405</v>
      </c>
      <c r="V786">
        <v>4</v>
      </c>
      <c r="W786">
        <v>3</v>
      </c>
      <c r="X786">
        <v>4</v>
      </c>
      <c r="Y786">
        <v>6</v>
      </c>
      <c r="Z786">
        <v>13</v>
      </c>
      <c r="AA786">
        <v>3</v>
      </c>
      <c r="AB786" t="str">
        <f t="shared" si="38"/>
        <v>Below average customer</v>
      </c>
    </row>
    <row r="787" spans="1:28" x14ac:dyDescent="0.35">
      <c r="A787">
        <v>2350</v>
      </c>
      <c r="B787">
        <v>1972</v>
      </c>
      <c r="C787" t="s">
        <v>28</v>
      </c>
      <c r="D787" t="s">
        <v>26</v>
      </c>
      <c r="E787" t="s">
        <v>33</v>
      </c>
      <c r="F787">
        <v>59666</v>
      </c>
      <c r="G787" t="str">
        <f t="shared" si="36"/>
        <v>Mid-high</v>
      </c>
      <c r="H787">
        <v>1</v>
      </c>
      <c r="I787">
        <v>1</v>
      </c>
      <c r="J787">
        <v>2</v>
      </c>
      <c r="K787" s="1">
        <v>41355</v>
      </c>
      <c r="L787">
        <v>87</v>
      </c>
      <c r="M787" t="str">
        <f t="shared" si="37"/>
        <v>Inactive</v>
      </c>
      <c r="N787">
        <v>0</v>
      </c>
      <c r="O787">
        <v>623</v>
      </c>
      <c r="P787">
        <v>53</v>
      </c>
      <c r="Q787">
        <v>178</v>
      </c>
      <c r="R787">
        <v>23</v>
      </c>
      <c r="S787">
        <v>17</v>
      </c>
      <c r="T787">
        <v>133</v>
      </c>
      <c r="U787">
        <v>1027</v>
      </c>
      <c r="V787">
        <v>7</v>
      </c>
      <c r="W787">
        <v>3</v>
      </c>
      <c r="X787">
        <v>2</v>
      </c>
      <c r="Y787">
        <v>8</v>
      </c>
      <c r="Z787">
        <v>13</v>
      </c>
      <c r="AA787">
        <v>8</v>
      </c>
      <c r="AB787" t="str">
        <f t="shared" si="38"/>
        <v>Below average customer</v>
      </c>
    </row>
    <row r="788" spans="1:28" x14ac:dyDescent="0.35">
      <c r="A788">
        <v>9145</v>
      </c>
      <c r="B788">
        <v>1972</v>
      </c>
      <c r="C788" t="s">
        <v>28</v>
      </c>
      <c r="D788" t="s">
        <v>26</v>
      </c>
      <c r="E788" t="s">
        <v>27</v>
      </c>
      <c r="F788">
        <v>72504</v>
      </c>
      <c r="G788" t="str">
        <f t="shared" si="36"/>
        <v>High</v>
      </c>
      <c r="H788">
        <v>0</v>
      </c>
      <c r="I788">
        <v>1</v>
      </c>
      <c r="J788">
        <v>1</v>
      </c>
      <c r="K788" s="1">
        <v>41370</v>
      </c>
      <c r="L788">
        <v>43</v>
      </c>
      <c r="M788" t="str">
        <f t="shared" si="37"/>
        <v>Active</v>
      </c>
      <c r="N788">
        <v>0</v>
      </c>
      <c r="O788">
        <v>604</v>
      </c>
      <c r="P788">
        <v>26</v>
      </c>
      <c r="Q788">
        <v>470</v>
      </c>
      <c r="R788">
        <v>123</v>
      </c>
      <c r="S788">
        <v>161</v>
      </c>
      <c r="T788">
        <v>94</v>
      </c>
      <c r="U788">
        <v>1478</v>
      </c>
      <c r="V788">
        <v>2</v>
      </c>
      <c r="W788">
        <v>5</v>
      </c>
      <c r="X788">
        <v>9</v>
      </c>
      <c r="Y788">
        <v>6</v>
      </c>
      <c r="Z788">
        <v>20</v>
      </c>
      <c r="AA788">
        <v>2</v>
      </c>
      <c r="AB788" t="str">
        <f t="shared" si="38"/>
        <v>Above average customer</v>
      </c>
    </row>
    <row r="789" spans="1:28" x14ac:dyDescent="0.35">
      <c r="A789">
        <v>2964</v>
      </c>
      <c r="B789">
        <v>1981</v>
      </c>
      <c r="C789" t="s">
        <v>31</v>
      </c>
      <c r="D789" t="s">
        <v>26</v>
      </c>
      <c r="E789" t="s">
        <v>33</v>
      </c>
      <c r="F789">
        <v>26872</v>
      </c>
      <c r="G789" t="str">
        <f t="shared" si="36"/>
        <v>Low</v>
      </c>
      <c r="H789">
        <v>0</v>
      </c>
      <c r="I789">
        <v>0</v>
      </c>
      <c r="J789">
        <v>0</v>
      </c>
      <c r="K789" s="1">
        <v>41563</v>
      </c>
      <c r="L789">
        <v>0</v>
      </c>
      <c r="M789" t="str">
        <f t="shared" si="37"/>
        <v>Active</v>
      </c>
      <c r="N789">
        <v>0</v>
      </c>
      <c r="O789">
        <v>3</v>
      </c>
      <c r="P789">
        <v>10</v>
      </c>
      <c r="Q789">
        <v>8</v>
      </c>
      <c r="R789">
        <v>3</v>
      </c>
      <c r="S789">
        <v>16</v>
      </c>
      <c r="T789">
        <v>32</v>
      </c>
      <c r="U789">
        <v>72</v>
      </c>
      <c r="V789">
        <v>1</v>
      </c>
      <c r="W789">
        <v>1</v>
      </c>
      <c r="X789">
        <v>1</v>
      </c>
      <c r="Y789">
        <v>2</v>
      </c>
      <c r="Z789">
        <v>4</v>
      </c>
      <c r="AA789">
        <v>6</v>
      </c>
      <c r="AB789" t="str">
        <f t="shared" si="38"/>
        <v>Below average customer</v>
      </c>
    </row>
    <row r="790" spans="1:28" x14ac:dyDescent="0.35">
      <c r="A790">
        <v>5585</v>
      </c>
      <c r="B790">
        <v>1972</v>
      </c>
      <c r="C790" t="s">
        <v>28</v>
      </c>
      <c r="D790" t="s">
        <v>26</v>
      </c>
      <c r="E790" t="s">
        <v>27</v>
      </c>
      <c r="F790">
        <v>21359</v>
      </c>
      <c r="G790" t="str">
        <f t="shared" si="36"/>
        <v>Low</v>
      </c>
      <c r="H790">
        <v>1</v>
      </c>
      <c r="I790">
        <v>0</v>
      </c>
      <c r="J790">
        <v>1</v>
      </c>
      <c r="K790" s="1">
        <v>41384</v>
      </c>
      <c r="L790">
        <v>1</v>
      </c>
      <c r="M790" t="str">
        <f t="shared" si="37"/>
        <v>Active</v>
      </c>
      <c r="N790">
        <v>0</v>
      </c>
      <c r="O790">
        <v>12</v>
      </c>
      <c r="P790">
        <v>2</v>
      </c>
      <c r="Q790">
        <v>17</v>
      </c>
      <c r="R790">
        <v>6</v>
      </c>
      <c r="S790">
        <v>1</v>
      </c>
      <c r="T790">
        <v>10</v>
      </c>
      <c r="U790">
        <v>48</v>
      </c>
      <c r="V790">
        <v>2</v>
      </c>
      <c r="W790">
        <v>2</v>
      </c>
      <c r="X790">
        <v>0</v>
      </c>
      <c r="Y790">
        <v>3</v>
      </c>
      <c r="Z790">
        <v>5</v>
      </c>
      <c r="AA790">
        <v>8</v>
      </c>
      <c r="AB790" t="str">
        <f t="shared" si="38"/>
        <v>Below average customer</v>
      </c>
    </row>
    <row r="791" spans="1:28" x14ac:dyDescent="0.35">
      <c r="A791">
        <v>9687</v>
      </c>
      <c r="B791">
        <v>1975</v>
      </c>
      <c r="C791" t="s">
        <v>31</v>
      </c>
      <c r="D791" t="s">
        <v>26</v>
      </c>
      <c r="E791" t="s">
        <v>27</v>
      </c>
      <c r="F791">
        <v>73170</v>
      </c>
      <c r="G791" t="str">
        <f t="shared" si="36"/>
        <v>High</v>
      </c>
      <c r="H791">
        <v>0</v>
      </c>
      <c r="I791">
        <v>0</v>
      </c>
      <c r="J791">
        <v>0</v>
      </c>
      <c r="K791" s="1">
        <v>41790</v>
      </c>
      <c r="L791">
        <v>1</v>
      </c>
      <c r="M791" t="str">
        <f t="shared" si="37"/>
        <v>Active</v>
      </c>
      <c r="N791">
        <v>0</v>
      </c>
      <c r="O791">
        <v>184</v>
      </c>
      <c r="P791">
        <v>174</v>
      </c>
      <c r="Q791">
        <v>256</v>
      </c>
      <c r="R791">
        <v>50</v>
      </c>
      <c r="S791">
        <v>30</v>
      </c>
      <c r="T791">
        <v>32</v>
      </c>
      <c r="U791">
        <v>726</v>
      </c>
      <c r="V791">
        <v>1</v>
      </c>
      <c r="W791">
        <v>5</v>
      </c>
      <c r="X791">
        <v>4</v>
      </c>
      <c r="Y791">
        <v>6</v>
      </c>
      <c r="Z791">
        <v>15</v>
      </c>
      <c r="AA791">
        <v>2</v>
      </c>
      <c r="AB791" t="str">
        <f t="shared" si="38"/>
        <v>Above average customer</v>
      </c>
    </row>
    <row r="792" spans="1:28" x14ac:dyDescent="0.35">
      <c r="A792">
        <v>3732</v>
      </c>
      <c r="B792">
        <v>1955</v>
      </c>
      <c r="C792" t="s">
        <v>25</v>
      </c>
      <c r="D792" t="s">
        <v>34</v>
      </c>
      <c r="E792" t="s">
        <v>33</v>
      </c>
      <c r="F792">
        <v>52750</v>
      </c>
      <c r="G792" t="str">
        <f t="shared" si="36"/>
        <v>Mid-high</v>
      </c>
      <c r="H792">
        <v>0</v>
      </c>
      <c r="I792">
        <v>1</v>
      </c>
      <c r="J792">
        <v>1</v>
      </c>
      <c r="K792" s="1">
        <v>41309</v>
      </c>
      <c r="L792">
        <v>72</v>
      </c>
      <c r="M792" t="str">
        <f t="shared" si="37"/>
        <v>Inactive</v>
      </c>
      <c r="N792">
        <v>0</v>
      </c>
      <c r="O792">
        <v>393</v>
      </c>
      <c r="P792">
        <v>0</v>
      </c>
      <c r="Q792">
        <v>239</v>
      </c>
      <c r="R792">
        <v>90</v>
      </c>
      <c r="S792">
        <v>69</v>
      </c>
      <c r="T792">
        <v>69</v>
      </c>
      <c r="U792">
        <v>860</v>
      </c>
      <c r="V792">
        <v>6</v>
      </c>
      <c r="W792">
        <v>5</v>
      </c>
      <c r="X792">
        <v>7</v>
      </c>
      <c r="Y792">
        <v>9</v>
      </c>
      <c r="Z792">
        <v>21</v>
      </c>
      <c r="AA792">
        <v>4</v>
      </c>
      <c r="AB792" t="str">
        <f t="shared" si="38"/>
        <v>Below average customer</v>
      </c>
    </row>
    <row r="793" spans="1:28" x14ac:dyDescent="0.35">
      <c r="A793">
        <v>6303</v>
      </c>
      <c r="B793">
        <v>1986</v>
      </c>
      <c r="C793" t="s">
        <v>30</v>
      </c>
      <c r="D793" t="s">
        <v>32</v>
      </c>
      <c r="E793" t="s">
        <v>29</v>
      </c>
      <c r="F793">
        <v>91820</v>
      </c>
      <c r="G793" t="str">
        <f t="shared" si="36"/>
        <v>High</v>
      </c>
      <c r="H793">
        <v>0</v>
      </c>
      <c r="I793">
        <v>0</v>
      </c>
      <c r="J793">
        <v>0</v>
      </c>
      <c r="K793" s="1">
        <v>41601</v>
      </c>
      <c r="L793">
        <v>72</v>
      </c>
      <c r="M793" t="str">
        <f t="shared" si="37"/>
        <v>Inactive</v>
      </c>
      <c r="N793">
        <v>0</v>
      </c>
      <c r="O793">
        <v>410</v>
      </c>
      <c r="P793">
        <v>73</v>
      </c>
      <c r="Q793">
        <v>747</v>
      </c>
      <c r="R793">
        <v>76</v>
      </c>
      <c r="S793">
        <v>161</v>
      </c>
      <c r="T793">
        <v>30</v>
      </c>
      <c r="U793">
        <v>1497</v>
      </c>
      <c r="V793">
        <v>0</v>
      </c>
      <c r="W793">
        <v>5</v>
      </c>
      <c r="X793">
        <v>5</v>
      </c>
      <c r="Y793">
        <v>12</v>
      </c>
      <c r="Z793">
        <v>22</v>
      </c>
      <c r="AA793">
        <v>1</v>
      </c>
      <c r="AB793" t="str">
        <f t="shared" si="38"/>
        <v>Below average customer</v>
      </c>
    </row>
    <row r="794" spans="1:28" x14ac:dyDescent="0.35">
      <c r="A794">
        <v>11176</v>
      </c>
      <c r="B794">
        <v>1970</v>
      </c>
      <c r="C794" t="s">
        <v>28</v>
      </c>
      <c r="D794" t="s">
        <v>32</v>
      </c>
      <c r="E794" t="s">
        <v>29</v>
      </c>
      <c r="F794">
        <v>65968</v>
      </c>
      <c r="G794" t="str">
        <f t="shared" si="36"/>
        <v>Mid-high</v>
      </c>
      <c r="H794">
        <v>0</v>
      </c>
      <c r="I794">
        <v>1</v>
      </c>
      <c r="J794">
        <v>1</v>
      </c>
      <c r="K794" s="1">
        <v>41771</v>
      </c>
      <c r="L794">
        <v>12</v>
      </c>
      <c r="M794" t="str">
        <f t="shared" si="37"/>
        <v>Active</v>
      </c>
      <c r="N794">
        <v>0</v>
      </c>
      <c r="O794">
        <v>376</v>
      </c>
      <c r="P794">
        <v>9</v>
      </c>
      <c r="Q794">
        <v>83</v>
      </c>
      <c r="R794">
        <v>19</v>
      </c>
      <c r="S794">
        <v>4</v>
      </c>
      <c r="T794">
        <v>4</v>
      </c>
      <c r="U794">
        <v>495</v>
      </c>
      <c r="V794">
        <v>2</v>
      </c>
      <c r="W794">
        <v>5</v>
      </c>
      <c r="X794">
        <v>4</v>
      </c>
      <c r="Y794">
        <v>7</v>
      </c>
      <c r="Z794">
        <v>16</v>
      </c>
      <c r="AA794">
        <v>3</v>
      </c>
      <c r="AB794" t="str">
        <f t="shared" si="38"/>
        <v>Below average customer</v>
      </c>
    </row>
    <row r="795" spans="1:28" x14ac:dyDescent="0.35">
      <c r="A795">
        <v>2986</v>
      </c>
      <c r="B795">
        <v>1976</v>
      </c>
      <c r="C795" t="s">
        <v>31</v>
      </c>
      <c r="D795" t="s">
        <v>26</v>
      </c>
      <c r="E795" t="s">
        <v>33</v>
      </c>
      <c r="F795">
        <v>30772</v>
      </c>
      <c r="G795" t="str">
        <f t="shared" si="36"/>
        <v>Low</v>
      </c>
      <c r="H795">
        <v>1</v>
      </c>
      <c r="I795">
        <v>1</v>
      </c>
      <c r="J795">
        <v>2</v>
      </c>
      <c r="K795" s="1">
        <v>41710</v>
      </c>
      <c r="L795">
        <v>89</v>
      </c>
      <c r="M795" t="str">
        <f t="shared" si="37"/>
        <v>Inactive</v>
      </c>
      <c r="N795">
        <v>0</v>
      </c>
      <c r="O795">
        <v>7</v>
      </c>
      <c r="P795">
        <v>2</v>
      </c>
      <c r="Q795">
        <v>4</v>
      </c>
      <c r="R795">
        <v>2</v>
      </c>
      <c r="S795">
        <v>1</v>
      </c>
      <c r="T795">
        <v>4</v>
      </c>
      <c r="U795">
        <v>20</v>
      </c>
      <c r="V795">
        <v>1</v>
      </c>
      <c r="W795">
        <v>1</v>
      </c>
      <c r="X795">
        <v>0</v>
      </c>
      <c r="Y795">
        <v>2</v>
      </c>
      <c r="Z795">
        <v>3</v>
      </c>
      <c r="AA795">
        <v>6</v>
      </c>
      <c r="AB795" t="str">
        <f t="shared" si="38"/>
        <v>Below average customer</v>
      </c>
    </row>
    <row r="796" spans="1:28" x14ac:dyDescent="0.35">
      <c r="A796">
        <v>7462</v>
      </c>
      <c r="B796">
        <v>1954</v>
      </c>
      <c r="C796" t="s">
        <v>25</v>
      </c>
      <c r="D796" t="s">
        <v>26</v>
      </c>
      <c r="E796" t="s">
        <v>27</v>
      </c>
      <c r="F796">
        <v>22507</v>
      </c>
      <c r="G796" t="str">
        <f t="shared" si="36"/>
        <v>Low</v>
      </c>
      <c r="H796">
        <v>0</v>
      </c>
      <c r="I796">
        <v>0</v>
      </c>
      <c r="J796">
        <v>0</v>
      </c>
      <c r="K796" s="1">
        <v>41237</v>
      </c>
      <c r="L796">
        <v>67</v>
      </c>
      <c r="M796" t="str">
        <f t="shared" si="37"/>
        <v>Inactive</v>
      </c>
      <c r="N796">
        <v>0</v>
      </c>
      <c r="O796">
        <v>68</v>
      </c>
      <c r="P796">
        <v>0</v>
      </c>
      <c r="Q796">
        <v>226</v>
      </c>
      <c r="R796">
        <v>51</v>
      </c>
      <c r="S796">
        <v>157</v>
      </c>
      <c r="T796">
        <v>68</v>
      </c>
      <c r="U796">
        <v>570</v>
      </c>
      <c r="V796">
        <v>3</v>
      </c>
      <c r="W796">
        <v>10</v>
      </c>
      <c r="X796">
        <v>2</v>
      </c>
      <c r="Y796">
        <v>4</v>
      </c>
      <c r="Z796">
        <v>16</v>
      </c>
      <c r="AA796">
        <v>9</v>
      </c>
      <c r="AB796" t="str">
        <f t="shared" si="38"/>
        <v>Below average customer</v>
      </c>
    </row>
    <row r="797" spans="1:28" x14ac:dyDescent="0.35">
      <c r="A797">
        <v>3900</v>
      </c>
      <c r="B797">
        <v>1972</v>
      </c>
      <c r="C797" t="s">
        <v>28</v>
      </c>
      <c r="D797" t="s">
        <v>26</v>
      </c>
      <c r="E797" t="s">
        <v>33</v>
      </c>
      <c r="F797">
        <v>65685</v>
      </c>
      <c r="G797" t="str">
        <f t="shared" si="36"/>
        <v>Mid-high</v>
      </c>
      <c r="H797">
        <v>0</v>
      </c>
      <c r="I797">
        <v>1</v>
      </c>
      <c r="J797">
        <v>1</v>
      </c>
      <c r="K797" s="1">
        <v>41727</v>
      </c>
      <c r="L797">
        <v>54</v>
      </c>
      <c r="M797" t="str">
        <f t="shared" si="37"/>
        <v>Inactive</v>
      </c>
      <c r="N797">
        <v>0</v>
      </c>
      <c r="O797">
        <v>642</v>
      </c>
      <c r="P797">
        <v>14</v>
      </c>
      <c r="Q797">
        <v>49</v>
      </c>
      <c r="R797">
        <v>0</v>
      </c>
      <c r="S797">
        <v>7</v>
      </c>
      <c r="T797">
        <v>57</v>
      </c>
      <c r="U797">
        <v>769</v>
      </c>
      <c r="V797">
        <v>1</v>
      </c>
      <c r="W797">
        <v>9</v>
      </c>
      <c r="X797">
        <v>2</v>
      </c>
      <c r="Y797">
        <v>9</v>
      </c>
      <c r="Z797">
        <v>20</v>
      </c>
      <c r="AA797">
        <v>5</v>
      </c>
      <c r="AB797" t="str">
        <f t="shared" si="38"/>
        <v>Below average customer</v>
      </c>
    </row>
    <row r="798" spans="1:28" x14ac:dyDescent="0.35">
      <c r="A798">
        <v>7034</v>
      </c>
      <c r="B798">
        <v>1978</v>
      </c>
      <c r="C798" t="s">
        <v>31</v>
      </c>
      <c r="D798" t="s">
        <v>34</v>
      </c>
      <c r="E798" t="s">
        <v>33</v>
      </c>
      <c r="F798">
        <v>25804</v>
      </c>
      <c r="G798" t="str">
        <f t="shared" si="36"/>
        <v>Low</v>
      </c>
      <c r="H798">
        <v>1</v>
      </c>
      <c r="I798">
        <v>0</v>
      </c>
      <c r="J798">
        <v>1</v>
      </c>
      <c r="K798" s="1">
        <v>41518</v>
      </c>
      <c r="L798">
        <v>34</v>
      </c>
      <c r="M798" t="str">
        <f t="shared" si="37"/>
        <v>Active</v>
      </c>
      <c r="N798">
        <v>0</v>
      </c>
      <c r="O798">
        <v>8</v>
      </c>
      <c r="P798">
        <v>7</v>
      </c>
      <c r="Q798">
        <v>9</v>
      </c>
      <c r="R798">
        <v>13</v>
      </c>
      <c r="S798">
        <v>6</v>
      </c>
      <c r="T798">
        <v>12</v>
      </c>
      <c r="U798">
        <v>55</v>
      </c>
      <c r="V798">
        <v>2</v>
      </c>
      <c r="W798">
        <v>2</v>
      </c>
      <c r="X798">
        <v>0</v>
      </c>
      <c r="Y798">
        <v>3</v>
      </c>
      <c r="Z798">
        <v>5</v>
      </c>
      <c r="AA798">
        <v>8</v>
      </c>
      <c r="AB798" t="str">
        <f t="shared" si="38"/>
        <v>Below average customer</v>
      </c>
    </row>
    <row r="799" spans="1:28" x14ac:dyDescent="0.35">
      <c r="A799">
        <v>9493</v>
      </c>
      <c r="B799">
        <v>1980</v>
      </c>
      <c r="C799" t="s">
        <v>31</v>
      </c>
      <c r="D799" t="s">
        <v>32</v>
      </c>
      <c r="E799" t="s">
        <v>27</v>
      </c>
      <c r="F799">
        <v>76412</v>
      </c>
      <c r="G799" t="str">
        <f t="shared" si="36"/>
        <v>High</v>
      </c>
      <c r="H799">
        <v>0</v>
      </c>
      <c r="I799">
        <v>0</v>
      </c>
      <c r="J799">
        <v>0</v>
      </c>
      <c r="K799" s="1">
        <v>41399</v>
      </c>
      <c r="L799">
        <v>15</v>
      </c>
      <c r="M799" t="str">
        <f t="shared" si="37"/>
        <v>Active</v>
      </c>
      <c r="N799">
        <v>0</v>
      </c>
      <c r="O799">
        <v>840</v>
      </c>
      <c r="P799">
        <v>53</v>
      </c>
      <c r="Q799">
        <v>804</v>
      </c>
      <c r="R799">
        <v>23</v>
      </c>
      <c r="S799">
        <v>71</v>
      </c>
      <c r="T799">
        <v>17</v>
      </c>
      <c r="U799">
        <v>1808</v>
      </c>
      <c r="V799">
        <v>1</v>
      </c>
      <c r="W799">
        <v>5</v>
      </c>
      <c r="X799">
        <v>4</v>
      </c>
      <c r="Y799">
        <v>8</v>
      </c>
      <c r="Z799">
        <v>17</v>
      </c>
      <c r="AA799">
        <v>3</v>
      </c>
      <c r="AB799" t="str">
        <f t="shared" si="38"/>
        <v>Above average customer</v>
      </c>
    </row>
    <row r="800" spans="1:28" x14ac:dyDescent="0.35">
      <c r="A800">
        <v>1143</v>
      </c>
      <c r="B800">
        <v>1972</v>
      </c>
      <c r="C800" t="s">
        <v>28</v>
      </c>
      <c r="D800" t="s">
        <v>26</v>
      </c>
      <c r="E800" t="s">
        <v>33</v>
      </c>
      <c r="F800">
        <v>22063</v>
      </c>
      <c r="G800" t="str">
        <f t="shared" si="36"/>
        <v>Low</v>
      </c>
      <c r="H800">
        <v>1</v>
      </c>
      <c r="I800">
        <v>0</v>
      </c>
      <c r="J800">
        <v>1</v>
      </c>
      <c r="K800" s="1">
        <v>41494</v>
      </c>
      <c r="L800">
        <v>43</v>
      </c>
      <c r="M800" t="str">
        <f t="shared" si="37"/>
        <v>Active</v>
      </c>
      <c r="N800">
        <v>0</v>
      </c>
      <c r="O800">
        <v>7</v>
      </c>
      <c r="P800">
        <v>10</v>
      </c>
      <c r="Q800">
        <v>13</v>
      </c>
      <c r="R800">
        <v>3</v>
      </c>
      <c r="S800">
        <v>11</v>
      </c>
      <c r="T800">
        <v>11</v>
      </c>
      <c r="U800">
        <v>55</v>
      </c>
      <c r="V800">
        <v>2</v>
      </c>
      <c r="W800">
        <v>2</v>
      </c>
      <c r="X800">
        <v>0</v>
      </c>
      <c r="Y800">
        <v>3</v>
      </c>
      <c r="Z800">
        <v>5</v>
      </c>
      <c r="AA800">
        <v>7</v>
      </c>
      <c r="AB800" t="str">
        <f t="shared" si="38"/>
        <v>Below average customer</v>
      </c>
    </row>
    <row r="801" spans="1:28" x14ac:dyDescent="0.35">
      <c r="A801">
        <v>1</v>
      </c>
      <c r="B801">
        <v>1961</v>
      </c>
      <c r="C801" t="s">
        <v>39</v>
      </c>
      <c r="D801" t="s">
        <v>26</v>
      </c>
      <c r="E801" t="s">
        <v>27</v>
      </c>
      <c r="F801">
        <v>57091</v>
      </c>
      <c r="G801" t="str">
        <f t="shared" si="36"/>
        <v>Mid-high</v>
      </c>
      <c r="H801">
        <v>0</v>
      </c>
      <c r="I801">
        <v>0</v>
      </c>
      <c r="J801">
        <v>0</v>
      </c>
      <c r="K801" s="1">
        <v>41805</v>
      </c>
      <c r="L801">
        <v>0</v>
      </c>
      <c r="M801" t="str">
        <f t="shared" si="37"/>
        <v>Active</v>
      </c>
      <c r="N801">
        <v>0</v>
      </c>
      <c r="O801">
        <v>464</v>
      </c>
      <c r="P801">
        <v>5</v>
      </c>
      <c r="Q801">
        <v>64</v>
      </c>
      <c r="R801">
        <v>7</v>
      </c>
      <c r="S801">
        <v>0</v>
      </c>
      <c r="T801">
        <v>37</v>
      </c>
      <c r="U801">
        <v>577</v>
      </c>
      <c r="V801">
        <v>1</v>
      </c>
      <c r="W801">
        <v>7</v>
      </c>
      <c r="X801">
        <v>3</v>
      </c>
      <c r="Y801">
        <v>7</v>
      </c>
      <c r="Z801">
        <v>17</v>
      </c>
      <c r="AA801">
        <v>5</v>
      </c>
      <c r="AB801" t="str">
        <f t="shared" si="38"/>
        <v>Below average customer</v>
      </c>
    </row>
    <row r="802" spans="1:28" x14ac:dyDescent="0.35">
      <c r="A802">
        <v>5989</v>
      </c>
      <c r="B802">
        <v>1959</v>
      </c>
      <c r="C802" t="s">
        <v>25</v>
      </c>
      <c r="D802" t="s">
        <v>34</v>
      </c>
      <c r="E802" t="s">
        <v>35</v>
      </c>
      <c r="F802">
        <v>78353</v>
      </c>
      <c r="G802" t="str">
        <f t="shared" si="36"/>
        <v>High</v>
      </c>
      <c r="H802">
        <v>0</v>
      </c>
      <c r="I802">
        <v>1</v>
      </c>
      <c r="J802">
        <v>1</v>
      </c>
      <c r="K802" s="1">
        <v>41380</v>
      </c>
      <c r="L802">
        <v>51</v>
      </c>
      <c r="M802" t="str">
        <f t="shared" si="37"/>
        <v>Inactive</v>
      </c>
      <c r="N802">
        <v>0</v>
      </c>
      <c r="O802">
        <v>752</v>
      </c>
      <c r="P802">
        <v>122</v>
      </c>
      <c r="Q802">
        <v>476</v>
      </c>
      <c r="R802">
        <v>39</v>
      </c>
      <c r="S802">
        <v>153</v>
      </c>
      <c r="T802">
        <v>34</v>
      </c>
      <c r="U802">
        <v>1576</v>
      </c>
      <c r="V802">
        <v>1</v>
      </c>
      <c r="W802">
        <v>10</v>
      </c>
      <c r="X802">
        <v>2</v>
      </c>
      <c r="Y802">
        <v>11</v>
      </c>
      <c r="Z802">
        <v>23</v>
      </c>
      <c r="AA802">
        <v>8</v>
      </c>
      <c r="AB802" t="str">
        <f t="shared" si="38"/>
        <v>Below average customer</v>
      </c>
    </row>
    <row r="803" spans="1:28" x14ac:dyDescent="0.35">
      <c r="A803">
        <v>9499</v>
      </c>
      <c r="B803">
        <v>1954</v>
      </c>
      <c r="C803" t="s">
        <v>25</v>
      </c>
      <c r="D803" t="s">
        <v>26</v>
      </c>
      <c r="E803" t="s">
        <v>33</v>
      </c>
      <c r="F803">
        <v>93404</v>
      </c>
      <c r="G803" t="str">
        <f t="shared" si="36"/>
        <v>High</v>
      </c>
      <c r="H803">
        <v>1</v>
      </c>
      <c r="I803">
        <v>2</v>
      </c>
      <c r="J803">
        <v>3</v>
      </c>
      <c r="K803" s="1">
        <v>41401</v>
      </c>
      <c r="L803">
        <v>97</v>
      </c>
      <c r="M803" t="str">
        <f t="shared" si="37"/>
        <v>Inactive</v>
      </c>
      <c r="N803">
        <v>0</v>
      </c>
      <c r="O803">
        <v>1279</v>
      </c>
      <c r="P803">
        <v>15</v>
      </c>
      <c r="Q803">
        <v>287</v>
      </c>
      <c r="R803">
        <v>20</v>
      </c>
      <c r="S803">
        <v>0</v>
      </c>
      <c r="T803">
        <v>15</v>
      </c>
      <c r="U803">
        <v>1616</v>
      </c>
      <c r="V803">
        <v>3</v>
      </c>
      <c r="W803">
        <v>3</v>
      </c>
      <c r="X803">
        <v>4</v>
      </c>
      <c r="Y803">
        <v>7</v>
      </c>
      <c r="Z803">
        <v>14</v>
      </c>
      <c r="AA803">
        <v>5</v>
      </c>
      <c r="AB803" t="str">
        <f t="shared" si="38"/>
        <v>Below average customer</v>
      </c>
    </row>
    <row r="804" spans="1:28" x14ac:dyDescent="0.35">
      <c r="A804">
        <v>6768</v>
      </c>
      <c r="B804">
        <v>1962</v>
      </c>
      <c r="C804" t="s">
        <v>25</v>
      </c>
      <c r="D804" t="s">
        <v>26</v>
      </c>
      <c r="E804" t="s">
        <v>35</v>
      </c>
      <c r="F804">
        <v>37859</v>
      </c>
      <c r="G804" t="str">
        <f t="shared" si="36"/>
        <v>Mid-low</v>
      </c>
      <c r="H804">
        <v>1</v>
      </c>
      <c r="I804">
        <v>2</v>
      </c>
      <c r="J804">
        <v>3</v>
      </c>
      <c r="K804" s="1">
        <v>41286</v>
      </c>
      <c r="L804">
        <v>75</v>
      </c>
      <c r="M804" t="str">
        <f t="shared" si="37"/>
        <v>Inactive</v>
      </c>
      <c r="N804">
        <v>0</v>
      </c>
      <c r="O804">
        <v>22</v>
      </c>
      <c r="P804">
        <v>1</v>
      </c>
      <c r="Q804">
        <v>8</v>
      </c>
      <c r="R804">
        <v>2</v>
      </c>
      <c r="S804">
        <v>1</v>
      </c>
      <c r="T804">
        <v>2</v>
      </c>
      <c r="U804">
        <v>36</v>
      </c>
      <c r="V804">
        <v>2</v>
      </c>
      <c r="W804">
        <v>1</v>
      </c>
      <c r="X804">
        <v>0</v>
      </c>
      <c r="Y804">
        <v>3</v>
      </c>
      <c r="Z804">
        <v>4</v>
      </c>
      <c r="AA804">
        <v>8</v>
      </c>
      <c r="AB804" t="str">
        <f t="shared" si="38"/>
        <v>Below average customer</v>
      </c>
    </row>
    <row r="805" spans="1:28" x14ac:dyDescent="0.35">
      <c r="A805">
        <v>2150</v>
      </c>
      <c r="B805">
        <v>1958</v>
      </c>
      <c r="C805" t="s">
        <v>25</v>
      </c>
      <c r="D805" t="s">
        <v>32</v>
      </c>
      <c r="E805" t="s">
        <v>38</v>
      </c>
      <c r="F805">
        <v>80995</v>
      </c>
      <c r="G805" t="str">
        <f t="shared" si="36"/>
        <v>High</v>
      </c>
      <c r="H805">
        <v>0</v>
      </c>
      <c r="I805">
        <v>1</v>
      </c>
      <c r="J805">
        <v>1</v>
      </c>
      <c r="K805" s="1">
        <v>41405</v>
      </c>
      <c r="L805">
        <v>83</v>
      </c>
      <c r="M805" t="str">
        <f t="shared" si="37"/>
        <v>Inactive</v>
      </c>
      <c r="N805">
        <v>0</v>
      </c>
      <c r="O805">
        <v>860</v>
      </c>
      <c r="P805">
        <v>28</v>
      </c>
      <c r="Q805">
        <v>409</v>
      </c>
      <c r="R805">
        <v>73</v>
      </c>
      <c r="S805">
        <v>56</v>
      </c>
      <c r="T805">
        <v>56</v>
      </c>
      <c r="U805">
        <v>1482</v>
      </c>
      <c r="V805">
        <v>1</v>
      </c>
      <c r="W805">
        <v>8</v>
      </c>
      <c r="X805">
        <v>9</v>
      </c>
      <c r="Y805">
        <v>4</v>
      </c>
      <c r="Z805">
        <v>21</v>
      </c>
      <c r="AA805">
        <v>4</v>
      </c>
      <c r="AB805" t="str">
        <f t="shared" si="38"/>
        <v>Below average customer</v>
      </c>
    </row>
    <row r="806" spans="1:28" x14ac:dyDescent="0.35">
      <c r="A806">
        <v>6646</v>
      </c>
      <c r="B806">
        <v>1984</v>
      </c>
      <c r="C806" t="s">
        <v>30</v>
      </c>
      <c r="D806" t="s">
        <v>26</v>
      </c>
      <c r="E806" t="s">
        <v>29</v>
      </c>
      <c r="F806">
        <v>16529</v>
      </c>
      <c r="G806" t="str">
        <f t="shared" si="36"/>
        <v>Low</v>
      </c>
      <c r="H806">
        <v>1</v>
      </c>
      <c r="I806">
        <v>0</v>
      </c>
      <c r="J806">
        <v>1</v>
      </c>
      <c r="K806" s="1">
        <v>41699</v>
      </c>
      <c r="L806">
        <v>23</v>
      </c>
      <c r="M806" t="str">
        <f t="shared" si="37"/>
        <v>Active</v>
      </c>
      <c r="N806">
        <v>0</v>
      </c>
      <c r="O806">
        <v>3</v>
      </c>
      <c r="P806">
        <v>0</v>
      </c>
      <c r="Q806">
        <v>5</v>
      </c>
      <c r="R806">
        <v>13</v>
      </c>
      <c r="S806">
        <v>0</v>
      </c>
      <c r="T806">
        <v>1</v>
      </c>
      <c r="U806">
        <v>22</v>
      </c>
      <c r="V806">
        <v>1</v>
      </c>
      <c r="W806">
        <v>1</v>
      </c>
      <c r="X806">
        <v>0</v>
      </c>
      <c r="Y806">
        <v>3</v>
      </c>
      <c r="Z806">
        <v>4</v>
      </c>
      <c r="AA806">
        <v>6</v>
      </c>
      <c r="AB806" t="str">
        <f t="shared" si="38"/>
        <v>Below average customer</v>
      </c>
    </row>
    <row r="807" spans="1:28" x14ac:dyDescent="0.35">
      <c r="A807">
        <v>4887</v>
      </c>
      <c r="B807">
        <v>1976</v>
      </c>
      <c r="C807" t="s">
        <v>31</v>
      </c>
      <c r="D807" t="s">
        <v>32</v>
      </c>
      <c r="E807" t="s">
        <v>35</v>
      </c>
      <c r="F807">
        <v>55412</v>
      </c>
      <c r="G807" t="str">
        <f t="shared" si="36"/>
        <v>Mid-high</v>
      </c>
      <c r="H807">
        <v>1</v>
      </c>
      <c r="I807">
        <v>1</v>
      </c>
      <c r="J807">
        <v>2</v>
      </c>
      <c r="K807" s="1">
        <v>41600</v>
      </c>
      <c r="L807">
        <v>65</v>
      </c>
      <c r="M807" t="str">
        <f t="shared" si="37"/>
        <v>Inactive</v>
      </c>
      <c r="N807">
        <v>0</v>
      </c>
      <c r="O807">
        <v>10</v>
      </c>
      <c r="P807">
        <v>5</v>
      </c>
      <c r="Q807">
        <v>28</v>
      </c>
      <c r="R807">
        <v>11</v>
      </c>
      <c r="S807">
        <v>1</v>
      </c>
      <c r="T807">
        <v>8</v>
      </c>
      <c r="U807">
        <v>63</v>
      </c>
      <c r="V807">
        <v>1</v>
      </c>
      <c r="W807">
        <v>2</v>
      </c>
      <c r="X807">
        <v>0</v>
      </c>
      <c r="Y807">
        <v>3</v>
      </c>
      <c r="Z807">
        <v>5</v>
      </c>
      <c r="AA807">
        <v>5</v>
      </c>
      <c r="AB807" t="str">
        <f t="shared" si="38"/>
        <v>Below average customer</v>
      </c>
    </row>
    <row r="808" spans="1:28" x14ac:dyDescent="0.35">
      <c r="A808">
        <v>8560</v>
      </c>
      <c r="B808">
        <v>1992</v>
      </c>
      <c r="C808" t="s">
        <v>30</v>
      </c>
      <c r="D808" t="s">
        <v>26</v>
      </c>
      <c r="E808" t="s">
        <v>27</v>
      </c>
      <c r="F808">
        <v>48789</v>
      </c>
      <c r="G808" t="str">
        <f t="shared" si="36"/>
        <v>Mid-low</v>
      </c>
      <c r="H808">
        <v>0</v>
      </c>
      <c r="I808">
        <v>0</v>
      </c>
      <c r="J808">
        <v>0</v>
      </c>
      <c r="K808" s="1">
        <v>41162</v>
      </c>
      <c r="L808">
        <v>94</v>
      </c>
      <c r="M808" t="str">
        <f t="shared" si="37"/>
        <v>Inactive</v>
      </c>
      <c r="N808">
        <v>0</v>
      </c>
      <c r="O808">
        <v>351</v>
      </c>
      <c r="P808">
        <v>16</v>
      </c>
      <c r="Q808">
        <v>156</v>
      </c>
      <c r="R808">
        <v>7</v>
      </c>
      <c r="S808">
        <v>5</v>
      </c>
      <c r="T808">
        <v>145</v>
      </c>
      <c r="U808">
        <v>680</v>
      </c>
      <c r="V808">
        <v>1</v>
      </c>
      <c r="W808">
        <v>6</v>
      </c>
      <c r="X808">
        <v>4</v>
      </c>
      <c r="Y808">
        <v>7</v>
      </c>
      <c r="Z808">
        <v>17</v>
      </c>
      <c r="AA808">
        <v>6</v>
      </c>
      <c r="AB808" t="str">
        <f t="shared" si="38"/>
        <v>Below average customer</v>
      </c>
    </row>
    <row r="809" spans="1:28" x14ac:dyDescent="0.35">
      <c r="A809">
        <v>3321</v>
      </c>
      <c r="B809">
        <v>1967</v>
      </c>
      <c r="C809" t="s">
        <v>28</v>
      </c>
      <c r="D809" t="s">
        <v>32</v>
      </c>
      <c r="E809" t="s">
        <v>29</v>
      </c>
      <c r="F809">
        <v>56575</v>
      </c>
      <c r="G809" t="str">
        <f t="shared" si="36"/>
        <v>Mid-high</v>
      </c>
      <c r="H809">
        <v>0</v>
      </c>
      <c r="I809">
        <v>2</v>
      </c>
      <c r="J809">
        <v>2</v>
      </c>
      <c r="K809" s="1">
        <v>41399</v>
      </c>
      <c r="L809">
        <v>42</v>
      </c>
      <c r="M809" t="str">
        <f t="shared" si="37"/>
        <v>Active</v>
      </c>
      <c r="N809">
        <v>0</v>
      </c>
      <c r="O809">
        <v>421</v>
      </c>
      <c r="P809">
        <v>5</v>
      </c>
      <c r="Q809">
        <v>90</v>
      </c>
      <c r="R809">
        <v>0</v>
      </c>
      <c r="S809">
        <v>16</v>
      </c>
      <c r="T809">
        <v>10</v>
      </c>
      <c r="U809">
        <v>542</v>
      </c>
      <c r="V809">
        <v>3</v>
      </c>
      <c r="W809">
        <v>7</v>
      </c>
      <c r="X809">
        <v>3</v>
      </c>
      <c r="Y809">
        <v>7</v>
      </c>
      <c r="Z809">
        <v>17</v>
      </c>
      <c r="AA809">
        <v>5</v>
      </c>
      <c r="AB809" t="str">
        <f t="shared" si="38"/>
        <v>Below average customer</v>
      </c>
    </row>
    <row r="810" spans="1:28" x14ac:dyDescent="0.35">
      <c r="A810">
        <v>11003</v>
      </c>
      <c r="B810">
        <v>1980</v>
      </c>
      <c r="C810" t="s">
        <v>31</v>
      </c>
      <c r="D810" t="s">
        <v>34</v>
      </c>
      <c r="E810" t="s">
        <v>29</v>
      </c>
      <c r="F810">
        <v>25130</v>
      </c>
      <c r="G810" t="str">
        <f t="shared" si="36"/>
        <v>Low</v>
      </c>
      <c r="H810">
        <v>1</v>
      </c>
      <c r="I810">
        <v>0</v>
      </c>
      <c r="J810">
        <v>1</v>
      </c>
      <c r="K810" s="1">
        <v>41549</v>
      </c>
      <c r="L810">
        <v>10</v>
      </c>
      <c r="M810" t="str">
        <f t="shared" si="37"/>
        <v>Active</v>
      </c>
      <c r="N810">
        <v>0</v>
      </c>
      <c r="O810">
        <v>2</v>
      </c>
      <c r="P810">
        <v>5</v>
      </c>
      <c r="Q810">
        <v>7</v>
      </c>
      <c r="R810">
        <v>0</v>
      </c>
      <c r="S810">
        <v>18</v>
      </c>
      <c r="T810">
        <v>18</v>
      </c>
      <c r="U810">
        <v>50</v>
      </c>
      <c r="V810">
        <v>2</v>
      </c>
      <c r="W810">
        <v>2</v>
      </c>
      <c r="X810">
        <v>0</v>
      </c>
      <c r="Y810">
        <v>3</v>
      </c>
      <c r="Z810">
        <v>5</v>
      </c>
      <c r="AA810">
        <v>7</v>
      </c>
      <c r="AB810" t="str">
        <f t="shared" si="38"/>
        <v>Below average customer</v>
      </c>
    </row>
    <row r="811" spans="1:28" x14ac:dyDescent="0.35">
      <c r="A811">
        <v>10402</v>
      </c>
      <c r="B811">
        <v>1967</v>
      </c>
      <c r="C811" t="s">
        <v>28</v>
      </c>
      <c r="D811" t="s">
        <v>26</v>
      </c>
      <c r="E811" t="s">
        <v>33</v>
      </c>
      <c r="F811">
        <v>35441</v>
      </c>
      <c r="G811" t="str">
        <f t="shared" si="36"/>
        <v>Low</v>
      </c>
      <c r="H811">
        <v>1</v>
      </c>
      <c r="I811">
        <v>1</v>
      </c>
      <c r="J811">
        <v>2</v>
      </c>
      <c r="K811" s="1">
        <v>41319</v>
      </c>
      <c r="L811">
        <v>94</v>
      </c>
      <c r="M811" t="str">
        <f t="shared" si="37"/>
        <v>Inactive</v>
      </c>
      <c r="N811">
        <v>0</v>
      </c>
      <c r="O811">
        <v>25</v>
      </c>
      <c r="P811">
        <v>1</v>
      </c>
      <c r="Q811">
        <v>9</v>
      </c>
      <c r="R811">
        <v>2</v>
      </c>
      <c r="S811">
        <v>1</v>
      </c>
      <c r="T811">
        <v>1</v>
      </c>
      <c r="U811">
        <v>39</v>
      </c>
      <c r="V811">
        <v>2</v>
      </c>
      <c r="W811">
        <v>1</v>
      </c>
      <c r="X811">
        <v>0</v>
      </c>
      <c r="Y811">
        <v>3</v>
      </c>
      <c r="Z811">
        <v>4</v>
      </c>
      <c r="AA811">
        <v>8</v>
      </c>
      <c r="AB811" t="str">
        <f t="shared" si="38"/>
        <v>Below average customer</v>
      </c>
    </row>
    <row r="812" spans="1:28" x14ac:dyDescent="0.35">
      <c r="A812">
        <v>9904</v>
      </c>
      <c r="B812">
        <v>1956</v>
      </c>
      <c r="C812" t="s">
        <v>25</v>
      </c>
      <c r="D812" t="s">
        <v>26</v>
      </c>
      <c r="E812" t="s">
        <v>33</v>
      </c>
      <c r="F812">
        <v>71391</v>
      </c>
      <c r="G812" t="str">
        <f t="shared" si="36"/>
        <v>High</v>
      </c>
      <c r="H812">
        <v>0</v>
      </c>
      <c r="I812">
        <v>1</v>
      </c>
      <c r="J812">
        <v>1</v>
      </c>
      <c r="K812" s="1">
        <v>41362</v>
      </c>
      <c r="L812">
        <v>50</v>
      </c>
      <c r="M812" t="str">
        <f t="shared" si="37"/>
        <v>Inactive</v>
      </c>
      <c r="N812">
        <v>0</v>
      </c>
      <c r="O812">
        <v>336</v>
      </c>
      <c r="P812">
        <v>123</v>
      </c>
      <c r="Q812">
        <v>274</v>
      </c>
      <c r="R812">
        <v>46</v>
      </c>
      <c r="S812">
        <v>123</v>
      </c>
      <c r="T812">
        <v>141</v>
      </c>
      <c r="U812">
        <v>1043</v>
      </c>
      <c r="V812">
        <v>5</v>
      </c>
      <c r="W812">
        <v>6</v>
      </c>
      <c r="X812">
        <v>5</v>
      </c>
      <c r="Y812">
        <v>12</v>
      </c>
      <c r="Z812">
        <v>23</v>
      </c>
      <c r="AA812">
        <v>3</v>
      </c>
      <c r="AB812" t="str">
        <f t="shared" si="38"/>
        <v>Below average customer</v>
      </c>
    </row>
    <row r="813" spans="1:28" x14ac:dyDescent="0.35">
      <c r="A813">
        <v>6141</v>
      </c>
      <c r="B813">
        <v>1972</v>
      </c>
      <c r="C813" t="s">
        <v>28</v>
      </c>
      <c r="D813" t="s">
        <v>34</v>
      </c>
      <c r="E813" t="s">
        <v>27</v>
      </c>
      <c r="F813">
        <v>49494</v>
      </c>
      <c r="G813" t="str">
        <f t="shared" si="36"/>
        <v>Mid-low</v>
      </c>
      <c r="H813">
        <v>1</v>
      </c>
      <c r="I813">
        <v>0</v>
      </c>
      <c r="J813">
        <v>1</v>
      </c>
      <c r="K813" s="1">
        <v>41389</v>
      </c>
      <c r="L813">
        <v>46</v>
      </c>
      <c r="M813" t="str">
        <f t="shared" si="37"/>
        <v>Active</v>
      </c>
      <c r="N813">
        <v>0</v>
      </c>
      <c r="O813">
        <v>191</v>
      </c>
      <c r="P813">
        <v>9</v>
      </c>
      <c r="Q813">
        <v>97</v>
      </c>
      <c r="R813">
        <v>0</v>
      </c>
      <c r="S813">
        <v>6</v>
      </c>
      <c r="T813">
        <v>82</v>
      </c>
      <c r="U813">
        <v>385</v>
      </c>
      <c r="V813">
        <v>2</v>
      </c>
      <c r="W813">
        <v>6</v>
      </c>
      <c r="X813">
        <v>1</v>
      </c>
      <c r="Y813">
        <v>5</v>
      </c>
      <c r="Z813">
        <v>12</v>
      </c>
      <c r="AA813">
        <v>7</v>
      </c>
      <c r="AB813" t="str">
        <f t="shared" si="38"/>
        <v>Below average customer</v>
      </c>
    </row>
    <row r="814" spans="1:28" x14ac:dyDescent="0.35">
      <c r="A814">
        <v>5687</v>
      </c>
      <c r="B814">
        <v>1980</v>
      </c>
      <c r="C814" t="s">
        <v>31</v>
      </c>
      <c r="D814" t="s">
        <v>26</v>
      </c>
      <c r="E814" t="s">
        <v>35</v>
      </c>
      <c r="F814">
        <v>81702</v>
      </c>
      <c r="G814" t="str">
        <f t="shared" si="36"/>
        <v>High</v>
      </c>
      <c r="H814">
        <v>0</v>
      </c>
      <c r="I814">
        <v>0</v>
      </c>
      <c r="J814">
        <v>0</v>
      </c>
      <c r="K814" s="1">
        <v>41175</v>
      </c>
      <c r="L814">
        <v>98</v>
      </c>
      <c r="M814" t="str">
        <f t="shared" si="37"/>
        <v>Inactive</v>
      </c>
      <c r="N814">
        <v>0</v>
      </c>
      <c r="O814">
        <v>563</v>
      </c>
      <c r="P814">
        <v>50</v>
      </c>
      <c r="Q814">
        <v>774</v>
      </c>
      <c r="R814">
        <v>28</v>
      </c>
      <c r="S814">
        <v>31</v>
      </c>
      <c r="T814">
        <v>187</v>
      </c>
      <c r="U814">
        <v>1633</v>
      </c>
      <c r="V814">
        <v>1</v>
      </c>
      <c r="W814">
        <v>7</v>
      </c>
      <c r="X814">
        <v>7</v>
      </c>
      <c r="Y814">
        <v>12</v>
      </c>
      <c r="Z814">
        <v>26</v>
      </c>
      <c r="AA814">
        <v>3</v>
      </c>
      <c r="AB814" t="str">
        <f t="shared" si="38"/>
        <v>Below average customer</v>
      </c>
    </row>
    <row r="815" spans="1:28" x14ac:dyDescent="0.35">
      <c r="A815">
        <v>10856</v>
      </c>
      <c r="B815">
        <v>1980</v>
      </c>
      <c r="C815" t="s">
        <v>31</v>
      </c>
      <c r="D815" t="s">
        <v>34</v>
      </c>
      <c r="E815" t="s">
        <v>27</v>
      </c>
      <c r="F815">
        <v>45889</v>
      </c>
      <c r="G815" t="str">
        <f t="shared" si="36"/>
        <v>Mid-low</v>
      </c>
      <c r="H815">
        <v>0</v>
      </c>
      <c r="I815">
        <v>1</v>
      </c>
      <c r="J815">
        <v>1</v>
      </c>
      <c r="K815" s="1">
        <v>41457</v>
      </c>
      <c r="L815">
        <v>42</v>
      </c>
      <c r="M815" t="str">
        <f t="shared" si="37"/>
        <v>Active</v>
      </c>
      <c r="N815">
        <v>0</v>
      </c>
      <c r="O815">
        <v>31</v>
      </c>
      <c r="P815">
        <v>0</v>
      </c>
      <c r="Q815">
        <v>6</v>
      </c>
      <c r="R815">
        <v>0</v>
      </c>
      <c r="S815">
        <v>1</v>
      </c>
      <c r="T815">
        <v>8</v>
      </c>
      <c r="U815">
        <v>46</v>
      </c>
      <c r="V815">
        <v>1</v>
      </c>
      <c r="W815">
        <v>1</v>
      </c>
      <c r="X815">
        <v>0</v>
      </c>
      <c r="Y815">
        <v>3</v>
      </c>
      <c r="Z815">
        <v>4</v>
      </c>
      <c r="AA815">
        <v>6</v>
      </c>
      <c r="AB815" t="str">
        <f t="shared" si="38"/>
        <v>Below average customer</v>
      </c>
    </row>
    <row r="816" spans="1:28" x14ac:dyDescent="0.35">
      <c r="A816">
        <v>5121</v>
      </c>
      <c r="B816">
        <v>1977</v>
      </c>
      <c r="C816" t="s">
        <v>31</v>
      </c>
      <c r="D816" t="s">
        <v>26</v>
      </c>
      <c r="E816" t="s">
        <v>27</v>
      </c>
      <c r="F816">
        <v>56628</v>
      </c>
      <c r="G816" t="str">
        <f t="shared" si="36"/>
        <v>Mid-high</v>
      </c>
      <c r="H816">
        <v>0</v>
      </c>
      <c r="I816">
        <v>1</v>
      </c>
      <c r="J816">
        <v>1</v>
      </c>
      <c r="K816" s="1">
        <v>41719</v>
      </c>
      <c r="L816">
        <v>30</v>
      </c>
      <c r="M816" t="str">
        <f t="shared" si="37"/>
        <v>Active</v>
      </c>
      <c r="N816">
        <v>0</v>
      </c>
      <c r="O816">
        <v>479</v>
      </c>
      <c r="P816">
        <v>5</v>
      </c>
      <c r="Q816">
        <v>82</v>
      </c>
      <c r="R816">
        <v>7</v>
      </c>
      <c r="S816">
        <v>17</v>
      </c>
      <c r="T816">
        <v>171</v>
      </c>
      <c r="U816">
        <v>761</v>
      </c>
      <c r="V816">
        <v>2</v>
      </c>
      <c r="W816">
        <v>7</v>
      </c>
      <c r="X816">
        <v>6</v>
      </c>
      <c r="Y816">
        <v>5</v>
      </c>
      <c r="Z816">
        <v>18</v>
      </c>
      <c r="AA816">
        <v>5</v>
      </c>
      <c r="AB816" t="str">
        <f t="shared" si="38"/>
        <v>Above average customer</v>
      </c>
    </row>
    <row r="817" spans="1:28" x14ac:dyDescent="0.35">
      <c r="A817">
        <v>4186</v>
      </c>
      <c r="B817">
        <v>1950</v>
      </c>
      <c r="C817" t="s">
        <v>36</v>
      </c>
      <c r="D817" t="s">
        <v>26</v>
      </c>
      <c r="E817" t="s">
        <v>29</v>
      </c>
      <c r="F817">
        <v>34026</v>
      </c>
      <c r="G817" t="str">
        <f t="shared" si="36"/>
        <v>Low</v>
      </c>
      <c r="H817">
        <v>1</v>
      </c>
      <c r="I817">
        <v>1</v>
      </c>
      <c r="J817">
        <v>2</v>
      </c>
      <c r="K817" s="1">
        <v>41491</v>
      </c>
      <c r="L817">
        <v>11</v>
      </c>
      <c r="M817" t="str">
        <f t="shared" si="37"/>
        <v>Active</v>
      </c>
      <c r="N817">
        <v>0</v>
      </c>
      <c r="O817">
        <v>18</v>
      </c>
      <c r="P817">
        <v>6</v>
      </c>
      <c r="Q817">
        <v>15</v>
      </c>
      <c r="R817">
        <v>12</v>
      </c>
      <c r="S817">
        <v>8</v>
      </c>
      <c r="T817">
        <v>17</v>
      </c>
      <c r="U817">
        <v>76</v>
      </c>
      <c r="V817">
        <v>3</v>
      </c>
      <c r="W817">
        <v>2</v>
      </c>
      <c r="X817">
        <v>1</v>
      </c>
      <c r="Y817">
        <v>3</v>
      </c>
      <c r="Z817">
        <v>6</v>
      </c>
      <c r="AA817">
        <v>5</v>
      </c>
      <c r="AB817" t="str">
        <f t="shared" si="38"/>
        <v>Below average customer</v>
      </c>
    </row>
    <row r="818" spans="1:28" x14ac:dyDescent="0.35">
      <c r="A818">
        <v>368</v>
      </c>
      <c r="B818">
        <v>1974</v>
      </c>
      <c r="C818" t="s">
        <v>31</v>
      </c>
      <c r="D818" t="s">
        <v>26</v>
      </c>
      <c r="E818" t="s">
        <v>33</v>
      </c>
      <c r="F818">
        <v>40049</v>
      </c>
      <c r="G818" t="str">
        <f t="shared" si="36"/>
        <v>Mid-low</v>
      </c>
      <c r="H818">
        <v>0</v>
      </c>
      <c r="I818">
        <v>1</v>
      </c>
      <c r="J818">
        <v>1</v>
      </c>
      <c r="K818" s="1">
        <v>41242</v>
      </c>
      <c r="L818">
        <v>61</v>
      </c>
      <c r="M818" t="str">
        <f t="shared" si="37"/>
        <v>Inactive</v>
      </c>
      <c r="N818">
        <v>0</v>
      </c>
      <c r="O818">
        <v>91</v>
      </c>
      <c r="P818">
        <v>65</v>
      </c>
      <c r="Q818">
        <v>52</v>
      </c>
      <c r="R818">
        <v>10</v>
      </c>
      <c r="S818">
        <v>44</v>
      </c>
      <c r="T818">
        <v>28</v>
      </c>
      <c r="U818">
        <v>290</v>
      </c>
      <c r="V818">
        <v>3</v>
      </c>
      <c r="W818">
        <v>3</v>
      </c>
      <c r="X818">
        <v>2</v>
      </c>
      <c r="Y818">
        <v>6</v>
      </c>
      <c r="Z818">
        <v>11</v>
      </c>
      <c r="AA818">
        <v>5</v>
      </c>
      <c r="AB818" t="str">
        <f t="shared" si="38"/>
        <v>Below average customer</v>
      </c>
    </row>
    <row r="819" spans="1:28" x14ac:dyDescent="0.35">
      <c r="A819">
        <v>11121</v>
      </c>
      <c r="B819">
        <v>1981</v>
      </c>
      <c r="C819" t="s">
        <v>31</v>
      </c>
      <c r="D819" t="s">
        <v>26</v>
      </c>
      <c r="E819" t="s">
        <v>33</v>
      </c>
      <c r="F819">
        <v>19419</v>
      </c>
      <c r="G819" t="str">
        <f t="shared" si="36"/>
        <v>Low</v>
      </c>
      <c r="H819">
        <v>1</v>
      </c>
      <c r="I819">
        <v>0</v>
      </c>
      <c r="J819">
        <v>1</v>
      </c>
      <c r="K819" s="1">
        <v>41223</v>
      </c>
      <c r="L819">
        <v>76</v>
      </c>
      <c r="M819" t="str">
        <f t="shared" si="37"/>
        <v>Inactive</v>
      </c>
      <c r="N819">
        <v>0</v>
      </c>
      <c r="O819">
        <v>2</v>
      </c>
      <c r="P819">
        <v>14</v>
      </c>
      <c r="Q819">
        <v>28</v>
      </c>
      <c r="R819">
        <v>16</v>
      </c>
      <c r="S819">
        <v>3</v>
      </c>
      <c r="T819">
        <v>7</v>
      </c>
      <c r="U819">
        <v>70</v>
      </c>
      <c r="V819">
        <v>4</v>
      </c>
      <c r="W819">
        <v>4</v>
      </c>
      <c r="X819">
        <v>0</v>
      </c>
      <c r="Y819">
        <v>3</v>
      </c>
      <c r="Z819">
        <v>7</v>
      </c>
      <c r="AA819">
        <v>9</v>
      </c>
      <c r="AB819" t="str">
        <f t="shared" si="38"/>
        <v>Below average customer</v>
      </c>
    </row>
    <row r="820" spans="1:28" x14ac:dyDescent="0.35">
      <c r="A820">
        <v>5332</v>
      </c>
      <c r="B820">
        <v>1960</v>
      </c>
      <c r="C820" t="s">
        <v>25</v>
      </c>
      <c r="D820" t="s">
        <v>34</v>
      </c>
      <c r="E820" t="s">
        <v>33</v>
      </c>
      <c r="F820">
        <v>82504</v>
      </c>
      <c r="G820" t="str">
        <f t="shared" si="36"/>
        <v>High</v>
      </c>
      <c r="H820">
        <v>0</v>
      </c>
      <c r="I820">
        <v>0</v>
      </c>
      <c r="J820">
        <v>0</v>
      </c>
      <c r="K820" s="1">
        <v>41482</v>
      </c>
      <c r="L820">
        <v>2</v>
      </c>
      <c r="M820" t="str">
        <f t="shared" si="37"/>
        <v>Active</v>
      </c>
      <c r="N820">
        <v>0</v>
      </c>
      <c r="O820">
        <v>362</v>
      </c>
      <c r="P820">
        <v>50</v>
      </c>
      <c r="Q820">
        <v>431</v>
      </c>
      <c r="R820">
        <v>134</v>
      </c>
      <c r="S820">
        <v>35</v>
      </c>
      <c r="T820">
        <v>54</v>
      </c>
      <c r="U820">
        <v>1066</v>
      </c>
      <c r="V820">
        <v>1</v>
      </c>
      <c r="W820">
        <v>3</v>
      </c>
      <c r="X820">
        <v>6</v>
      </c>
      <c r="Y820">
        <v>7</v>
      </c>
      <c r="Z820">
        <v>16</v>
      </c>
      <c r="AA820">
        <v>1</v>
      </c>
      <c r="AB820" t="str">
        <f t="shared" si="38"/>
        <v>Above average customer</v>
      </c>
    </row>
    <row r="821" spans="1:28" x14ac:dyDescent="0.35">
      <c r="A821">
        <v>5848</v>
      </c>
      <c r="B821">
        <v>1970</v>
      </c>
      <c r="C821" t="s">
        <v>28</v>
      </c>
      <c r="D821" t="s">
        <v>26</v>
      </c>
      <c r="E821" t="s">
        <v>29</v>
      </c>
      <c r="F821">
        <v>81205</v>
      </c>
      <c r="G821" t="str">
        <f t="shared" si="36"/>
        <v>High</v>
      </c>
      <c r="H821">
        <v>0</v>
      </c>
      <c r="I821">
        <v>0</v>
      </c>
      <c r="J821">
        <v>0</v>
      </c>
      <c r="K821" s="1">
        <v>41652</v>
      </c>
      <c r="L821">
        <v>43</v>
      </c>
      <c r="M821" t="str">
        <f t="shared" si="37"/>
        <v>Active</v>
      </c>
      <c r="N821">
        <v>0</v>
      </c>
      <c r="O821">
        <v>724</v>
      </c>
      <c r="P821">
        <v>74</v>
      </c>
      <c r="Q821">
        <v>929</v>
      </c>
      <c r="R821">
        <v>97</v>
      </c>
      <c r="S821">
        <v>55</v>
      </c>
      <c r="T821">
        <v>130</v>
      </c>
      <c r="U821">
        <v>2009</v>
      </c>
      <c r="V821">
        <v>1</v>
      </c>
      <c r="W821">
        <v>5</v>
      </c>
      <c r="X821">
        <v>6</v>
      </c>
      <c r="Y821">
        <v>7</v>
      </c>
      <c r="Z821">
        <v>18</v>
      </c>
      <c r="AA821">
        <v>2</v>
      </c>
      <c r="AB821" t="str">
        <f t="shared" si="38"/>
        <v>Above average customer</v>
      </c>
    </row>
    <row r="822" spans="1:28" x14ac:dyDescent="0.35">
      <c r="A822">
        <v>10343</v>
      </c>
      <c r="B822">
        <v>1991</v>
      </c>
      <c r="C822" t="s">
        <v>30</v>
      </c>
      <c r="D822" t="s">
        <v>34</v>
      </c>
      <c r="E822" t="s">
        <v>27</v>
      </c>
      <c r="F822">
        <v>61618</v>
      </c>
      <c r="G822" t="str">
        <f t="shared" si="36"/>
        <v>Mid-high</v>
      </c>
      <c r="H822">
        <v>0</v>
      </c>
      <c r="I822">
        <v>0</v>
      </c>
      <c r="J822">
        <v>0</v>
      </c>
      <c r="K822" s="1">
        <v>41181</v>
      </c>
      <c r="L822">
        <v>27</v>
      </c>
      <c r="M822" t="str">
        <f t="shared" si="37"/>
        <v>Active</v>
      </c>
      <c r="N822">
        <v>0</v>
      </c>
      <c r="O822">
        <v>605</v>
      </c>
      <c r="P822">
        <v>91</v>
      </c>
      <c r="Q822">
        <v>399</v>
      </c>
      <c r="R822">
        <v>0</v>
      </c>
      <c r="S822">
        <v>45</v>
      </c>
      <c r="T822">
        <v>205</v>
      </c>
      <c r="U822">
        <v>1345</v>
      </c>
      <c r="V822">
        <v>2</v>
      </c>
      <c r="W822">
        <v>3</v>
      </c>
      <c r="X822">
        <v>6</v>
      </c>
      <c r="Y822">
        <v>8</v>
      </c>
      <c r="Z822">
        <v>17</v>
      </c>
      <c r="AA822">
        <v>3</v>
      </c>
      <c r="AB822" t="str">
        <f t="shared" si="38"/>
        <v>Above average customer</v>
      </c>
    </row>
    <row r="823" spans="1:28" x14ac:dyDescent="0.35">
      <c r="A823">
        <v>5935</v>
      </c>
      <c r="B823">
        <v>1956</v>
      </c>
      <c r="C823" t="s">
        <v>25</v>
      </c>
      <c r="D823" t="s">
        <v>34</v>
      </c>
      <c r="E823" t="s">
        <v>27</v>
      </c>
      <c r="F823">
        <v>55284</v>
      </c>
      <c r="G823" t="str">
        <f t="shared" si="36"/>
        <v>Mid-high</v>
      </c>
      <c r="H823">
        <v>0</v>
      </c>
      <c r="I823">
        <v>1</v>
      </c>
      <c r="J823">
        <v>1</v>
      </c>
      <c r="K823" s="1">
        <v>41267</v>
      </c>
      <c r="L823">
        <v>60</v>
      </c>
      <c r="M823" t="str">
        <f t="shared" si="37"/>
        <v>Inactive</v>
      </c>
      <c r="N823">
        <v>0</v>
      </c>
      <c r="O823">
        <v>547</v>
      </c>
      <c r="P823">
        <v>7</v>
      </c>
      <c r="Q823">
        <v>140</v>
      </c>
      <c r="R823">
        <v>0</v>
      </c>
      <c r="S823">
        <v>7</v>
      </c>
      <c r="T823">
        <v>63</v>
      </c>
      <c r="U823">
        <v>764</v>
      </c>
      <c r="V823">
        <v>3</v>
      </c>
      <c r="W823">
        <v>7</v>
      </c>
      <c r="X823">
        <v>5</v>
      </c>
      <c r="Y823">
        <v>8</v>
      </c>
      <c r="Z823">
        <v>20</v>
      </c>
      <c r="AA823">
        <v>5</v>
      </c>
      <c r="AB823" t="str">
        <f t="shared" si="38"/>
        <v>Below average customer</v>
      </c>
    </row>
    <row r="824" spans="1:28" x14ac:dyDescent="0.35">
      <c r="A824">
        <v>2895</v>
      </c>
      <c r="B824">
        <v>1963</v>
      </c>
      <c r="C824" t="s">
        <v>28</v>
      </c>
      <c r="D824" t="s">
        <v>26</v>
      </c>
      <c r="E824" t="s">
        <v>27</v>
      </c>
      <c r="F824">
        <v>49980</v>
      </c>
      <c r="G824" t="str">
        <f t="shared" si="36"/>
        <v>Mid-low</v>
      </c>
      <c r="H824">
        <v>0</v>
      </c>
      <c r="I824">
        <v>1</v>
      </c>
      <c r="J824">
        <v>1</v>
      </c>
      <c r="K824" s="1">
        <v>41570</v>
      </c>
      <c r="L824">
        <v>79</v>
      </c>
      <c r="M824" t="str">
        <f t="shared" si="37"/>
        <v>Inactive</v>
      </c>
      <c r="N824">
        <v>0</v>
      </c>
      <c r="O824">
        <v>104</v>
      </c>
      <c r="P824">
        <v>1</v>
      </c>
      <c r="Q824">
        <v>54</v>
      </c>
      <c r="R824">
        <v>13</v>
      </c>
      <c r="S824">
        <v>9</v>
      </c>
      <c r="T824">
        <v>14</v>
      </c>
      <c r="U824">
        <v>195</v>
      </c>
      <c r="V824">
        <v>2</v>
      </c>
      <c r="W824">
        <v>3</v>
      </c>
      <c r="X824">
        <v>1</v>
      </c>
      <c r="Y824">
        <v>5</v>
      </c>
      <c r="Z824">
        <v>9</v>
      </c>
      <c r="AA824">
        <v>5</v>
      </c>
      <c r="AB824" t="str">
        <f t="shared" si="38"/>
        <v>Below average customer</v>
      </c>
    </row>
    <row r="825" spans="1:28" x14ac:dyDescent="0.35">
      <c r="A825">
        <v>10262</v>
      </c>
      <c r="B825">
        <v>1980</v>
      </c>
      <c r="C825" t="s">
        <v>31</v>
      </c>
      <c r="D825" t="s">
        <v>26</v>
      </c>
      <c r="E825" t="s">
        <v>33</v>
      </c>
      <c r="F825">
        <v>15072</v>
      </c>
      <c r="G825" t="str">
        <f t="shared" si="36"/>
        <v>Low</v>
      </c>
      <c r="H825">
        <v>2</v>
      </c>
      <c r="I825">
        <v>0</v>
      </c>
      <c r="J825">
        <v>2</v>
      </c>
      <c r="K825" s="1">
        <v>41404</v>
      </c>
      <c r="L825">
        <v>96</v>
      </c>
      <c r="M825" t="str">
        <f t="shared" si="37"/>
        <v>Inactive</v>
      </c>
      <c r="N825">
        <v>0</v>
      </c>
      <c r="O825">
        <v>8</v>
      </c>
      <c r="P825">
        <v>2</v>
      </c>
      <c r="Q825">
        <v>15</v>
      </c>
      <c r="R825">
        <v>0</v>
      </c>
      <c r="S825">
        <v>10</v>
      </c>
      <c r="T825">
        <v>18</v>
      </c>
      <c r="U825">
        <v>53</v>
      </c>
      <c r="V825">
        <v>4</v>
      </c>
      <c r="W825">
        <v>3</v>
      </c>
      <c r="X825">
        <v>1</v>
      </c>
      <c r="Y825">
        <v>3</v>
      </c>
      <c r="Z825">
        <v>7</v>
      </c>
      <c r="AA825">
        <v>5</v>
      </c>
      <c r="AB825" t="str">
        <f t="shared" si="38"/>
        <v>Below average customer</v>
      </c>
    </row>
    <row r="826" spans="1:28" x14ac:dyDescent="0.35">
      <c r="A826">
        <v>7848</v>
      </c>
      <c r="B826">
        <v>1974</v>
      </c>
      <c r="C826" t="s">
        <v>31</v>
      </c>
      <c r="D826" t="s">
        <v>26</v>
      </c>
      <c r="E826" t="s">
        <v>27</v>
      </c>
      <c r="F826">
        <v>49166</v>
      </c>
      <c r="G826" t="str">
        <f t="shared" si="36"/>
        <v>Mid-low</v>
      </c>
      <c r="H826">
        <v>0</v>
      </c>
      <c r="I826">
        <v>1</v>
      </c>
      <c r="J826">
        <v>1</v>
      </c>
      <c r="K826" s="1">
        <v>41438</v>
      </c>
      <c r="L826">
        <v>17</v>
      </c>
      <c r="M826" t="str">
        <f t="shared" si="37"/>
        <v>Active</v>
      </c>
      <c r="N826">
        <v>0</v>
      </c>
      <c r="O826">
        <v>224</v>
      </c>
      <c r="P826">
        <v>2</v>
      </c>
      <c r="Q826">
        <v>25</v>
      </c>
      <c r="R826">
        <v>7</v>
      </c>
      <c r="S826">
        <v>0</v>
      </c>
      <c r="T826">
        <v>110</v>
      </c>
      <c r="U826">
        <v>368</v>
      </c>
      <c r="V826">
        <v>2</v>
      </c>
      <c r="W826">
        <v>5</v>
      </c>
      <c r="X826">
        <v>3</v>
      </c>
      <c r="Y826">
        <v>3</v>
      </c>
      <c r="Z826">
        <v>11</v>
      </c>
      <c r="AA826">
        <v>6</v>
      </c>
      <c r="AB826" t="str">
        <f t="shared" si="38"/>
        <v>Below average customer</v>
      </c>
    </row>
    <row r="827" spans="1:28" x14ac:dyDescent="0.35">
      <c r="A827">
        <v>4856</v>
      </c>
      <c r="B827">
        <v>1957</v>
      </c>
      <c r="C827" t="s">
        <v>25</v>
      </c>
      <c r="D827" t="s">
        <v>34</v>
      </c>
      <c r="E827" t="s">
        <v>33</v>
      </c>
      <c r="F827">
        <v>82347</v>
      </c>
      <c r="G827" t="str">
        <f t="shared" si="36"/>
        <v>High</v>
      </c>
      <c r="H827">
        <v>0</v>
      </c>
      <c r="I827">
        <v>0</v>
      </c>
      <c r="J827">
        <v>0</v>
      </c>
      <c r="K827" s="1">
        <v>41219</v>
      </c>
      <c r="L827">
        <v>38</v>
      </c>
      <c r="M827" t="str">
        <f t="shared" si="37"/>
        <v>Active</v>
      </c>
      <c r="N827">
        <v>0</v>
      </c>
      <c r="O827">
        <v>556</v>
      </c>
      <c r="P827">
        <v>54</v>
      </c>
      <c r="Q827">
        <v>845</v>
      </c>
      <c r="R827">
        <v>202</v>
      </c>
      <c r="S827">
        <v>133</v>
      </c>
      <c r="T827">
        <v>63</v>
      </c>
      <c r="U827">
        <v>1853</v>
      </c>
      <c r="V827">
        <v>1</v>
      </c>
      <c r="W827">
        <v>7</v>
      </c>
      <c r="X827">
        <v>7</v>
      </c>
      <c r="Y827">
        <v>10</v>
      </c>
      <c r="Z827">
        <v>24</v>
      </c>
      <c r="AA827">
        <v>3</v>
      </c>
      <c r="AB827" t="str">
        <f t="shared" si="38"/>
        <v>Above average customer</v>
      </c>
    </row>
    <row r="828" spans="1:28" x14ac:dyDescent="0.35">
      <c r="A828">
        <v>7186</v>
      </c>
      <c r="B828">
        <v>1966</v>
      </c>
      <c r="C828" t="s">
        <v>28</v>
      </c>
      <c r="D828" t="s">
        <v>32</v>
      </c>
      <c r="E828" t="s">
        <v>29</v>
      </c>
      <c r="F828">
        <v>30843</v>
      </c>
      <c r="G828" t="str">
        <f t="shared" si="36"/>
        <v>Low</v>
      </c>
      <c r="H828">
        <v>1</v>
      </c>
      <c r="I828">
        <v>1</v>
      </c>
      <c r="J828">
        <v>2</v>
      </c>
      <c r="K828" s="1">
        <v>41785</v>
      </c>
      <c r="L828">
        <v>43</v>
      </c>
      <c r="M828" t="str">
        <f t="shared" si="37"/>
        <v>Active</v>
      </c>
      <c r="N828">
        <v>0</v>
      </c>
      <c r="O828">
        <v>24</v>
      </c>
      <c r="P828">
        <v>0</v>
      </c>
      <c r="Q828">
        <v>2</v>
      </c>
      <c r="R828">
        <v>0</v>
      </c>
      <c r="S828">
        <v>0</v>
      </c>
      <c r="T828">
        <v>9</v>
      </c>
      <c r="U828">
        <v>35</v>
      </c>
      <c r="V828">
        <v>2</v>
      </c>
      <c r="W828">
        <v>1</v>
      </c>
      <c r="X828">
        <v>1</v>
      </c>
      <c r="Y828">
        <v>2</v>
      </c>
      <c r="Z828">
        <v>4</v>
      </c>
      <c r="AA828">
        <v>5</v>
      </c>
      <c r="AB828" t="str">
        <f t="shared" si="38"/>
        <v>Below average customer</v>
      </c>
    </row>
    <row r="829" spans="1:28" x14ac:dyDescent="0.35">
      <c r="A829">
        <v>5794</v>
      </c>
      <c r="B829">
        <v>1974</v>
      </c>
      <c r="C829" t="s">
        <v>31</v>
      </c>
      <c r="D829" t="s">
        <v>32</v>
      </c>
      <c r="E829" t="s">
        <v>33</v>
      </c>
      <c r="F829">
        <v>46374</v>
      </c>
      <c r="G829" t="str">
        <f t="shared" si="36"/>
        <v>Mid-low</v>
      </c>
      <c r="H829">
        <v>0</v>
      </c>
      <c r="I829">
        <v>1</v>
      </c>
      <c r="J829">
        <v>1</v>
      </c>
      <c r="K829" s="1">
        <v>41715</v>
      </c>
      <c r="L829">
        <v>1</v>
      </c>
      <c r="M829" t="str">
        <f t="shared" si="37"/>
        <v>Active</v>
      </c>
      <c r="N829">
        <v>0</v>
      </c>
      <c r="O829">
        <v>408</v>
      </c>
      <c r="P829">
        <v>0</v>
      </c>
      <c r="Q829">
        <v>21</v>
      </c>
      <c r="R829">
        <v>0</v>
      </c>
      <c r="S829">
        <v>0</v>
      </c>
      <c r="T829">
        <v>17</v>
      </c>
      <c r="U829">
        <v>446</v>
      </c>
      <c r="V829">
        <v>3</v>
      </c>
      <c r="W829">
        <v>7</v>
      </c>
      <c r="X829">
        <v>1</v>
      </c>
      <c r="Y829">
        <v>7</v>
      </c>
      <c r="Z829">
        <v>15</v>
      </c>
      <c r="AA829">
        <v>8</v>
      </c>
      <c r="AB829" t="str">
        <f t="shared" si="38"/>
        <v>Below average customer</v>
      </c>
    </row>
    <row r="830" spans="1:28" x14ac:dyDescent="0.35">
      <c r="A830">
        <v>1456</v>
      </c>
      <c r="B830">
        <v>1979</v>
      </c>
      <c r="C830" t="s">
        <v>31</v>
      </c>
      <c r="D830" t="s">
        <v>26</v>
      </c>
      <c r="E830" t="s">
        <v>27</v>
      </c>
      <c r="F830">
        <v>60474</v>
      </c>
      <c r="G830" t="str">
        <f t="shared" si="36"/>
        <v>Mid-high</v>
      </c>
      <c r="H830">
        <v>0</v>
      </c>
      <c r="I830">
        <v>1</v>
      </c>
      <c r="J830">
        <v>1</v>
      </c>
      <c r="K830" s="1">
        <v>41365</v>
      </c>
      <c r="L830">
        <v>25</v>
      </c>
      <c r="M830" t="str">
        <f t="shared" si="37"/>
        <v>Active</v>
      </c>
      <c r="N830">
        <v>0</v>
      </c>
      <c r="O830">
        <v>265</v>
      </c>
      <c r="P830">
        <v>199</v>
      </c>
      <c r="Q830">
        <v>303</v>
      </c>
      <c r="R830">
        <v>234</v>
      </c>
      <c r="S830">
        <v>9</v>
      </c>
      <c r="T830">
        <v>170</v>
      </c>
      <c r="U830">
        <v>1180</v>
      </c>
      <c r="V830">
        <v>7</v>
      </c>
      <c r="W830">
        <v>10</v>
      </c>
      <c r="X830">
        <v>2</v>
      </c>
      <c r="Y830">
        <v>12</v>
      </c>
      <c r="Z830">
        <v>24</v>
      </c>
      <c r="AA830">
        <v>7</v>
      </c>
      <c r="AB830" t="str">
        <f t="shared" si="38"/>
        <v>Above average customer</v>
      </c>
    </row>
    <row r="831" spans="1:28" x14ac:dyDescent="0.35">
      <c r="A831">
        <v>4877</v>
      </c>
      <c r="B831">
        <v>1973</v>
      </c>
      <c r="C831" t="s">
        <v>31</v>
      </c>
      <c r="D831" t="s">
        <v>34</v>
      </c>
      <c r="E831" t="s">
        <v>33</v>
      </c>
      <c r="F831">
        <v>38576</v>
      </c>
      <c r="G831" t="str">
        <f t="shared" si="36"/>
        <v>Mid-low</v>
      </c>
      <c r="H831">
        <v>0</v>
      </c>
      <c r="I831">
        <v>1</v>
      </c>
      <c r="J831">
        <v>1</v>
      </c>
      <c r="K831" s="1">
        <v>41702</v>
      </c>
      <c r="L831">
        <v>2</v>
      </c>
      <c r="M831" t="str">
        <f t="shared" si="37"/>
        <v>Active</v>
      </c>
      <c r="N831">
        <v>0</v>
      </c>
      <c r="O831">
        <v>34</v>
      </c>
      <c r="P831">
        <v>0</v>
      </c>
      <c r="Q831">
        <v>7</v>
      </c>
      <c r="R831">
        <v>0</v>
      </c>
      <c r="S831">
        <v>0</v>
      </c>
      <c r="T831">
        <v>0</v>
      </c>
      <c r="U831">
        <v>41</v>
      </c>
      <c r="V831">
        <v>1</v>
      </c>
      <c r="W831">
        <v>1</v>
      </c>
      <c r="X831">
        <v>0</v>
      </c>
      <c r="Y831">
        <v>3</v>
      </c>
      <c r="Z831">
        <v>4</v>
      </c>
      <c r="AA831">
        <v>7</v>
      </c>
      <c r="AB831" t="str">
        <f t="shared" si="38"/>
        <v>Below average customer</v>
      </c>
    </row>
    <row r="832" spans="1:28" x14ac:dyDescent="0.35">
      <c r="A832">
        <v>425</v>
      </c>
      <c r="B832">
        <v>1985</v>
      </c>
      <c r="C832" t="s">
        <v>30</v>
      </c>
      <c r="D832" t="s">
        <v>26</v>
      </c>
      <c r="E832" t="s">
        <v>33</v>
      </c>
      <c r="F832">
        <v>55357</v>
      </c>
      <c r="G832" t="str">
        <f t="shared" si="36"/>
        <v>Mid-high</v>
      </c>
      <c r="H832">
        <v>2</v>
      </c>
      <c r="I832">
        <v>0</v>
      </c>
      <c r="J832">
        <v>2</v>
      </c>
      <c r="K832" s="1">
        <v>41324</v>
      </c>
      <c r="L832">
        <v>66</v>
      </c>
      <c r="M832" t="str">
        <f t="shared" si="37"/>
        <v>Inactive</v>
      </c>
      <c r="N832">
        <v>0</v>
      </c>
      <c r="O832">
        <v>374</v>
      </c>
      <c r="P832">
        <v>64</v>
      </c>
      <c r="Q832">
        <v>116</v>
      </c>
      <c r="R832">
        <v>84</v>
      </c>
      <c r="S832">
        <v>25</v>
      </c>
      <c r="T832">
        <v>64</v>
      </c>
      <c r="U832">
        <v>727</v>
      </c>
      <c r="V832">
        <v>3</v>
      </c>
      <c r="W832">
        <v>6</v>
      </c>
      <c r="X832">
        <v>2</v>
      </c>
      <c r="Y832">
        <v>11</v>
      </c>
      <c r="Z832">
        <v>19</v>
      </c>
      <c r="AA832">
        <v>5</v>
      </c>
      <c r="AB832" t="str">
        <f t="shared" si="38"/>
        <v>Below average customer</v>
      </c>
    </row>
    <row r="833" spans="1:28" x14ac:dyDescent="0.35">
      <c r="A833">
        <v>3007</v>
      </c>
      <c r="B833">
        <v>1966</v>
      </c>
      <c r="C833" t="s">
        <v>28</v>
      </c>
      <c r="D833" t="s">
        <v>26</v>
      </c>
      <c r="E833" t="s">
        <v>29</v>
      </c>
      <c r="F833">
        <v>37758</v>
      </c>
      <c r="G833" t="str">
        <f t="shared" si="36"/>
        <v>Mid-low</v>
      </c>
      <c r="H833">
        <v>1</v>
      </c>
      <c r="I833">
        <v>1</v>
      </c>
      <c r="J833">
        <v>2</v>
      </c>
      <c r="K833" s="1">
        <v>41186</v>
      </c>
      <c r="L833">
        <v>49</v>
      </c>
      <c r="M833" t="str">
        <f t="shared" si="37"/>
        <v>Inactive</v>
      </c>
      <c r="N833">
        <v>0</v>
      </c>
      <c r="O833">
        <v>27</v>
      </c>
      <c r="P833">
        <v>2</v>
      </c>
      <c r="Q833">
        <v>10</v>
      </c>
      <c r="R833">
        <v>0</v>
      </c>
      <c r="S833">
        <v>0</v>
      </c>
      <c r="T833">
        <v>1</v>
      </c>
      <c r="U833">
        <v>40</v>
      </c>
      <c r="V833">
        <v>2</v>
      </c>
      <c r="W833">
        <v>1</v>
      </c>
      <c r="X833">
        <v>0</v>
      </c>
      <c r="Y833">
        <v>3</v>
      </c>
      <c r="Z833">
        <v>4</v>
      </c>
      <c r="AA833">
        <v>8</v>
      </c>
      <c r="AB833" t="str">
        <f t="shared" si="38"/>
        <v>Below average customer</v>
      </c>
    </row>
    <row r="834" spans="1:28" x14ac:dyDescent="0.35">
      <c r="A834">
        <v>1031</v>
      </c>
      <c r="B834">
        <v>1989</v>
      </c>
      <c r="C834" t="s">
        <v>30</v>
      </c>
      <c r="D834" t="s">
        <v>34</v>
      </c>
      <c r="E834" t="s">
        <v>33</v>
      </c>
      <c r="F834">
        <v>85710</v>
      </c>
      <c r="G834" t="str">
        <f t="shared" ref="G834:G897" si="39">IF(F834&lt;=_xlfn.PERCENTILE.INC($F$2:$F$2056,0.25),"Low",IF(F834&lt;=_xlfn.PERCENTILE.INC($F$2:$F$2056,0.5),"Mid-low",IF(F834&lt;=_xlfn.PERCENTILE.INC($F$2:$F$2056,0.75),"Mid-high","High")))</f>
        <v>High</v>
      </c>
      <c r="H834">
        <v>0</v>
      </c>
      <c r="I834">
        <v>0</v>
      </c>
      <c r="J834">
        <v>0</v>
      </c>
      <c r="K834" s="1">
        <v>41399</v>
      </c>
      <c r="L834">
        <v>5</v>
      </c>
      <c r="M834" t="str">
        <f t="shared" ref="M834:M897" si="40">IF(L834&gt;AVERAGE($L$2:$L$2056),"Inactive","Active")</f>
        <v>Active</v>
      </c>
      <c r="N834">
        <v>0</v>
      </c>
      <c r="O834">
        <v>600</v>
      </c>
      <c r="P834">
        <v>20</v>
      </c>
      <c r="Q834">
        <v>350</v>
      </c>
      <c r="R834">
        <v>29</v>
      </c>
      <c r="S834">
        <v>30</v>
      </c>
      <c r="T834">
        <v>33</v>
      </c>
      <c r="U834">
        <v>1062</v>
      </c>
      <c r="V834">
        <v>1</v>
      </c>
      <c r="W834">
        <v>6</v>
      </c>
      <c r="X834">
        <v>9</v>
      </c>
      <c r="Y834">
        <v>10</v>
      </c>
      <c r="Z834">
        <v>25</v>
      </c>
      <c r="AA834">
        <v>2</v>
      </c>
      <c r="AB834" t="str">
        <f t="shared" ref="AB834:AB897" si="41">IF(AND(Z834&gt;AVERAGE($Z$2:$Z$2056),U834&gt;AVERAGE($U$2:$U$2056),N834=0,L834&lt;AVERAGE($L$2:$L$2056),F834&gt;AVERAGE($F$2:$F$2240)),"Above average customer","Below average customer")</f>
        <v>Above average customer</v>
      </c>
    </row>
    <row r="835" spans="1:28" x14ac:dyDescent="0.35">
      <c r="A835">
        <v>4297</v>
      </c>
      <c r="B835">
        <v>1969</v>
      </c>
      <c r="C835" t="s">
        <v>28</v>
      </c>
      <c r="D835" t="s">
        <v>26</v>
      </c>
      <c r="E835" t="s">
        <v>29</v>
      </c>
      <c r="F835">
        <v>23228</v>
      </c>
      <c r="G835" t="str">
        <f t="shared" si="39"/>
        <v>Low</v>
      </c>
      <c r="H835">
        <v>1</v>
      </c>
      <c r="I835">
        <v>0</v>
      </c>
      <c r="J835">
        <v>1</v>
      </c>
      <c r="K835" s="1">
        <v>41665</v>
      </c>
      <c r="L835">
        <v>71</v>
      </c>
      <c r="M835" t="str">
        <f t="shared" si="40"/>
        <v>Inactive</v>
      </c>
      <c r="N835">
        <v>0</v>
      </c>
      <c r="O835">
        <v>13</v>
      </c>
      <c r="P835">
        <v>2</v>
      </c>
      <c r="Q835">
        <v>18</v>
      </c>
      <c r="R835">
        <v>6</v>
      </c>
      <c r="S835">
        <v>1</v>
      </c>
      <c r="T835">
        <v>0</v>
      </c>
      <c r="U835">
        <v>40</v>
      </c>
      <c r="V835">
        <v>2</v>
      </c>
      <c r="W835">
        <v>2</v>
      </c>
      <c r="X835">
        <v>0</v>
      </c>
      <c r="Y835">
        <v>3</v>
      </c>
      <c r="Z835">
        <v>5</v>
      </c>
      <c r="AA835">
        <v>8</v>
      </c>
      <c r="AB835" t="str">
        <f t="shared" si="41"/>
        <v>Below average customer</v>
      </c>
    </row>
    <row r="836" spans="1:28" x14ac:dyDescent="0.35">
      <c r="A836">
        <v>807</v>
      </c>
      <c r="B836">
        <v>1969</v>
      </c>
      <c r="C836" t="s">
        <v>28</v>
      </c>
      <c r="D836" t="s">
        <v>34</v>
      </c>
      <c r="E836" t="s">
        <v>29</v>
      </c>
      <c r="F836">
        <v>44602</v>
      </c>
      <c r="G836" t="str">
        <f t="shared" si="39"/>
        <v>Mid-low</v>
      </c>
      <c r="H836">
        <v>1</v>
      </c>
      <c r="I836">
        <v>1</v>
      </c>
      <c r="J836">
        <v>2</v>
      </c>
      <c r="K836" s="1">
        <v>41685</v>
      </c>
      <c r="L836">
        <v>35</v>
      </c>
      <c r="M836" t="str">
        <f t="shared" si="40"/>
        <v>Active</v>
      </c>
      <c r="N836">
        <v>0</v>
      </c>
      <c r="O836">
        <v>167</v>
      </c>
      <c r="P836">
        <v>2</v>
      </c>
      <c r="Q836">
        <v>89</v>
      </c>
      <c r="R836">
        <v>0</v>
      </c>
      <c r="S836">
        <v>0</v>
      </c>
      <c r="T836">
        <v>34</v>
      </c>
      <c r="U836">
        <v>292</v>
      </c>
      <c r="V836">
        <v>6</v>
      </c>
      <c r="W836">
        <v>6</v>
      </c>
      <c r="X836">
        <v>1</v>
      </c>
      <c r="Y836">
        <v>4</v>
      </c>
      <c r="Z836">
        <v>11</v>
      </c>
      <c r="AA836">
        <v>8</v>
      </c>
      <c r="AB836" t="str">
        <f t="shared" si="41"/>
        <v>Below average customer</v>
      </c>
    </row>
    <row r="837" spans="1:28" x14ac:dyDescent="0.35">
      <c r="A837">
        <v>9553</v>
      </c>
      <c r="B837">
        <v>1987</v>
      </c>
      <c r="C837" t="s">
        <v>30</v>
      </c>
      <c r="D837" t="s">
        <v>26</v>
      </c>
      <c r="E837" t="s">
        <v>33</v>
      </c>
      <c r="F837">
        <v>7500</v>
      </c>
      <c r="G837" t="str">
        <f t="shared" si="39"/>
        <v>Low</v>
      </c>
      <c r="H837">
        <v>0</v>
      </c>
      <c r="I837">
        <v>0</v>
      </c>
      <c r="J837">
        <v>0</v>
      </c>
      <c r="K837" s="1">
        <v>41283</v>
      </c>
      <c r="L837">
        <v>94</v>
      </c>
      <c r="M837" t="str">
        <f t="shared" si="40"/>
        <v>Inactive</v>
      </c>
      <c r="N837">
        <v>0</v>
      </c>
      <c r="O837">
        <v>0</v>
      </c>
      <c r="P837">
        <v>2</v>
      </c>
      <c r="Q837">
        <v>3</v>
      </c>
      <c r="R837">
        <v>4</v>
      </c>
      <c r="S837">
        <v>1</v>
      </c>
      <c r="T837">
        <v>5</v>
      </c>
      <c r="U837">
        <v>15</v>
      </c>
      <c r="V837">
        <v>1</v>
      </c>
      <c r="W837">
        <v>0</v>
      </c>
      <c r="X837">
        <v>0</v>
      </c>
      <c r="Y837">
        <v>3</v>
      </c>
      <c r="Z837">
        <v>3</v>
      </c>
      <c r="AA837">
        <v>6</v>
      </c>
      <c r="AB837" t="str">
        <f t="shared" si="41"/>
        <v>Below average customer</v>
      </c>
    </row>
    <row r="838" spans="1:28" x14ac:dyDescent="0.35">
      <c r="A838">
        <v>4271</v>
      </c>
      <c r="B838">
        <v>1989</v>
      </c>
      <c r="C838" t="s">
        <v>30</v>
      </c>
      <c r="D838" t="s">
        <v>34</v>
      </c>
      <c r="E838" t="s">
        <v>29</v>
      </c>
      <c r="F838">
        <v>38683</v>
      </c>
      <c r="G838" t="str">
        <f t="shared" si="39"/>
        <v>Mid-low</v>
      </c>
      <c r="H838">
        <v>1</v>
      </c>
      <c r="I838">
        <v>0</v>
      </c>
      <c r="J838">
        <v>1</v>
      </c>
      <c r="K838" s="1">
        <v>41186</v>
      </c>
      <c r="L838">
        <v>80</v>
      </c>
      <c r="M838" t="str">
        <f t="shared" si="40"/>
        <v>Inactive</v>
      </c>
      <c r="N838">
        <v>0</v>
      </c>
      <c r="O838">
        <v>46</v>
      </c>
      <c r="P838">
        <v>35</v>
      </c>
      <c r="Q838">
        <v>69</v>
      </c>
      <c r="R838">
        <v>84</v>
      </c>
      <c r="S838">
        <v>41</v>
      </c>
      <c r="T838">
        <v>66</v>
      </c>
      <c r="U838">
        <v>341</v>
      </c>
      <c r="V838">
        <v>6</v>
      </c>
      <c r="W838">
        <v>4</v>
      </c>
      <c r="X838">
        <v>1</v>
      </c>
      <c r="Y838">
        <v>6</v>
      </c>
      <c r="Z838">
        <v>11</v>
      </c>
      <c r="AA838">
        <v>7</v>
      </c>
      <c r="AB838" t="str">
        <f t="shared" si="41"/>
        <v>Below average customer</v>
      </c>
    </row>
    <row r="839" spans="1:28" x14ac:dyDescent="0.35">
      <c r="A839">
        <v>4120</v>
      </c>
      <c r="B839">
        <v>1975</v>
      </c>
      <c r="C839" t="s">
        <v>31</v>
      </c>
      <c r="D839" t="s">
        <v>34</v>
      </c>
      <c r="E839" t="s">
        <v>27</v>
      </c>
      <c r="F839">
        <v>49514</v>
      </c>
      <c r="G839" t="str">
        <f t="shared" si="39"/>
        <v>Mid-low</v>
      </c>
      <c r="H839">
        <v>1</v>
      </c>
      <c r="I839">
        <v>0</v>
      </c>
      <c r="J839">
        <v>1</v>
      </c>
      <c r="K839" s="1">
        <v>41625</v>
      </c>
      <c r="L839">
        <v>61</v>
      </c>
      <c r="M839" t="str">
        <f t="shared" si="40"/>
        <v>Inactive</v>
      </c>
      <c r="N839">
        <v>0</v>
      </c>
      <c r="O839">
        <v>88</v>
      </c>
      <c r="P839">
        <v>39</v>
      </c>
      <c r="Q839">
        <v>78</v>
      </c>
      <c r="R839">
        <v>58</v>
      </c>
      <c r="S839">
        <v>13</v>
      </c>
      <c r="T839">
        <v>93</v>
      </c>
      <c r="U839">
        <v>369</v>
      </c>
      <c r="V839">
        <v>2</v>
      </c>
      <c r="W839">
        <v>6</v>
      </c>
      <c r="X839">
        <v>1</v>
      </c>
      <c r="Y839">
        <v>4</v>
      </c>
      <c r="Z839">
        <v>11</v>
      </c>
      <c r="AA839">
        <v>7</v>
      </c>
      <c r="AB839" t="str">
        <f t="shared" si="41"/>
        <v>Below average customer</v>
      </c>
    </row>
    <row r="840" spans="1:28" x14ac:dyDescent="0.35">
      <c r="A840">
        <v>2036</v>
      </c>
      <c r="B840">
        <v>1973</v>
      </c>
      <c r="C840" t="s">
        <v>31</v>
      </c>
      <c r="D840" t="s">
        <v>32</v>
      </c>
      <c r="E840" t="s">
        <v>29</v>
      </c>
      <c r="F840">
        <v>57906</v>
      </c>
      <c r="G840" t="str">
        <f t="shared" si="39"/>
        <v>Mid-high</v>
      </c>
      <c r="H840">
        <v>0</v>
      </c>
      <c r="I840">
        <v>1</v>
      </c>
      <c r="J840">
        <v>1</v>
      </c>
      <c r="K840" s="1">
        <v>41436</v>
      </c>
      <c r="L840">
        <v>29</v>
      </c>
      <c r="M840" t="str">
        <f t="shared" si="40"/>
        <v>Active</v>
      </c>
      <c r="N840">
        <v>0</v>
      </c>
      <c r="O840">
        <v>243</v>
      </c>
      <c r="P840">
        <v>11</v>
      </c>
      <c r="Q840">
        <v>119</v>
      </c>
      <c r="R840">
        <v>10</v>
      </c>
      <c r="S840">
        <v>3</v>
      </c>
      <c r="T840">
        <v>15</v>
      </c>
      <c r="U840">
        <v>401</v>
      </c>
      <c r="V840">
        <v>3</v>
      </c>
      <c r="W840">
        <v>4</v>
      </c>
      <c r="X840">
        <v>2</v>
      </c>
      <c r="Y840">
        <v>8</v>
      </c>
      <c r="Z840">
        <v>14</v>
      </c>
      <c r="AA840">
        <v>4</v>
      </c>
      <c r="AB840" t="str">
        <f t="shared" si="41"/>
        <v>Below average customer</v>
      </c>
    </row>
    <row r="841" spans="1:28" x14ac:dyDescent="0.35">
      <c r="A841">
        <v>115</v>
      </c>
      <c r="B841">
        <v>1966</v>
      </c>
      <c r="C841" t="s">
        <v>28</v>
      </c>
      <c r="D841" t="s">
        <v>34</v>
      </c>
      <c r="E841" t="s">
        <v>27</v>
      </c>
      <c r="F841">
        <v>43456</v>
      </c>
      <c r="G841" t="str">
        <f t="shared" si="39"/>
        <v>Mid-low</v>
      </c>
      <c r="H841">
        <v>0</v>
      </c>
      <c r="I841">
        <v>1</v>
      </c>
      <c r="J841">
        <v>1</v>
      </c>
      <c r="K841" s="1">
        <v>41359</v>
      </c>
      <c r="L841">
        <v>0</v>
      </c>
      <c r="M841" t="str">
        <f t="shared" si="40"/>
        <v>Active</v>
      </c>
      <c r="N841">
        <v>0</v>
      </c>
      <c r="O841">
        <v>275</v>
      </c>
      <c r="P841">
        <v>11</v>
      </c>
      <c r="Q841">
        <v>68</v>
      </c>
      <c r="R841">
        <v>25</v>
      </c>
      <c r="S841">
        <v>7</v>
      </c>
      <c r="T841">
        <v>7</v>
      </c>
      <c r="U841">
        <v>393</v>
      </c>
      <c r="V841">
        <v>3</v>
      </c>
      <c r="W841">
        <v>5</v>
      </c>
      <c r="X841">
        <v>1</v>
      </c>
      <c r="Y841">
        <v>8</v>
      </c>
      <c r="Z841">
        <v>14</v>
      </c>
      <c r="AA841">
        <v>5</v>
      </c>
      <c r="AB841" t="str">
        <f t="shared" si="41"/>
        <v>Below average customer</v>
      </c>
    </row>
    <row r="842" spans="1:28" x14ac:dyDescent="0.35">
      <c r="A842">
        <v>4259</v>
      </c>
      <c r="B842">
        <v>1986</v>
      </c>
      <c r="C842" t="s">
        <v>30</v>
      </c>
      <c r="D842" t="s">
        <v>34</v>
      </c>
      <c r="E842" t="s">
        <v>27</v>
      </c>
      <c r="F842">
        <v>19485</v>
      </c>
      <c r="G842" t="str">
        <f t="shared" si="39"/>
        <v>Low</v>
      </c>
      <c r="H842">
        <v>2</v>
      </c>
      <c r="I842">
        <v>0</v>
      </c>
      <c r="J842">
        <v>2</v>
      </c>
      <c r="K842" s="1">
        <v>41541</v>
      </c>
      <c r="L842">
        <v>80</v>
      </c>
      <c r="M842" t="str">
        <f t="shared" si="40"/>
        <v>Inactive</v>
      </c>
      <c r="N842">
        <v>0</v>
      </c>
      <c r="O842">
        <v>6</v>
      </c>
      <c r="P842">
        <v>0</v>
      </c>
      <c r="Q842">
        <v>4</v>
      </c>
      <c r="R842">
        <v>0</v>
      </c>
      <c r="S842">
        <v>0</v>
      </c>
      <c r="T842">
        <v>0</v>
      </c>
      <c r="U842">
        <v>10</v>
      </c>
      <c r="V842">
        <v>1</v>
      </c>
      <c r="W842">
        <v>1</v>
      </c>
      <c r="X842">
        <v>0</v>
      </c>
      <c r="Y842">
        <v>2</v>
      </c>
      <c r="Z842">
        <v>3</v>
      </c>
      <c r="AA842">
        <v>7</v>
      </c>
      <c r="AB842" t="str">
        <f t="shared" si="41"/>
        <v>Below average customer</v>
      </c>
    </row>
    <row r="843" spans="1:28" x14ac:dyDescent="0.35">
      <c r="A843">
        <v>8687</v>
      </c>
      <c r="B843">
        <v>1978</v>
      </c>
      <c r="C843" t="s">
        <v>31</v>
      </c>
      <c r="D843" t="s">
        <v>26</v>
      </c>
      <c r="E843" t="s">
        <v>29</v>
      </c>
      <c r="F843">
        <v>53172</v>
      </c>
      <c r="G843" t="str">
        <f t="shared" si="39"/>
        <v>Mid-high</v>
      </c>
      <c r="H843">
        <v>0</v>
      </c>
      <c r="I843">
        <v>1</v>
      </c>
      <c r="J843">
        <v>1</v>
      </c>
      <c r="K843" s="1">
        <v>41400</v>
      </c>
      <c r="L843">
        <v>54</v>
      </c>
      <c r="M843" t="str">
        <f t="shared" si="40"/>
        <v>Inactive</v>
      </c>
      <c r="N843">
        <v>0</v>
      </c>
      <c r="O843">
        <v>121</v>
      </c>
      <c r="P843">
        <v>62</v>
      </c>
      <c r="Q843">
        <v>90</v>
      </c>
      <c r="R843">
        <v>68</v>
      </c>
      <c r="S843">
        <v>20</v>
      </c>
      <c r="T843">
        <v>125</v>
      </c>
      <c r="U843">
        <v>486</v>
      </c>
      <c r="V843">
        <v>3</v>
      </c>
      <c r="W843">
        <v>2</v>
      </c>
      <c r="X843">
        <v>3</v>
      </c>
      <c r="Y843">
        <v>8</v>
      </c>
      <c r="Z843">
        <v>13</v>
      </c>
      <c r="AA843">
        <v>3</v>
      </c>
      <c r="AB843" t="str">
        <f t="shared" si="41"/>
        <v>Below average customer</v>
      </c>
    </row>
    <row r="844" spans="1:28" x14ac:dyDescent="0.35">
      <c r="A844">
        <v>2447</v>
      </c>
      <c r="B844">
        <v>1979</v>
      </c>
      <c r="C844" t="s">
        <v>31</v>
      </c>
      <c r="D844" t="s">
        <v>26</v>
      </c>
      <c r="E844" t="s">
        <v>29</v>
      </c>
      <c r="F844">
        <v>30545</v>
      </c>
      <c r="G844" t="str">
        <f t="shared" si="39"/>
        <v>Low</v>
      </c>
      <c r="H844">
        <v>1</v>
      </c>
      <c r="I844">
        <v>0</v>
      </c>
      <c r="J844">
        <v>1</v>
      </c>
      <c r="K844" s="1">
        <v>41199</v>
      </c>
      <c r="L844">
        <v>71</v>
      </c>
      <c r="M844" t="str">
        <f t="shared" si="40"/>
        <v>Inactive</v>
      </c>
      <c r="N844">
        <v>0</v>
      </c>
      <c r="O844">
        <v>4</v>
      </c>
      <c r="P844">
        <v>12</v>
      </c>
      <c r="Q844">
        <v>15</v>
      </c>
      <c r="R844">
        <v>19</v>
      </c>
      <c r="S844">
        <v>7</v>
      </c>
      <c r="T844">
        <v>12</v>
      </c>
      <c r="U844">
        <v>69</v>
      </c>
      <c r="V844">
        <v>2</v>
      </c>
      <c r="W844">
        <v>2</v>
      </c>
      <c r="X844">
        <v>0</v>
      </c>
      <c r="Y844">
        <v>3</v>
      </c>
      <c r="Z844">
        <v>5</v>
      </c>
      <c r="AA844">
        <v>7</v>
      </c>
      <c r="AB844" t="str">
        <f t="shared" si="41"/>
        <v>Below average customer</v>
      </c>
    </row>
    <row r="845" spans="1:28" x14ac:dyDescent="0.35">
      <c r="A845">
        <v>10140</v>
      </c>
      <c r="B845">
        <v>1983</v>
      </c>
      <c r="C845" t="s">
        <v>30</v>
      </c>
      <c r="D845" t="s">
        <v>32</v>
      </c>
      <c r="E845" t="s">
        <v>29</v>
      </c>
      <c r="F845">
        <v>70123</v>
      </c>
      <c r="G845" t="str">
        <f t="shared" si="39"/>
        <v>High</v>
      </c>
      <c r="H845">
        <v>0</v>
      </c>
      <c r="I845">
        <v>0</v>
      </c>
      <c r="J845">
        <v>0</v>
      </c>
      <c r="K845" s="1">
        <v>41545</v>
      </c>
      <c r="L845">
        <v>27</v>
      </c>
      <c r="M845" t="str">
        <f t="shared" si="40"/>
        <v>Active</v>
      </c>
      <c r="N845">
        <v>0</v>
      </c>
      <c r="O845">
        <v>1308</v>
      </c>
      <c r="P845">
        <v>0</v>
      </c>
      <c r="Q845">
        <v>396</v>
      </c>
      <c r="R845">
        <v>23</v>
      </c>
      <c r="S845">
        <v>0</v>
      </c>
      <c r="T845">
        <v>0</v>
      </c>
      <c r="U845">
        <v>1727</v>
      </c>
      <c r="V845">
        <v>1</v>
      </c>
      <c r="W845">
        <v>5</v>
      </c>
      <c r="X845">
        <v>7</v>
      </c>
      <c r="Y845">
        <v>4</v>
      </c>
      <c r="Z845">
        <v>16</v>
      </c>
      <c r="AA845">
        <v>3</v>
      </c>
      <c r="AB845" t="str">
        <f t="shared" si="41"/>
        <v>Above average customer</v>
      </c>
    </row>
    <row r="846" spans="1:28" x14ac:dyDescent="0.35">
      <c r="A846">
        <v>9353</v>
      </c>
      <c r="B846">
        <v>1959</v>
      </c>
      <c r="C846" t="s">
        <v>25</v>
      </c>
      <c r="D846" t="s">
        <v>26</v>
      </c>
      <c r="E846" t="s">
        <v>27</v>
      </c>
      <c r="F846">
        <v>62450</v>
      </c>
      <c r="G846" t="str">
        <f t="shared" si="39"/>
        <v>Mid-high</v>
      </c>
      <c r="H846">
        <v>0</v>
      </c>
      <c r="I846">
        <v>1</v>
      </c>
      <c r="J846">
        <v>1</v>
      </c>
      <c r="K846" s="1">
        <v>41645</v>
      </c>
      <c r="L846">
        <v>61</v>
      </c>
      <c r="M846" t="str">
        <f t="shared" si="40"/>
        <v>Inactive</v>
      </c>
      <c r="N846">
        <v>0</v>
      </c>
      <c r="O846">
        <v>515</v>
      </c>
      <c r="P846">
        <v>47</v>
      </c>
      <c r="Q846">
        <v>267</v>
      </c>
      <c r="R846">
        <v>62</v>
      </c>
      <c r="S846">
        <v>66</v>
      </c>
      <c r="T846">
        <v>38</v>
      </c>
      <c r="U846">
        <v>995</v>
      </c>
      <c r="V846">
        <v>2</v>
      </c>
      <c r="W846">
        <v>5</v>
      </c>
      <c r="X846">
        <v>5</v>
      </c>
      <c r="Y846">
        <v>4</v>
      </c>
      <c r="Z846">
        <v>14</v>
      </c>
      <c r="AA846">
        <v>3</v>
      </c>
      <c r="AB846" t="str">
        <f t="shared" si="41"/>
        <v>Below average customer</v>
      </c>
    </row>
    <row r="847" spans="1:28" x14ac:dyDescent="0.35">
      <c r="A847">
        <v>3623</v>
      </c>
      <c r="B847">
        <v>1976</v>
      </c>
      <c r="C847" t="s">
        <v>31</v>
      </c>
      <c r="D847" t="s">
        <v>26</v>
      </c>
      <c r="E847" t="s">
        <v>29</v>
      </c>
      <c r="F847">
        <v>21675</v>
      </c>
      <c r="G847" t="str">
        <f t="shared" si="39"/>
        <v>Low</v>
      </c>
      <c r="H847">
        <v>1</v>
      </c>
      <c r="I847">
        <v>0</v>
      </c>
      <c r="J847">
        <v>1</v>
      </c>
      <c r="K847" s="1">
        <v>41801</v>
      </c>
      <c r="L847">
        <v>55</v>
      </c>
      <c r="M847" t="str">
        <f t="shared" si="40"/>
        <v>Inactive</v>
      </c>
      <c r="N847">
        <v>0</v>
      </c>
      <c r="O847">
        <v>4</v>
      </c>
      <c r="P847">
        <v>0</v>
      </c>
      <c r="Q847">
        <v>16</v>
      </c>
      <c r="R847">
        <v>17</v>
      </c>
      <c r="S847">
        <v>4</v>
      </c>
      <c r="T847">
        <v>4</v>
      </c>
      <c r="U847">
        <v>45</v>
      </c>
      <c r="V847">
        <v>3</v>
      </c>
      <c r="W847">
        <v>4</v>
      </c>
      <c r="X847">
        <v>0</v>
      </c>
      <c r="Y847">
        <v>3</v>
      </c>
      <c r="Z847">
        <v>7</v>
      </c>
      <c r="AA847">
        <v>7</v>
      </c>
      <c r="AB847" t="str">
        <f t="shared" si="41"/>
        <v>Below average customer</v>
      </c>
    </row>
    <row r="848" spans="1:28" x14ac:dyDescent="0.35">
      <c r="A848">
        <v>738</v>
      </c>
      <c r="B848">
        <v>1981</v>
      </c>
      <c r="C848" t="s">
        <v>31</v>
      </c>
      <c r="D848" t="s">
        <v>34</v>
      </c>
      <c r="E848" t="s">
        <v>27</v>
      </c>
      <c r="F848">
        <v>42395</v>
      </c>
      <c r="G848" t="str">
        <f t="shared" si="39"/>
        <v>Mid-low</v>
      </c>
      <c r="H848">
        <v>1</v>
      </c>
      <c r="I848">
        <v>1</v>
      </c>
      <c r="J848">
        <v>2</v>
      </c>
      <c r="K848" s="1">
        <v>41733</v>
      </c>
      <c r="L848">
        <v>35</v>
      </c>
      <c r="M848" t="str">
        <f t="shared" si="40"/>
        <v>Active</v>
      </c>
      <c r="N848">
        <v>0</v>
      </c>
      <c r="O848">
        <v>48</v>
      </c>
      <c r="P848">
        <v>13</v>
      </c>
      <c r="Q848">
        <v>57</v>
      </c>
      <c r="R848">
        <v>24</v>
      </c>
      <c r="S848">
        <v>15</v>
      </c>
      <c r="T848">
        <v>25</v>
      </c>
      <c r="U848">
        <v>182</v>
      </c>
      <c r="V848">
        <v>4</v>
      </c>
      <c r="W848">
        <v>3</v>
      </c>
      <c r="X848">
        <v>1</v>
      </c>
      <c r="Y848">
        <v>4</v>
      </c>
      <c r="Z848">
        <v>8</v>
      </c>
      <c r="AA848">
        <v>7</v>
      </c>
      <c r="AB848" t="str">
        <f t="shared" si="41"/>
        <v>Below average customer</v>
      </c>
    </row>
    <row r="849" spans="1:28" x14ac:dyDescent="0.35">
      <c r="A849">
        <v>7631</v>
      </c>
      <c r="B849">
        <v>1978</v>
      </c>
      <c r="C849" t="s">
        <v>31</v>
      </c>
      <c r="D849" t="s">
        <v>34</v>
      </c>
      <c r="E849" t="s">
        <v>29</v>
      </c>
      <c r="F849">
        <v>61346</v>
      </c>
      <c r="G849" t="str">
        <f t="shared" si="39"/>
        <v>Mid-high</v>
      </c>
      <c r="H849">
        <v>1</v>
      </c>
      <c r="I849">
        <v>0</v>
      </c>
      <c r="J849">
        <v>1</v>
      </c>
      <c r="K849" s="1">
        <v>41553</v>
      </c>
      <c r="L849">
        <v>34</v>
      </c>
      <c r="M849" t="str">
        <f t="shared" si="40"/>
        <v>Active</v>
      </c>
      <c r="N849">
        <v>0</v>
      </c>
      <c r="O849">
        <v>562</v>
      </c>
      <c r="P849">
        <v>58</v>
      </c>
      <c r="Q849">
        <v>168</v>
      </c>
      <c r="R849">
        <v>43</v>
      </c>
      <c r="S849">
        <v>16</v>
      </c>
      <c r="T849">
        <v>142</v>
      </c>
      <c r="U849">
        <v>989</v>
      </c>
      <c r="V849">
        <v>1</v>
      </c>
      <c r="W849">
        <v>5</v>
      </c>
      <c r="X849">
        <v>7</v>
      </c>
      <c r="Y849">
        <v>10</v>
      </c>
      <c r="Z849">
        <v>22</v>
      </c>
      <c r="AA849">
        <v>3</v>
      </c>
      <c r="AB849" t="str">
        <f t="shared" si="41"/>
        <v>Above average customer</v>
      </c>
    </row>
    <row r="850" spans="1:28" x14ac:dyDescent="0.35">
      <c r="A850">
        <v>4789</v>
      </c>
      <c r="B850">
        <v>1953</v>
      </c>
      <c r="C850" t="s">
        <v>25</v>
      </c>
      <c r="D850" t="s">
        <v>26</v>
      </c>
      <c r="E850" t="s">
        <v>29</v>
      </c>
      <c r="F850">
        <v>80812</v>
      </c>
      <c r="G850" t="str">
        <f t="shared" si="39"/>
        <v>High</v>
      </c>
      <c r="H850">
        <v>0</v>
      </c>
      <c r="I850">
        <v>0</v>
      </c>
      <c r="J850">
        <v>0</v>
      </c>
      <c r="K850" s="1">
        <v>41534</v>
      </c>
      <c r="L850">
        <v>95</v>
      </c>
      <c r="M850" t="str">
        <f t="shared" si="40"/>
        <v>Inactive</v>
      </c>
      <c r="N850">
        <v>0</v>
      </c>
      <c r="O850">
        <v>769</v>
      </c>
      <c r="P850">
        <v>22</v>
      </c>
      <c r="Q850">
        <v>500</v>
      </c>
      <c r="R850">
        <v>210</v>
      </c>
      <c r="S850">
        <v>143</v>
      </c>
      <c r="T850">
        <v>33</v>
      </c>
      <c r="U850">
        <v>1677</v>
      </c>
      <c r="V850">
        <v>1</v>
      </c>
      <c r="W850">
        <v>4</v>
      </c>
      <c r="X850">
        <v>8</v>
      </c>
      <c r="Y850">
        <v>5</v>
      </c>
      <c r="Z850">
        <v>17</v>
      </c>
      <c r="AA850">
        <v>2</v>
      </c>
      <c r="AB850" t="str">
        <f t="shared" si="41"/>
        <v>Below average customer</v>
      </c>
    </row>
    <row r="851" spans="1:28" x14ac:dyDescent="0.35">
      <c r="A851">
        <v>773</v>
      </c>
      <c r="B851">
        <v>1971</v>
      </c>
      <c r="C851" t="s">
        <v>28</v>
      </c>
      <c r="D851" t="s">
        <v>34</v>
      </c>
      <c r="E851" t="s">
        <v>35</v>
      </c>
      <c r="F851">
        <v>42835</v>
      </c>
      <c r="G851" t="str">
        <f t="shared" si="39"/>
        <v>Mid-low</v>
      </c>
      <c r="H851">
        <v>1</v>
      </c>
      <c r="I851">
        <v>1</v>
      </c>
      <c r="J851">
        <v>2</v>
      </c>
      <c r="K851" s="1">
        <v>41455</v>
      </c>
      <c r="L851">
        <v>64</v>
      </c>
      <c r="M851" t="str">
        <f t="shared" si="40"/>
        <v>Inactive</v>
      </c>
      <c r="N851">
        <v>0</v>
      </c>
      <c r="O851">
        <v>379</v>
      </c>
      <c r="P851">
        <v>4</v>
      </c>
      <c r="Q851">
        <v>93</v>
      </c>
      <c r="R851">
        <v>12</v>
      </c>
      <c r="S851">
        <v>9</v>
      </c>
      <c r="T851">
        <v>98</v>
      </c>
      <c r="U851">
        <v>595</v>
      </c>
      <c r="V851">
        <v>7</v>
      </c>
      <c r="W851">
        <v>6</v>
      </c>
      <c r="X851">
        <v>6</v>
      </c>
      <c r="Y851">
        <v>4</v>
      </c>
      <c r="Z851">
        <v>16</v>
      </c>
      <c r="AA851">
        <v>6</v>
      </c>
      <c r="AB851" t="str">
        <f t="shared" si="41"/>
        <v>Below average customer</v>
      </c>
    </row>
    <row r="852" spans="1:28" x14ac:dyDescent="0.35">
      <c r="A852">
        <v>10602</v>
      </c>
      <c r="B852">
        <v>1983</v>
      </c>
      <c r="C852" t="s">
        <v>30</v>
      </c>
      <c r="D852" t="s">
        <v>26</v>
      </c>
      <c r="E852" t="s">
        <v>33</v>
      </c>
      <c r="F852">
        <v>39922</v>
      </c>
      <c r="G852" t="str">
        <f t="shared" si="39"/>
        <v>Mid-low</v>
      </c>
      <c r="H852">
        <v>1</v>
      </c>
      <c r="I852">
        <v>0</v>
      </c>
      <c r="J852">
        <v>1</v>
      </c>
      <c r="K852" s="1">
        <v>41319</v>
      </c>
      <c r="L852">
        <v>30</v>
      </c>
      <c r="M852" t="str">
        <f t="shared" si="40"/>
        <v>Active</v>
      </c>
      <c r="N852">
        <v>0</v>
      </c>
      <c r="O852">
        <v>29</v>
      </c>
      <c r="P852">
        <v>12</v>
      </c>
      <c r="Q852">
        <v>59</v>
      </c>
      <c r="R852">
        <v>19</v>
      </c>
      <c r="S852">
        <v>1</v>
      </c>
      <c r="T852">
        <v>36</v>
      </c>
      <c r="U852">
        <v>156</v>
      </c>
      <c r="V852">
        <v>2</v>
      </c>
      <c r="W852">
        <v>3</v>
      </c>
      <c r="X852">
        <v>0</v>
      </c>
      <c r="Y852">
        <v>4</v>
      </c>
      <c r="Z852">
        <v>7</v>
      </c>
      <c r="AA852">
        <v>8</v>
      </c>
      <c r="AB852" t="str">
        <f t="shared" si="41"/>
        <v>Below average customer</v>
      </c>
    </row>
    <row r="853" spans="1:28" x14ac:dyDescent="0.35">
      <c r="A853">
        <v>1446</v>
      </c>
      <c r="B853">
        <v>1956</v>
      </c>
      <c r="C853" t="s">
        <v>25</v>
      </c>
      <c r="D853" t="s">
        <v>34</v>
      </c>
      <c r="E853" t="s">
        <v>27</v>
      </c>
      <c r="F853">
        <v>86424</v>
      </c>
      <c r="G853" t="str">
        <f t="shared" si="39"/>
        <v>High</v>
      </c>
      <c r="H853">
        <v>0</v>
      </c>
      <c r="I853">
        <v>0</v>
      </c>
      <c r="J853">
        <v>0</v>
      </c>
      <c r="K853" s="1">
        <v>41734</v>
      </c>
      <c r="L853">
        <v>12</v>
      </c>
      <c r="M853" t="str">
        <f t="shared" si="40"/>
        <v>Active</v>
      </c>
      <c r="N853">
        <v>0</v>
      </c>
      <c r="O853">
        <v>387</v>
      </c>
      <c r="P853">
        <v>68</v>
      </c>
      <c r="Q853">
        <v>569</v>
      </c>
      <c r="R853">
        <v>89</v>
      </c>
      <c r="S853">
        <v>45</v>
      </c>
      <c r="T853">
        <v>68</v>
      </c>
      <c r="U853">
        <v>1226</v>
      </c>
      <c r="V853">
        <v>1</v>
      </c>
      <c r="W853">
        <v>6</v>
      </c>
      <c r="X853">
        <v>9</v>
      </c>
      <c r="Y853">
        <v>12</v>
      </c>
      <c r="Z853">
        <v>27</v>
      </c>
      <c r="AA853">
        <v>1</v>
      </c>
      <c r="AB853" t="str">
        <f t="shared" si="41"/>
        <v>Above average customer</v>
      </c>
    </row>
    <row r="854" spans="1:28" x14ac:dyDescent="0.35">
      <c r="A854">
        <v>3270</v>
      </c>
      <c r="B854">
        <v>1978</v>
      </c>
      <c r="C854" t="s">
        <v>31</v>
      </c>
      <c r="D854" t="s">
        <v>34</v>
      </c>
      <c r="E854" t="s">
        <v>29</v>
      </c>
      <c r="F854">
        <v>17117</v>
      </c>
      <c r="G854" t="str">
        <f t="shared" si="39"/>
        <v>Low</v>
      </c>
      <c r="H854">
        <v>1</v>
      </c>
      <c r="I854">
        <v>0</v>
      </c>
      <c r="J854">
        <v>1</v>
      </c>
      <c r="K854" s="1">
        <v>41291</v>
      </c>
      <c r="L854">
        <v>96</v>
      </c>
      <c r="M854" t="str">
        <f t="shared" si="40"/>
        <v>Inactive</v>
      </c>
      <c r="N854">
        <v>0</v>
      </c>
      <c r="O854">
        <v>12</v>
      </c>
      <c r="P854">
        <v>23</v>
      </c>
      <c r="Q854">
        <v>38</v>
      </c>
      <c r="R854">
        <v>30</v>
      </c>
      <c r="S854">
        <v>18</v>
      </c>
      <c r="T854">
        <v>7</v>
      </c>
      <c r="U854">
        <v>128</v>
      </c>
      <c r="V854">
        <v>4</v>
      </c>
      <c r="W854">
        <v>3</v>
      </c>
      <c r="X854">
        <v>1</v>
      </c>
      <c r="Y854">
        <v>3</v>
      </c>
      <c r="Z854">
        <v>7</v>
      </c>
      <c r="AA854">
        <v>9</v>
      </c>
      <c r="AB854" t="str">
        <f t="shared" si="41"/>
        <v>Below average customer</v>
      </c>
    </row>
    <row r="855" spans="1:28" x14ac:dyDescent="0.35">
      <c r="A855">
        <v>8443</v>
      </c>
      <c r="B855">
        <v>1972</v>
      </c>
      <c r="C855" t="s">
        <v>28</v>
      </c>
      <c r="D855" t="s">
        <v>26</v>
      </c>
      <c r="E855" t="s">
        <v>27</v>
      </c>
      <c r="F855">
        <v>24762</v>
      </c>
      <c r="G855" t="str">
        <f t="shared" si="39"/>
        <v>Low</v>
      </c>
      <c r="H855">
        <v>1</v>
      </c>
      <c r="I855">
        <v>0</v>
      </c>
      <c r="J855">
        <v>1</v>
      </c>
      <c r="K855" s="1">
        <v>41680</v>
      </c>
      <c r="L855">
        <v>16</v>
      </c>
      <c r="M855" t="str">
        <f t="shared" si="40"/>
        <v>Active</v>
      </c>
      <c r="N855">
        <v>0</v>
      </c>
      <c r="O855">
        <v>6</v>
      </c>
      <c r="P855">
        <v>10</v>
      </c>
      <c r="Q855">
        <v>12</v>
      </c>
      <c r="R855">
        <v>3</v>
      </c>
      <c r="S855">
        <v>15</v>
      </c>
      <c r="T855">
        <v>40</v>
      </c>
      <c r="U855">
        <v>86</v>
      </c>
      <c r="V855">
        <v>3</v>
      </c>
      <c r="W855">
        <v>3</v>
      </c>
      <c r="X855">
        <v>1</v>
      </c>
      <c r="Y855">
        <v>2</v>
      </c>
      <c r="Z855">
        <v>6</v>
      </c>
      <c r="AA855">
        <v>8</v>
      </c>
      <c r="AB855" t="str">
        <f t="shared" si="41"/>
        <v>Below average customer</v>
      </c>
    </row>
    <row r="856" spans="1:28" x14ac:dyDescent="0.35">
      <c r="A856">
        <v>9653</v>
      </c>
      <c r="B856">
        <v>1975</v>
      </c>
      <c r="C856" t="s">
        <v>31</v>
      </c>
      <c r="D856" t="s">
        <v>26</v>
      </c>
      <c r="E856" t="s">
        <v>33</v>
      </c>
      <c r="F856">
        <v>35797</v>
      </c>
      <c r="G856" t="str">
        <f t="shared" si="39"/>
        <v>Mid-low</v>
      </c>
      <c r="H856">
        <v>0</v>
      </c>
      <c r="I856">
        <v>1</v>
      </c>
      <c r="J856">
        <v>1</v>
      </c>
      <c r="K856" s="1">
        <v>41198</v>
      </c>
      <c r="L856">
        <v>16</v>
      </c>
      <c r="M856" t="str">
        <f t="shared" si="40"/>
        <v>Active</v>
      </c>
      <c r="N856">
        <v>0</v>
      </c>
      <c r="O856">
        <v>27</v>
      </c>
      <c r="P856">
        <v>1</v>
      </c>
      <c r="Q856">
        <v>14</v>
      </c>
      <c r="R856">
        <v>4</v>
      </c>
      <c r="S856">
        <v>1</v>
      </c>
      <c r="T856">
        <v>21</v>
      </c>
      <c r="U856">
        <v>68</v>
      </c>
      <c r="V856">
        <v>2</v>
      </c>
      <c r="W856">
        <v>2</v>
      </c>
      <c r="X856">
        <v>0</v>
      </c>
      <c r="Y856">
        <v>3</v>
      </c>
      <c r="Z856">
        <v>5</v>
      </c>
      <c r="AA856">
        <v>8</v>
      </c>
      <c r="AB856" t="str">
        <f t="shared" si="41"/>
        <v>Below average customer</v>
      </c>
    </row>
    <row r="857" spans="1:28" x14ac:dyDescent="0.35">
      <c r="A857">
        <v>8916</v>
      </c>
      <c r="B857">
        <v>1975</v>
      </c>
      <c r="C857" t="s">
        <v>31</v>
      </c>
      <c r="D857" t="s">
        <v>26</v>
      </c>
      <c r="E857" t="s">
        <v>35</v>
      </c>
      <c r="F857">
        <v>36627</v>
      </c>
      <c r="G857" t="str">
        <f t="shared" si="39"/>
        <v>Mid-low</v>
      </c>
      <c r="H857">
        <v>2</v>
      </c>
      <c r="I857">
        <v>0</v>
      </c>
      <c r="J857">
        <v>2</v>
      </c>
      <c r="K857" s="1">
        <v>41478</v>
      </c>
      <c r="L857">
        <v>78</v>
      </c>
      <c r="M857" t="str">
        <f t="shared" si="40"/>
        <v>Inactive</v>
      </c>
      <c r="N857">
        <v>0</v>
      </c>
      <c r="O857">
        <v>9</v>
      </c>
      <c r="P857">
        <v>1</v>
      </c>
      <c r="Q857">
        <v>5</v>
      </c>
      <c r="R857">
        <v>0</v>
      </c>
      <c r="S857">
        <v>0</v>
      </c>
      <c r="T857">
        <v>1</v>
      </c>
      <c r="U857">
        <v>16</v>
      </c>
      <c r="V857">
        <v>1</v>
      </c>
      <c r="W857">
        <v>0</v>
      </c>
      <c r="X857">
        <v>0</v>
      </c>
      <c r="Y857">
        <v>3</v>
      </c>
      <c r="Z857">
        <v>3</v>
      </c>
      <c r="AA857">
        <v>5</v>
      </c>
      <c r="AB857" t="str">
        <f t="shared" si="41"/>
        <v>Below average customer</v>
      </c>
    </row>
    <row r="858" spans="1:28" x14ac:dyDescent="0.35">
      <c r="A858">
        <v>8017</v>
      </c>
      <c r="B858">
        <v>1981</v>
      </c>
      <c r="C858" t="s">
        <v>31</v>
      </c>
      <c r="D858" t="s">
        <v>34</v>
      </c>
      <c r="E858" t="s">
        <v>33</v>
      </c>
      <c r="F858">
        <v>51111</v>
      </c>
      <c r="G858" t="str">
        <f t="shared" si="39"/>
        <v>Mid-low</v>
      </c>
      <c r="H858">
        <v>1</v>
      </c>
      <c r="I858">
        <v>1</v>
      </c>
      <c r="J858">
        <v>2</v>
      </c>
      <c r="K858" s="1">
        <v>41809</v>
      </c>
      <c r="L858">
        <v>83</v>
      </c>
      <c r="M858" t="str">
        <f t="shared" si="40"/>
        <v>Inactive</v>
      </c>
      <c r="N858">
        <v>0</v>
      </c>
      <c r="O858">
        <v>22</v>
      </c>
      <c r="P858">
        <v>0</v>
      </c>
      <c r="Q858">
        <v>19</v>
      </c>
      <c r="R858">
        <v>6</v>
      </c>
      <c r="S858">
        <v>5</v>
      </c>
      <c r="T858">
        <v>3</v>
      </c>
      <c r="U858">
        <v>55</v>
      </c>
      <c r="V858">
        <v>2</v>
      </c>
      <c r="W858">
        <v>2</v>
      </c>
      <c r="X858">
        <v>0</v>
      </c>
      <c r="Y858">
        <v>3</v>
      </c>
      <c r="Z858">
        <v>5</v>
      </c>
      <c r="AA858">
        <v>6</v>
      </c>
      <c r="AB858" t="str">
        <f t="shared" si="41"/>
        <v>Below average customer</v>
      </c>
    </row>
    <row r="859" spans="1:28" x14ac:dyDescent="0.35">
      <c r="A859">
        <v>4597</v>
      </c>
      <c r="B859">
        <v>1970</v>
      </c>
      <c r="C859" t="s">
        <v>28</v>
      </c>
      <c r="D859" t="s">
        <v>32</v>
      </c>
      <c r="E859" t="s">
        <v>29</v>
      </c>
      <c r="F859">
        <v>82072</v>
      </c>
      <c r="G859" t="str">
        <f t="shared" si="39"/>
        <v>High</v>
      </c>
      <c r="H859">
        <v>0</v>
      </c>
      <c r="I859">
        <v>0</v>
      </c>
      <c r="J859">
        <v>0</v>
      </c>
      <c r="K859" s="1">
        <v>41457</v>
      </c>
      <c r="L859">
        <v>67</v>
      </c>
      <c r="M859" t="str">
        <f t="shared" si="40"/>
        <v>Inactive</v>
      </c>
      <c r="N859">
        <v>0</v>
      </c>
      <c r="O859">
        <v>889</v>
      </c>
      <c r="P859">
        <v>55</v>
      </c>
      <c r="Q859">
        <v>685</v>
      </c>
      <c r="R859">
        <v>168</v>
      </c>
      <c r="S859">
        <v>92</v>
      </c>
      <c r="T859">
        <v>129</v>
      </c>
      <c r="U859">
        <v>2018</v>
      </c>
      <c r="V859">
        <v>1</v>
      </c>
      <c r="W859">
        <v>3</v>
      </c>
      <c r="X859">
        <v>2</v>
      </c>
      <c r="Y859">
        <v>13</v>
      </c>
      <c r="Z859">
        <v>18</v>
      </c>
      <c r="AA859">
        <v>1</v>
      </c>
      <c r="AB859" t="str">
        <f t="shared" si="41"/>
        <v>Below average customer</v>
      </c>
    </row>
    <row r="860" spans="1:28" x14ac:dyDescent="0.35">
      <c r="A860">
        <v>7023</v>
      </c>
      <c r="B860">
        <v>1953</v>
      </c>
      <c r="C860" t="s">
        <v>25</v>
      </c>
      <c r="D860" t="s">
        <v>32</v>
      </c>
      <c r="E860" t="s">
        <v>27</v>
      </c>
      <c r="F860">
        <v>46231</v>
      </c>
      <c r="G860" t="str">
        <f t="shared" si="39"/>
        <v>Mid-low</v>
      </c>
      <c r="H860">
        <v>2</v>
      </c>
      <c r="I860">
        <v>1</v>
      </c>
      <c r="J860">
        <v>3</v>
      </c>
      <c r="K860" s="1">
        <v>41239</v>
      </c>
      <c r="L860">
        <v>87</v>
      </c>
      <c r="M860" t="str">
        <f t="shared" si="40"/>
        <v>Inactive</v>
      </c>
      <c r="N860">
        <v>0</v>
      </c>
      <c r="O860">
        <v>189</v>
      </c>
      <c r="P860">
        <v>2</v>
      </c>
      <c r="Q860">
        <v>55</v>
      </c>
      <c r="R860">
        <v>0</v>
      </c>
      <c r="S860">
        <v>5</v>
      </c>
      <c r="T860">
        <v>12</v>
      </c>
      <c r="U860">
        <v>263</v>
      </c>
      <c r="V860">
        <v>4</v>
      </c>
      <c r="W860">
        <v>6</v>
      </c>
      <c r="X860">
        <v>1</v>
      </c>
      <c r="Y860">
        <v>4</v>
      </c>
      <c r="Z860">
        <v>11</v>
      </c>
      <c r="AA860">
        <v>9</v>
      </c>
      <c r="AB860" t="str">
        <f t="shared" si="41"/>
        <v>Below average customer</v>
      </c>
    </row>
    <row r="861" spans="1:28" x14ac:dyDescent="0.35">
      <c r="A861">
        <v>8086</v>
      </c>
      <c r="B861">
        <v>1959</v>
      </c>
      <c r="C861" t="s">
        <v>25</v>
      </c>
      <c r="D861" t="s">
        <v>26</v>
      </c>
      <c r="E861" t="s">
        <v>33</v>
      </c>
      <c r="F861">
        <v>42243</v>
      </c>
      <c r="G861" t="str">
        <f t="shared" si="39"/>
        <v>Mid-low</v>
      </c>
      <c r="H861">
        <v>1</v>
      </c>
      <c r="I861">
        <v>1</v>
      </c>
      <c r="J861">
        <v>2</v>
      </c>
      <c r="K861" s="1">
        <v>41619</v>
      </c>
      <c r="L861">
        <v>34</v>
      </c>
      <c r="M861" t="str">
        <f t="shared" si="40"/>
        <v>Active</v>
      </c>
      <c r="N861">
        <v>0</v>
      </c>
      <c r="O861">
        <v>48</v>
      </c>
      <c r="P861">
        <v>0</v>
      </c>
      <c r="Q861">
        <v>2</v>
      </c>
      <c r="R861">
        <v>0</v>
      </c>
      <c r="S861">
        <v>0</v>
      </c>
      <c r="T861">
        <v>5</v>
      </c>
      <c r="U861">
        <v>55</v>
      </c>
      <c r="V861">
        <v>2</v>
      </c>
      <c r="W861">
        <v>2</v>
      </c>
      <c r="X861">
        <v>0</v>
      </c>
      <c r="Y861">
        <v>3</v>
      </c>
      <c r="Z861">
        <v>5</v>
      </c>
      <c r="AA861">
        <v>7</v>
      </c>
      <c r="AB861" t="str">
        <f t="shared" si="41"/>
        <v>Below average customer</v>
      </c>
    </row>
    <row r="862" spans="1:28" x14ac:dyDescent="0.35">
      <c r="A862">
        <v>8825</v>
      </c>
      <c r="B862">
        <v>1962</v>
      </c>
      <c r="C862" t="s">
        <v>25</v>
      </c>
      <c r="D862" t="s">
        <v>26</v>
      </c>
      <c r="E862" t="s">
        <v>29</v>
      </c>
      <c r="F862">
        <v>51195</v>
      </c>
      <c r="G862" t="str">
        <f t="shared" si="39"/>
        <v>Mid-low</v>
      </c>
      <c r="H862">
        <v>1</v>
      </c>
      <c r="I862">
        <v>1</v>
      </c>
      <c r="J862">
        <v>2</v>
      </c>
      <c r="K862" s="1">
        <v>41365</v>
      </c>
      <c r="L862">
        <v>46</v>
      </c>
      <c r="M862" t="str">
        <f t="shared" si="40"/>
        <v>Active</v>
      </c>
      <c r="N862">
        <v>0</v>
      </c>
      <c r="O862">
        <v>230</v>
      </c>
      <c r="P862">
        <v>14</v>
      </c>
      <c r="Q862">
        <v>156</v>
      </c>
      <c r="R862">
        <v>82</v>
      </c>
      <c r="S862">
        <v>24</v>
      </c>
      <c r="T862">
        <v>58</v>
      </c>
      <c r="U862">
        <v>564</v>
      </c>
      <c r="V862">
        <v>8</v>
      </c>
      <c r="W862">
        <v>9</v>
      </c>
      <c r="X862">
        <v>2</v>
      </c>
      <c r="Y862">
        <v>5</v>
      </c>
      <c r="Z862">
        <v>16</v>
      </c>
      <c r="AA862">
        <v>8</v>
      </c>
      <c r="AB862" t="str">
        <f t="shared" si="41"/>
        <v>Below average customer</v>
      </c>
    </row>
    <row r="863" spans="1:28" x14ac:dyDescent="0.35">
      <c r="A863">
        <v>2930</v>
      </c>
      <c r="B863">
        <v>1978</v>
      </c>
      <c r="C863" t="s">
        <v>31</v>
      </c>
      <c r="D863" t="s">
        <v>34</v>
      </c>
      <c r="E863" t="s">
        <v>27</v>
      </c>
      <c r="F863">
        <v>68092</v>
      </c>
      <c r="G863" t="str">
        <f t="shared" si="39"/>
        <v>Mid-high</v>
      </c>
      <c r="H863">
        <v>0</v>
      </c>
      <c r="I863">
        <v>0</v>
      </c>
      <c r="J863">
        <v>0</v>
      </c>
      <c r="K863" s="1">
        <v>41624</v>
      </c>
      <c r="L863">
        <v>7</v>
      </c>
      <c r="M863" t="str">
        <f t="shared" si="40"/>
        <v>Active</v>
      </c>
      <c r="N863">
        <v>0</v>
      </c>
      <c r="O863">
        <v>852</v>
      </c>
      <c r="P863">
        <v>60</v>
      </c>
      <c r="Q863">
        <v>207</v>
      </c>
      <c r="R863">
        <v>78</v>
      </c>
      <c r="S863">
        <v>36</v>
      </c>
      <c r="T863">
        <v>48</v>
      </c>
      <c r="U863">
        <v>1281</v>
      </c>
      <c r="V863">
        <v>2</v>
      </c>
      <c r="W863">
        <v>2</v>
      </c>
      <c r="X863">
        <v>6</v>
      </c>
      <c r="Y863">
        <v>10</v>
      </c>
      <c r="Z863">
        <v>18</v>
      </c>
      <c r="AA863">
        <v>5</v>
      </c>
      <c r="AB863" t="str">
        <f t="shared" si="41"/>
        <v>Above average customer</v>
      </c>
    </row>
    <row r="864" spans="1:28" x14ac:dyDescent="0.35">
      <c r="A864">
        <v>1928</v>
      </c>
      <c r="B864">
        <v>1973</v>
      </c>
      <c r="C864" t="s">
        <v>31</v>
      </c>
      <c r="D864" t="s">
        <v>26</v>
      </c>
      <c r="E864" t="s">
        <v>33</v>
      </c>
      <c r="F864">
        <v>31814</v>
      </c>
      <c r="G864" t="str">
        <f t="shared" si="39"/>
        <v>Low</v>
      </c>
      <c r="H864">
        <v>1</v>
      </c>
      <c r="I864">
        <v>0</v>
      </c>
      <c r="J864">
        <v>1</v>
      </c>
      <c r="K864" s="1">
        <v>41314</v>
      </c>
      <c r="L864">
        <v>73</v>
      </c>
      <c r="M864" t="str">
        <f t="shared" si="40"/>
        <v>Inactive</v>
      </c>
      <c r="N864">
        <v>0</v>
      </c>
      <c r="O864">
        <v>35</v>
      </c>
      <c r="P864">
        <v>3</v>
      </c>
      <c r="Q864">
        <v>20</v>
      </c>
      <c r="R864">
        <v>4</v>
      </c>
      <c r="S864">
        <v>1</v>
      </c>
      <c r="T864">
        <v>20</v>
      </c>
      <c r="U864">
        <v>83</v>
      </c>
      <c r="V864">
        <v>2</v>
      </c>
      <c r="W864">
        <v>2</v>
      </c>
      <c r="X864">
        <v>0</v>
      </c>
      <c r="Y864">
        <v>3</v>
      </c>
      <c r="Z864">
        <v>5</v>
      </c>
      <c r="AA864">
        <v>9</v>
      </c>
      <c r="AB864" t="str">
        <f t="shared" si="41"/>
        <v>Below average customer</v>
      </c>
    </row>
    <row r="865" spans="1:28" x14ac:dyDescent="0.35">
      <c r="A865">
        <v>7108</v>
      </c>
      <c r="B865">
        <v>1965</v>
      </c>
      <c r="C865" t="s">
        <v>28</v>
      </c>
      <c r="D865" t="s">
        <v>34</v>
      </c>
      <c r="E865" t="s">
        <v>38</v>
      </c>
      <c r="F865">
        <v>51390</v>
      </c>
      <c r="G865" t="str">
        <f t="shared" si="39"/>
        <v>Mid-low</v>
      </c>
      <c r="H865">
        <v>1</v>
      </c>
      <c r="I865">
        <v>1</v>
      </c>
      <c r="J865">
        <v>2</v>
      </c>
      <c r="K865" s="1">
        <v>41160</v>
      </c>
      <c r="L865">
        <v>54</v>
      </c>
      <c r="M865" t="str">
        <f t="shared" si="40"/>
        <v>Inactive</v>
      </c>
      <c r="N865">
        <v>0</v>
      </c>
      <c r="O865">
        <v>205</v>
      </c>
      <c r="P865">
        <v>20</v>
      </c>
      <c r="Q865">
        <v>47</v>
      </c>
      <c r="R865">
        <v>23</v>
      </c>
      <c r="S865">
        <v>2</v>
      </c>
      <c r="T865">
        <v>56</v>
      </c>
      <c r="U865">
        <v>353</v>
      </c>
      <c r="V865">
        <v>6</v>
      </c>
      <c r="W865">
        <v>5</v>
      </c>
      <c r="X865">
        <v>2</v>
      </c>
      <c r="Y865">
        <v>5</v>
      </c>
      <c r="Z865">
        <v>12</v>
      </c>
      <c r="AA865">
        <v>5</v>
      </c>
      <c r="AB865" t="str">
        <f t="shared" si="41"/>
        <v>Below average customer</v>
      </c>
    </row>
    <row r="866" spans="1:28" x14ac:dyDescent="0.35">
      <c r="A866">
        <v>10925</v>
      </c>
      <c r="B866">
        <v>1983</v>
      </c>
      <c r="C866" t="s">
        <v>30</v>
      </c>
      <c r="D866" t="s">
        <v>26</v>
      </c>
      <c r="E866" t="s">
        <v>33</v>
      </c>
      <c r="F866">
        <v>76630</v>
      </c>
      <c r="G866" t="str">
        <f t="shared" si="39"/>
        <v>High</v>
      </c>
      <c r="H866">
        <v>0</v>
      </c>
      <c r="I866">
        <v>0</v>
      </c>
      <c r="J866">
        <v>0</v>
      </c>
      <c r="K866" s="1">
        <v>41653</v>
      </c>
      <c r="L866">
        <v>93</v>
      </c>
      <c r="M866" t="str">
        <f t="shared" si="40"/>
        <v>Inactive</v>
      </c>
      <c r="N866">
        <v>0</v>
      </c>
      <c r="O866">
        <v>255</v>
      </c>
      <c r="P866">
        <v>31</v>
      </c>
      <c r="Q866">
        <v>446</v>
      </c>
      <c r="R866">
        <v>40</v>
      </c>
      <c r="S866">
        <v>56</v>
      </c>
      <c r="T866">
        <v>175</v>
      </c>
      <c r="U866">
        <v>1003</v>
      </c>
      <c r="V866">
        <v>1</v>
      </c>
      <c r="W866">
        <v>3</v>
      </c>
      <c r="X866">
        <v>10</v>
      </c>
      <c r="Y866">
        <v>11</v>
      </c>
      <c r="Z866">
        <v>24</v>
      </c>
      <c r="AA866">
        <v>1</v>
      </c>
      <c r="AB866" t="str">
        <f t="shared" si="41"/>
        <v>Below average customer</v>
      </c>
    </row>
    <row r="867" spans="1:28" x14ac:dyDescent="0.35">
      <c r="A867">
        <v>9960</v>
      </c>
      <c r="B867">
        <v>1991</v>
      </c>
      <c r="C867" t="s">
        <v>30</v>
      </c>
      <c r="D867" t="s">
        <v>37</v>
      </c>
      <c r="E867" t="s">
        <v>27</v>
      </c>
      <c r="F867">
        <v>26868</v>
      </c>
      <c r="G867" t="str">
        <f t="shared" si="39"/>
        <v>Low</v>
      </c>
      <c r="H867">
        <v>1</v>
      </c>
      <c r="I867">
        <v>0</v>
      </c>
      <c r="J867">
        <v>1</v>
      </c>
      <c r="K867" s="1">
        <v>41759</v>
      </c>
      <c r="L867">
        <v>52</v>
      </c>
      <c r="M867" t="str">
        <f t="shared" si="40"/>
        <v>Inactive</v>
      </c>
      <c r="N867">
        <v>0</v>
      </c>
      <c r="O867">
        <v>0</v>
      </c>
      <c r="P867">
        <v>0</v>
      </c>
      <c r="Q867">
        <v>1</v>
      </c>
      <c r="R867">
        <v>8</v>
      </c>
      <c r="S867">
        <v>3</v>
      </c>
      <c r="T867">
        <v>2</v>
      </c>
      <c r="U867">
        <v>14</v>
      </c>
      <c r="V867">
        <v>1</v>
      </c>
      <c r="W867">
        <v>1</v>
      </c>
      <c r="X867">
        <v>0</v>
      </c>
      <c r="Y867">
        <v>2</v>
      </c>
      <c r="Z867">
        <v>3</v>
      </c>
      <c r="AA867">
        <v>7</v>
      </c>
      <c r="AB867" t="str">
        <f t="shared" si="41"/>
        <v>Below average customer</v>
      </c>
    </row>
    <row r="868" spans="1:28" x14ac:dyDescent="0.35">
      <c r="A868">
        <v>9224</v>
      </c>
      <c r="B868">
        <v>1972</v>
      </c>
      <c r="C868" t="s">
        <v>28</v>
      </c>
      <c r="D868" t="s">
        <v>32</v>
      </c>
      <c r="E868" t="s">
        <v>27</v>
      </c>
      <c r="F868">
        <v>55260</v>
      </c>
      <c r="G868" t="str">
        <f t="shared" si="39"/>
        <v>Mid-high</v>
      </c>
      <c r="H868">
        <v>0</v>
      </c>
      <c r="I868">
        <v>1</v>
      </c>
      <c r="J868">
        <v>1</v>
      </c>
      <c r="K868" s="1">
        <v>41255</v>
      </c>
      <c r="L868">
        <v>81</v>
      </c>
      <c r="M868" t="str">
        <f t="shared" si="40"/>
        <v>Inactive</v>
      </c>
      <c r="N868">
        <v>0</v>
      </c>
      <c r="O868">
        <v>825</v>
      </c>
      <c r="P868">
        <v>8</v>
      </c>
      <c r="Q868">
        <v>53</v>
      </c>
      <c r="R868">
        <v>11</v>
      </c>
      <c r="S868">
        <v>0</v>
      </c>
      <c r="T868">
        <v>242</v>
      </c>
      <c r="U868">
        <v>1139</v>
      </c>
      <c r="V868">
        <v>2</v>
      </c>
      <c r="W868">
        <v>8</v>
      </c>
      <c r="X868">
        <v>10</v>
      </c>
      <c r="Y868">
        <v>5</v>
      </c>
      <c r="Z868">
        <v>23</v>
      </c>
      <c r="AA868">
        <v>6</v>
      </c>
      <c r="AB868" t="str">
        <f t="shared" si="41"/>
        <v>Below average customer</v>
      </c>
    </row>
    <row r="869" spans="1:28" x14ac:dyDescent="0.35">
      <c r="A869">
        <v>5519</v>
      </c>
      <c r="B869">
        <v>1956</v>
      </c>
      <c r="C869" t="s">
        <v>25</v>
      </c>
      <c r="D869" t="s">
        <v>26</v>
      </c>
      <c r="E869" t="s">
        <v>29</v>
      </c>
      <c r="F869">
        <v>64090</v>
      </c>
      <c r="G869" t="str">
        <f t="shared" si="39"/>
        <v>Mid-high</v>
      </c>
      <c r="H869">
        <v>0</v>
      </c>
      <c r="I869">
        <v>1</v>
      </c>
      <c r="J869">
        <v>1</v>
      </c>
      <c r="K869" s="1">
        <v>41493</v>
      </c>
      <c r="L869">
        <v>8</v>
      </c>
      <c r="M869" t="str">
        <f t="shared" si="40"/>
        <v>Active</v>
      </c>
      <c r="N869">
        <v>0</v>
      </c>
      <c r="O869">
        <v>316</v>
      </c>
      <c r="P869">
        <v>58</v>
      </c>
      <c r="Q869">
        <v>161</v>
      </c>
      <c r="R869">
        <v>76</v>
      </c>
      <c r="S869">
        <v>51</v>
      </c>
      <c r="T869">
        <v>135</v>
      </c>
      <c r="U869">
        <v>797</v>
      </c>
      <c r="V869">
        <v>1</v>
      </c>
      <c r="W869">
        <v>6</v>
      </c>
      <c r="X869">
        <v>9</v>
      </c>
      <c r="Y869">
        <v>4</v>
      </c>
      <c r="Z869">
        <v>19</v>
      </c>
      <c r="AA869">
        <v>5</v>
      </c>
      <c r="AB869" t="str">
        <f t="shared" si="41"/>
        <v>Above average customer</v>
      </c>
    </row>
    <row r="870" spans="1:28" x14ac:dyDescent="0.35">
      <c r="A870">
        <v>5046</v>
      </c>
      <c r="B870">
        <v>1958</v>
      </c>
      <c r="C870" t="s">
        <v>25</v>
      </c>
      <c r="D870" t="s">
        <v>26</v>
      </c>
      <c r="E870" t="s">
        <v>35</v>
      </c>
      <c r="F870">
        <v>78331</v>
      </c>
      <c r="G870" t="str">
        <f t="shared" si="39"/>
        <v>High</v>
      </c>
      <c r="H870">
        <v>0</v>
      </c>
      <c r="I870">
        <v>1</v>
      </c>
      <c r="J870">
        <v>1</v>
      </c>
      <c r="K870" s="1">
        <v>41662</v>
      </c>
      <c r="L870">
        <v>97</v>
      </c>
      <c r="M870" t="str">
        <f t="shared" si="40"/>
        <v>Inactive</v>
      </c>
      <c r="N870">
        <v>0</v>
      </c>
      <c r="O870">
        <v>756</v>
      </c>
      <c r="P870">
        <v>138</v>
      </c>
      <c r="Q870">
        <v>354</v>
      </c>
      <c r="R870">
        <v>160</v>
      </c>
      <c r="S870">
        <v>169</v>
      </c>
      <c r="T870">
        <v>61</v>
      </c>
      <c r="U870">
        <v>1638</v>
      </c>
      <c r="V870">
        <v>2</v>
      </c>
      <c r="W870">
        <v>10</v>
      </c>
      <c r="X870">
        <v>6</v>
      </c>
      <c r="Y870">
        <v>7</v>
      </c>
      <c r="Z870">
        <v>23</v>
      </c>
      <c r="AA870">
        <v>4</v>
      </c>
      <c r="AB870" t="str">
        <f t="shared" si="41"/>
        <v>Below average customer</v>
      </c>
    </row>
    <row r="871" spans="1:28" x14ac:dyDescent="0.35">
      <c r="A871">
        <v>7037</v>
      </c>
      <c r="B871">
        <v>1974</v>
      </c>
      <c r="C871" t="s">
        <v>31</v>
      </c>
      <c r="D871" t="s">
        <v>32</v>
      </c>
      <c r="E871" t="s">
        <v>33</v>
      </c>
      <c r="F871">
        <v>37087</v>
      </c>
      <c r="G871" t="str">
        <f t="shared" si="39"/>
        <v>Mid-low</v>
      </c>
      <c r="H871">
        <v>1</v>
      </c>
      <c r="I871">
        <v>0</v>
      </c>
      <c r="J871">
        <v>1</v>
      </c>
      <c r="K871" s="1">
        <v>41497</v>
      </c>
      <c r="L871">
        <v>50</v>
      </c>
      <c r="M871" t="str">
        <f t="shared" si="40"/>
        <v>Inactive</v>
      </c>
      <c r="N871">
        <v>0</v>
      </c>
      <c r="O871">
        <v>194</v>
      </c>
      <c r="P871">
        <v>55</v>
      </c>
      <c r="Q871">
        <v>134</v>
      </c>
      <c r="R871">
        <v>15</v>
      </c>
      <c r="S871">
        <v>0</v>
      </c>
      <c r="T871">
        <v>3</v>
      </c>
      <c r="U871">
        <v>401</v>
      </c>
      <c r="V871">
        <v>3</v>
      </c>
      <c r="W871">
        <v>4</v>
      </c>
      <c r="X871">
        <v>2</v>
      </c>
      <c r="Y871">
        <v>8</v>
      </c>
      <c r="Z871">
        <v>14</v>
      </c>
      <c r="AA871">
        <v>6</v>
      </c>
      <c r="AB871" t="str">
        <f t="shared" si="41"/>
        <v>Below average customer</v>
      </c>
    </row>
    <row r="872" spans="1:28" x14ac:dyDescent="0.35">
      <c r="A872">
        <v>905</v>
      </c>
      <c r="B872">
        <v>1986</v>
      </c>
      <c r="C872" t="s">
        <v>30</v>
      </c>
      <c r="D872" t="s">
        <v>26</v>
      </c>
      <c r="E872" t="s">
        <v>35</v>
      </c>
      <c r="F872">
        <v>21846</v>
      </c>
      <c r="G872" t="str">
        <f t="shared" si="39"/>
        <v>Low</v>
      </c>
      <c r="H872">
        <v>1</v>
      </c>
      <c r="I872">
        <v>0</v>
      </c>
      <c r="J872">
        <v>1</v>
      </c>
      <c r="K872" s="1">
        <v>41569</v>
      </c>
      <c r="L872">
        <v>38</v>
      </c>
      <c r="M872" t="str">
        <f t="shared" si="40"/>
        <v>Active</v>
      </c>
      <c r="N872">
        <v>0</v>
      </c>
      <c r="O872">
        <v>7</v>
      </c>
      <c r="P872">
        <v>17</v>
      </c>
      <c r="Q872">
        <v>18</v>
      </c>
      <c r="R872">
        <v>6</v>
      </c>
      <c r="S872">
        <v>10</v>
      </c>
      <c r="T872">
        <v>26</v>
      </c>
      <c r="U872">
        <v>84</v>
      </c>
      <c r="V872">
        <v>4</v>
      </c>
      <c r="W872">
        <v>4</v>
      </c>
      <c r="X872">
        <v>0</v>
      </c>
      <c r="Y872">
        <v>3</v>
      </c>
      <c r="Z872">
        <v>7</v>
      </c>
      <c r="AA872">
        <v>8</v>
      </c>
      <c r="AB872" t="str">
        <f t="shared" si="41"/>
        <v>Below average customer</v>
      </c>
    </row>
    <row r="873" spans="1:28" x14ac:dyDescent="0.35">
      <c r="A873">
        <v>8624</v>
      </c>
      <c r="B873">
        <v>1958</v>
      </c>
      <c r="C873" t="s">
        <v>25</v>
      </c>
      <c r="D873" t="s">
        <v>26</v>
      </c>
      <c r="E873" t="s">
        <v>33</v>
      </c>
      <c r="F873">
        <v>81320</v>
      </c>
      <c r="G873" t="str">
        <f t="shared" si="39"/>
        <v>High</v>
      </c>
      <c r="H873">
        <v>0</v>
      </c>
      <c r="I873">
        <v>0</v>
      </c>
      <c r="J873">
        <v>0</v>
      </c>
      <c r="K873" s="1">
        <v>41311</v>
      </c>
      <c r="L873">
        <v>61</v>
      </c>
      <c r="M873" t="str">
        <f t="shared" si="40"/>
        <v>Inactive</v>
      </c>
      <c r="N873">
        <v>0</v>
      </c>
      <c r="O873">
        <v>183</v>
      </c>
      <c r="P873">
        <v>33</v>
      </c>
      <c r="Q873">
        <v>493</v>
      </c>
      <c r="R873">
        <v>59</v>
      </c>
      <c r="S873">
        <v>103</v>
      </c>
      <c r="T873">
        <v>57</v>
      </c>
      <c r="U873">
        <v>928</v>
      </c>
      <c r="V873">
        <v>1</v>
      </c>
      <c r="W873">
        <v>4</v>
      </c>
      <c r="X873">
        <v>3</v>
      </c>
      <c r="Y873">
        <v>10</v>
      </c>
      <c r="Z873">
        <v>17</v>
      </c>
      <c r="AA873">
        <v>2</v>
      </c>
      <c r="AB873" t="str">
        <f t="shared" si="41"/>
        <v>Below average customer</v>
      </c>
    </row>
    <row r="874" spans="1:28" x14ac:dyDescent="0.35">
      <c r="A874">
        <v>8945</v>
      </c>
      <c r="B874">
        <v>1970</v>
      </c>
      <c r="C874" t="s">
        <v>28</v>
      </c>
      <c r="D874" t="s">
        <v>26</v>
      </c>
      <c r="E874" t="s">
        <v>35</v>
      </c>
      <c r="F874">
        <v>54137</v>
      </c>
      <c r="G874" t="str">
        <f t="shared" si="39"/>
        <v>Mid-high</v>
      </c>
      <c r="H874">
        <v>0</v>
      </c>
      <c r="I874">
        <v>1</v>
      </c>
      <c r="J874">
        <v>1</v>
      </c>
      <c r="K874" s="1">
        <v>41502</v>
      </c>
      <c r="L874">
        <v>46</v>
      </c>
      <c r="M874" t="str">
        <f t="shared" si="40"/>
        <v>Active</v>
      </c>
      <c r="N874">
        <v>0</v>
      </c>
      <c r="O874">
        <v>171</v>
      </c>
      <c r="P874">
        <v>0</v>
      </c>
      <c r="Q874">
        <v>11</v>
      </c>
      <c r="R874">
        <v>0</v>
      </c>
      <c r="S874">
        <v>1</v>
      </c>
      <c r="T874">
        <v>20</v>
      </c>
      <c r="U874">
        <v>203</v>
      </c>
      <c r="V874">
        <v>2</v>
      </c>
      <c r="W874">
        <v>4</v>
      </c>
      <c r="X874">
        <v>1</v>
      </c>
      <c r="Y874">
        <v>4</v>
      </c>
      <c r="Z874">
        <v>9</v>
      </c>
      <c r="AA874">
        <v>6</v>
      </c>
      <c r="AB874" t="str">
        <f t="shared" si="41"/>
        <v>Below average customer</v>
      </c>
    </row>
    <row r="875" spans="1:28" x14ac:dyDescent="0.35">
      <c r="A875">
        <v>6445</v>
      </c>
      <c r="B875">
        <v>1967</v>
      </c>
      <c r="C875" t="s">
        <v>28</v>
      </c>
      <c r="D875" t="s">
        <v>26</v>
      </c>
      <c r="E875" t="s">
        <v>29</v>
      </c>
      <c r="F875">
        <v>66825</v>
      </c>
      <c r="G875" t="str">
        <f t="shared" si="39"/>
        <v>Mid-high</v>
      </c>
      <c r="H875">
        <v>0</v>
      </c>
      <c r="I875">
        <v>0</v>
      </c>
      <c r="J875">
        <v>0</v>
      </c>
      <c r="K875" s="1">
        <v>41469</v>
      </c>
      <c r="L875">
        <v>73</v>
      </c>
      <c r="M875" t="str">
        <f t="shared" si="40"/>
        <v>Inactive</v>
      </c>
      <c r="N875">
        <v>0</v>
      </c>
      <c r="O875">
        <v>243</v>
      </c>
      <c r="P875">
        <v>101</v>
      </c>
      <c r="Q875">
        <v>405</v>
      </c>
      <c r="R875">
        <v>29</v>
      </c>
      <c r="S875">
        <v>40</v>
      </c>
      <c r="T875">
        <v>40</v>
      </c>
      <c r="U875">
        <v>858</v>
      </c>
      <c r="V875">
        <v>1</v>
      </c>
      <c r="W875">
        <v>4</v>
      </c>
      <c r="X875">
        <v>5</v>
      </c>
      <c r="Y875">
        <v>6</v>
      </c>
      <c r="Z875">
        <v>15</v>
      </c>
      <c r="AA875">
        <v>2</v>
      </c>
      <c r="AB875" t="str">
        <f t="shared" si="41"/>
        <v>Below average customer</v>
      </c>
    </row>
    <row r="876" spans="1:28" x14ac:dyDescent="0.35">
      <c r="A876">
        <v>2727</v>
      </c>
      <c r="B876">
        <v>1973</v>
      </c>
      <c r="C876" t="s">
        <v>31</v>
      </c>
      <c r="D876" t="s">
        <v>26</v>
      </c>
      <c r="E876" t="s">
        <v>29</v>
      </c>
      <c r="F876">
        <v>57100</v>
      </c>
      <c r="G876" t="str">
        <f t="shared" si="39"/>
        <v>Mid-high</v>
      </c>
      <c r="H876">
        <v>0</v>
      </c>
      <c r="I876">
        <v>0</v>
      </c>
      <c r="J876">
        <v>0</v>
      </c>
      <c r="K876" s="1">
        <v>41612</v>
      </c>
      <c r="L876">
        <v>19</v>
      </c>
      <c r="M876" t="str">
        <f t="shared" si="40"/>
        <v>Active</v>
      </c>
      <c r="N876">
        <v>0</v>
      </c>
      <c r="O876">
        <v>181</v>
      </c>
      <c r="P876">
        <v>21</v>
      </c>
      <c r="Q876">
        <v>69</v>
      </c>
      <c r="R876">
        <v>39</v>
      </c>
      <c r="S876">
        <v>3</v>
      </c>
      <c r="T876">
        <v>96</v>
      </c>
      <c r="U876">
        <v>409</v>
      </c>
      <c r="V876">
        <v>1</v>
      </c>
      <c r="W876">
        <v>3</v>
      </c>
      <c r="X876">
        <v>3</v>
      </c>
      <c r="Y876">
        <v>6</v>
      </c>
      <c r="Z876">
        <v>12</v>
      </c>
      <c r="AA876">
        <v>3</v>
      </c>
      <c r="AB876" t="str">
        <f t="shared" si="41"/>
        <v>Below average customer</v>
      </c>
    </row>
    <row r="877" spans="1:28" x14ac:dyDescent="0.35">
      <c r="A877">
        <v>6404</v>
      </c>
      <c r="B877">
        <v>1969</v>
      </c>
      <c r="C877" t="s">
        <v>28</v>
      </c>
      <c r="D877" t="s">
        <v>26</v>
      </c>
      <c r="E877" t="s">
        <v>29</v>
      </c>
      <c r="F877">
        <v>58917</v>
      </c>
      <c r="G877" t="str">
        <f t="shared" si="39"/>
        <v>Mid-high</v>
      </c>
      <c r="H877">
        <v>1</v>
      </c>
      <c r="I877">
        <v>2</v>
      </c>
      <c r="J877">
        <v>3</v>
      </c>
      <c r="K877" s="1">
        <v>41357</v>
      </c>
      <c r="L877">
        <v>10</v>
      </c>
      <c r="M877" t="str">
        <f t="shared" si="40"/>
        <v>Active</v>
      </c>
      <c r="N877">
        <v>0</v>
      </c>
      <c r="O877">
        <v>151</v>
      </c>
      <c r="P877">
        <v>7</v>
      </c>
      <c r="Q877">
        <v>89</v>
      </c>
      <c r="R877">
        <v>0</v>
      </c>
      <c r="S877">
        <v>7</v>
      </c>
      <c r="T877">
        <v>28</v>
      </c>
      <c r="U877">
        <v>282</v>
      </c>
      <c r="V877">
        <v>5</v>
      </c>
      <c r="W877">
        <v>4</v>
      </c>
      <c r="X877">
        <v>1</v>
      </c>
      <c r="Y877">
        <v>6</v>
      </c>
      <c r="Z877">
        <v>11</v>
      </c>
      <c r="AA877">
        <v>5</v>
      </c>
      <c r="AB877" t="str">
        <f t="shared" si="41"/>
        <v>Below average customer</v>
      </c>
    </row>
    <row r="878" spans="1:28" x14ac:dyDescent="0.35">
      <c r="A878">
        <v>11074</v>
      </c>
      <c r="B878">
        <v>1977</v>
      </c>
      <c r="C878" t="s">
        <v>31</v>
      </c>
      <c r="D878" t="s">
        <v>26</v>
      </c>
      <c r="E878" t="s">
        <v>27</v>
      </c>
      <c r="F878">
        <v>85072</v>
      </c>
      <c r="G878" t="str">
        <f t="shared" si="39"/>
        <v>High</v>
      </c>
      <c r="H878">
        <v>0</v>
      </c>
      <c r="I878">
        <v>0</v>
      </c>
      <c r="J878">
        <v>0</v>
      </c>
      <c r="K878" s="1">
        <v>41738</v>
      </c>
      <c r="L878">
        <v>94</v>
      </c>
      <c r="M878" t="str">
        <f t="shared" si="40"/>
        <v>Inactive</v>
      </c>
      <c r="N878">
        <v>0</v>
      </c>
      <c r="O878">
        <v>494</v>
      </c>
      <c r="P878">
        <v>92</v>
      </c>
      <c r="Q878">
        <v>391</v>
      </c>
      <c r="R878">
        <v>194</v>
      </c>
      <c r="S878">
        <v>11</v>
      </c>
      <c r="T878">
        <v>241</v>
      </c>
      <c r="U878">
        <v>1423</v>
      </c>
      <c r="V878">
        <v>1</v>
      </c>
      <c r="W878">
        <v>3</v>
      </c>
      <c r="X878">
        <v>4</v>
      </c>
      <c r="Y878">
        <v>10</v>
      </c>
      <c r="Z878">
        <v>17</v>
      </c>
      <c r="AA878">
        <v>0</v>
      </c>
      <c r="AB878" t="str">
        <f t="shared" si="41"/>
        <v>Below average customer</v>
      </c>
    </row>
    <row r="879" spans="1:28" x14ac:dyDescent="0.35">
      <c r="A879">
        <v>10150</v>
      </c>
      <c r="B879">
        <v>1961</v>
      </c>
      <c r="C879" t="s">
        <v>25</v>
      </c>
      <c r="D879" t="s">
        <v>26</v>
      </c>
      <c r="E879" t="s">
        <v>27</v>
      </c>
      <c r="F879">
        <v>86429</v>
      </c>
      <c r="G879" t="str">
        <f t="shared" si="39"/>
        <v>High</v>
      </c>
      <c r="H879">
        <v>0</v>
      </c>
      <c r="I879">
        <v>0</v>
      </c>
      <c r="J879">
        <v>0</v>
      </c>
      <c r="K879" s="1">
        <v>41599</v>
      </c>
      <c r="L879">
        <v>10</v>
      </c>
      <c r="M879" t="str">
        <f t="shared" si="40"/>
        <v>Active</v>
      </c>
      <c r="N879">
        <v>0</v>
      </c>
      <c r="O879">
        <v>464</v>
      </c>
      <c r="P879">
        <v>28</v>
      </c>
      <c r="Q879">
        <v>873</v>
      </c>
      <c r="R879">
        <v>29</v>
      </c>
      <c r="S879">
        <v>18</v>
      </c>
      <c r="T879">
        <v>37</v>
      </c>
      <c r="U879">
        <v>1449</v>
      </c>
      <c r="V879">
        <v>0</v>
      </c>
      <c r="W879">
        <v>7</v>
      </c>
      <c r="X879">
        <v>4</v>
      </c>
      <c r="Y879">
        <v>7</v>
      </c>
      <c r="Z879">
        <v>18</v>
      </c>
      <c r="AA879">
        <v>2</v>
      </c>
      <c r="AB879" t="str">
        <f t="shared" si="41"/>
        <v>Above average customer</v>
      </c>
    </row>
    <row r="880" spans="1:28" x14ac:dyDescent="0.35">
      <c r="A880">
        <v>1968</v>
      </c>
      <c r="B880">
        <v>1971</v>
      </c>
      <c r="C880" t="s">
        <v>28</v>
      </c>
      <c r="D880" t="s">
        <v>26</v>
      </c>
      <c r="E880" t="s">
        <v>38</v>
      </c>
      <c r="F880">
        <v>45684</v>
      </c>
      <c r="G880" t="str">
        <f t="shared" si="39"/>
        <v>Mid-low</v>
      </c>
      <c r="H880">
        <v>1</v>
      </c>
      <c r="I880">
        <v>0</v>
      </c>
      <c r="J880">
        <v>1</v>
      </c>
      <c r="K880" s="1">
        <v>41610</v>
      </c>
      <c r="L880">
        <v>37</v>
      </c>
      <c r="M880" t="str">
        <f t="shared" si="40"/>
        <v>Active</v>
      </c>
      <c r="N880">
        <v>0</v>
      </c>
      <c r="O880">
        <v>5</v>
      </c>
      <c r="P880">
        <v>1</v>
      </c>
      <c r="Q880">
        <v>5</v>
      </c>
      <c r="R880">
        <v>10</v>
      </c>
      <c r="S880">
        <v>0</v>
      </c>
      <c r="T880">
        <v>7</v>
      </c>
      <c r="U880">
        <v>28</v>
      </c>
      <c r="V880">
        <v>1</v>
      </c>
      <c r="W880">
        <v>1</v>
      </c>
      <c r="X880">
        <v>0</v>
      </c>
      <c r="Y880">
        <v>2</v>
      </c>
      <c r="Z880">
        <v>3</v>
      </c>
      <c r="AA880">
        <v>7</v>
      </c>
      <c r="AB880" t="str">
        <f t="shared" si="41"/>
        <v>Below average customer</v>
      </c>
    </row>
    <row r="881" spans="1:28" x14ac:dyDescent="0.35">
      <c r="A881">
        <v>6534</v>
      </c>
      <c r="B881">
        <v>1974</v>
      </c>
      <c r="C881" t="s">
        <v>31</v>
      </c>
      <c r="D881" t="s">
        <v>26</v>
      </c>
      <c r="E881" t="s">
        <v>29</v>
      </c>
      <c r="F881">
        <v>47889</v>
      </c>
      <c r="G881" t="str">
        <f t="shared" si="39"/>
        <v>Mid-low</v>
      </c>
      <c r="H881">
        <v>1</v>
      </c>
      <c r="I881">
        <v>0</v>
      </c>
      <c r="J881">
        <v>1</v>
      </c>
      <c r="K881" s="1">
        <v>41643</v>
      </c>
      <c r="L881">
        <v>94</v>
      </c>
      <c r="M881" t="str">
        <f t="shared" si="40"/>
        <v>Inactive</v>
      </c>
      <c r="N881">
        <v>0</v>
      </c>
      <c r="O881">
        <v>29</v>
      </c>
      <c r="P881">
        <v>0</v>
      </c>
      <c r="Q881">
        <v>29</v>
      </c>
      <c r="R881">
        <v>0</v>
      </c>
      <c r="S881">
        <v>5</v>
      </c>
      <c r="T881">
        <v>4</v>
      </c>
      <c r="U881">
        <v>67</v>
      </c>
      <c r="V881">
        <v>1</v>
      </c>
      <c r="W881">
        <v>2</v>
      </c>
      <c r="X881">
        <v>0</v>
      </c>
      <c r="Y881">
        <v>3</v>
      </c>
      <c r="Z881">
        <v>5</v>
      </c>
      <c r="AA881">
        <v>5</v>
      </c>
      <c r="AB881" t="str">
        <f t="shared" si="41"/>
        <v>Below average customer</v>
      </c>
    </row>
    <row r="882" spans="1:28" x14ac:dyDescent="0.35">
      <c r="A882">
        <v>9485</v>
      </c>
      <c r="B882">
        <v>1986</v>
      </c>
      <c r="C882" t="s">
        <v>30</v>
      </c>
      <c r="D882" t="s">
        <v>32</v>
      </c>
      <c r="E882" t="s">
        <v>33</v>
      </c>
      <c r="F882">
        <v>45921</v>
      </c>
      <c r="G882" t="str">
        <f t="shared" si="39"/>
        <v>Mid-low</v>
      </c>
      <c r="H882">
        <v>0</v>
      </c>
      <c r="I882">
        <v>0</v>
      </c>
      <c r="J882">
        <v>0</v>
      </c>
      <c r="K882" s="1">
        <v>41708</v>
      </c>
      <c r="L882">
        <v>23</v>
      </c>
      <c r="M882" t="str">
        <f t="shared" si="40"/>
        <v>Active</v>
      </c>
      <c r="N882">
        <v>0</v>
      </c>
      <c r="O882">
        <v>102</v>
      </c>
      <c r="P882">
        <v>9</v>
      </c>
      <c r="Q882">
        <v>49</v>
      </c>
      <c r="R882">
        <v>24</v>
      </c>
      <c r="S882">
        <v>3</v>
      </c>
      <c r="T882">
        <v>12</v>
      </c>
      <c r="U882">
        <v>199</v>
      </c>
      <c r="V882">
        <v>1</v>
      </c>
      <c r="W882">
        <v>2</v>
      </c>
      <c r="X882">
        <v>1</v>
      </c>
      <c r="Y882">
        <v>6</v>
      </c>
      <c r="Z882">
        <v>9</v>
      </c>
      <c r="AA882">
        <v>4</v>
      </c>
      <c r="AB882" t="str">
        <f t="shared" si="41"/>
        <v>Below average customer</v>
      </c>
    </row>
    <row r="883" spans="1:28" x14ac:dyDescent="0.35">
      <c r="A883">
        <v>7053</v>
      </c>
      <c r="B883">
        <v>1966</v>
      </c>
      <c r="C883" t="s">
        <v>28</v>
      </c>
      <c r="D883" t="s">
        <v>32</v>
      </c>
      <c r="E883" t="s">
        <v>27</v>
      </c>
      <c r="F883">
        <v>78420</v>
      </c>
      <c r="G883" t="str">
        <f t="shared" si="39"/>
        <v>High</v>
      </c>
      <c r="H883">
        <v>0</v>
      </c>
      <c r="I883">
        <v>0</v>
      </c>
      <c r="J883">
        <v>0</v>
      </c>
      <c r="K883" s="1">
        <v>41454</v>
      </c>
      <c r="L883">
        <v>75</v>
      </c>
      <c r="M883" t="str">
        <f t="shared" si="40"/>
        <v>Inactive</v>
      </c>
      <c r="N883">
        <v>0</v>
      </c>
      <c r="O883">
        <v>604</v>
      </c>
      <c r="P883">
        <v>28</v>
      </c>
      <c r="Q883">
        <v>674</v>
      </c>
      <c r="R883">
        <v>91</v>
      </c>
      <c r="S883">
        <v>28</v>
      </c>
      <c r="T883">
        <v>28</v>
      </c>
      <c r="U883">
        <v>1453</v>
      </c>
      <c r="V883">
        <v>1</v>
      </c>
      <c r="W883">
        <v>3</v>
      </c>
      <c r="X883">
        <v>10</v>
      </c>
      <c r="Y883">
        <v>8</v>
      </c>
      <c r="Z883">
        <v>21</v>
      </c>
      <c r="AA883">
        <v>1</v>
      </c>
      <c r="AB883" t="str">
        <f t="shared" si="41"/>
        <v>Below average customer</v>
      </c>
    </row>
    <row r="884" spans="1:28" x14ac:dyDescent="0.35">
      <c r="A884">
        <v>4654</v>
      </c>
      <c r="B884">
        <v>1992</v>
      </c>
      <c r="C884" t="s">
        <v>30</v>
      </c>
      <c r="D884" t="s">
        <v>26</v>
      </c>
      <c r="E884" t="s">
        <v>29</v>
      </c>
      <c r="F884">
        <v>75114</v>
      </c>
      <c r="G884" t="str">
        <f t="shared" si="39"/>
        <v>High</v>
      </c>
      <c r="H884">
        <v>0</v>
      </c>
      <c r="I884">
        <v>0</v>
      </c>
      <c r="J884">
        <v>0</v>
      </c>
      <c r="K884" s="1">
        <v>41585</v>
      </c>
      <c r="L884">
        <v>40</v>
      </c>
      <c r="M884" t="str">
        <f t="shared" si="40"/>
        <v>Active</v>
      </c>
      <c r="N884">
        <v>0</v>
      </c>
      <c r="O884">
        <v>571</v>
      </c>
      <c r="P884">
        <v>12</v>
      </c>
      <c r="Q884">
        <v>523</v>
      </c>
      <c r="R884">
        <v>63</v>
      </c>
      <c r="S884">
        <v>60</v>
      </c>
      <c r="T884">
        <v>24</v>
      </c>
      <c r="U884">
        <v>1253</v>
      </c>
      <c r="V884">
        <v>1</v>
      </c>
      <c r="W884">
        <v>3</v>
      </c>
      <c r="X884">
        <v>10</v>
      </c>
      <c r="Y884">
        <v>5</v>
      </c>
      <c r="Z884">
        <v>18</v>
      </c>
      <c r="AA884">
        <v>2</v>
      </c>
      <c r="AB884" t="str">
        <f t="shared" si="41"/>
        <v>Above average customer</v>
      </c>
    </row>
    <row r="885" spans="1:28" x14ac:dyDescent="0.35">
      <c r="A885">
        <v>9760</v>
      </c>
      <c r="B885">
        <v>1963</v>
      </c>
      <c r="C885" t="s">
        <v>28</v>
      </c>
      <c r="D885" t="s">
        <v>32</v>
      </c>
      <c r="E885" t="s">
        <v>38</v>
      </c>
      <c r="F885">
        <v>52278</v>
      </c>
      <c r="G885" t="str">
        <f t="shared" si="39"/>
        <v>Mid-high</v>
      </c>
      <c r="H885">
        <v>0</v>
      </c>
      <c r="I885">
        <v>1</v>
      </c>
      <c r="J885">
        <v>1</v>
      </c>
      <c r="K885" s="1">
        <v>41299</v>
      </c>
      <c r="L885">
        <v>24</v>
      </c>
      <c r="M885" t="str">
        <f t="shared" si="40"/>
        <v>Active</v>
      </c>
      <c r="N885">
        <v>0</v>
      </c>
      <c r="O885">
        <v>953</v>
      </c>
      <c r="P885">
        <v>0</v>
      </c>
      <c r="Q885">
        <v>71</v>
      </c>
      <c r="R885">
        <v>0</v>
      </c>
      <c r="S885">
        <v>0</v>
      </c>
      <c r="T885">
        <v>174</v>
      </c>
      <c r="U885">
        <v>1198</v>
      </c>
      <c r="V885">
        <v>6</v>
      </c>
      <c r="W885">
        <v>10</v>
      </c>
      <c r="X885">
        <v>5</v>
      </c>
      <c r="Y885">
        <v>10</v>
      </c>
      <c r="Z885">
        <v>25</v>
      </c>
      <c r="AA885">
        <v>8</v>
      </c>
      <c r="AB885" t="str">
        <f t="shared" si="41"/>
        <v>Below average customer</v>
      </c>
    </row>
    <row r="886" spans="1:28" x14ac:dyDescent="0.35">
      <c r="A886">
        <v>1048</v>
      </c>
      <c r="B886">
        <v>1972</v>
      </c>
      <c r="C886" t="s">
        <v>28</v>
      </c>
      <c r="D886" t="s">
        <v>34</v>
      </c>
      <c r="E886" t="s">
        <v>33</v>
      </c>
      <c r="F886">
        <v>35641</v>
      </c>
      <c r="G886" t="str">
        <f t="shared" si="39"/>
        <v>Mid-low</v>
      </c>
      <c r="H886">
        <v>1</v>
      </c>
      <c r="I886">
        <v>0</v>
      </c>
      <c r="J886">
        <v>1</v>
      </c>
      <c r="K886" s="1">
        <v>41469</v>
      </c>
      <c r="L886">
        <v>11</v>
      </c>
      <c r="M886" t="str">
        <f t="shared" si="40"/>
        <v>Active</v>
      </c>
      <c r="N886">
        <v>0</v>
      </c>
      <c r="O886">
        <v>63</v>
      </c>
      <c r="P886">
        <v>3</v>
      </c>
      <c r="Q886">
        <v>67</v>
      </c>
      <c r="R886">
        <v>8</v>
      </c>
      <c r="S886">
        <v>9</v>
      </c>
      <c r="T886">
        <v>28</v>
      </c>
      <c r="U886">
        <v>178</v>
      </c>
      <c r="V886">
        <v>2</v>
      </c>
      <c r="W886">
        <v>3</v>
      </c>
      <c r="X886">
        <v>1</v>
      </c>
      <c r="Y886">
        <v>4</v>
      </c>
      <c r="Z886">
        <v>8</v>
      </c>
      <c r="AA886">
        <v>7</v>
      </c>
      <c r="AB886" t="str">
        <f t="shared" si="41"/>
        <v>Below average customer</v>
      </c>
    </row>
    <row r="887" spans="1:28" x14ac:dyDescent="0.35">
      <c r="A887">
        <v>10619</v>
      </c>
      <c r="B887">
        <v>1994</v>
      </c>
      <c r="C887" t="s">
        <v>30</v>
      </c>
      <c r="D887" t="s">
        <v>26</v>
      </c>
      <c r="E887" t="s">
        <v>27</v>
      </c>
      <c r="F887">
        <v>95529</v>
      </c>
      <c r="G887" t="str">
        <f t="shared" si="39"/>
        <v>High</v>
      </c>
      <c r="H887">
        <v>0</v>
      </c>
      <c r="I887">
        <v>0</v>
      </c>
      <c r="J887">
        <v>0</v>
      </c>
      <c r="K887" s="1">
        <v>41246</v>
      </c>
      <c r="L887">
        <v>29</v>
      </c>
      <c r="M887" t="str">
        <f t="shared" si="40"/>
        <v>Active</v>
      </c>
      <c r="N887">
        <v>0</v>
      </c>
      <c r="O887">
        <v>770</v>
      </c>
      <c r="P887">
        <v>29</v>
      </c>
      <c r="Q887">
        <v>890</v>
      </c>
      <c r="R887">
        <v>250</v>
      </c>
      <c r="S887">
        <v>27</v>
      </c>
      <c r="T887">
        <v>24</v>
      </c>
      <c r="U887">
        <v>1990</v>
      </c>
      <c r="V887">
        <v>1</v>
      </c>
      <c r="W887">
        <v>7</v>
      </c>
      <c r="X887">
        <v>3</v>
      </c>
      <c r="Y887">
        <v>7</v>
      </c>
      <c r="Z887">
        <v>17</v>
      </c>
      <c r="AA887">
        <v>3</v>
      </c>
      <c r="AB887" t="str">
        <f t="shared" si="41"/>
        <v>Above average customer</v>
      </c>
    </row>
    <row r="888" spans="1:28" x14ac:dyDescent="0.35">
      <c r="A888">
        <v>9308</v>
      </c>
      <c r="B888">
        <v>1954</v>
      </c>
      <c r="C888" t="s">
        <v>25</v>
      </c>
      <c r="D888" t="s">
        <v>26</v>
      </c>
      <c r="E888" t="s">
        <v>33</v>
      </c>
      <c r="F888">
        <v>62820</v>
      </c>
      <c r="G888" t="str">
        <f t="shared" si="39"/>
        <v>Mid-high</v>
      </c>
      <c r="H888">
        <v>0</v>
      </c>
      <c r="I888">
        <v>0</v>
      </c>
      <c r="J888">
        <v>0</v>
      </c>
      <c r="K888" s="1">
        <v>41405</v>
      </c>
      <c r="L888">
        <v>51</v>
      </c>
      <c r="M888" t="str">
        <f t="shared" si="40"/>
        <v>Inactive</v>
      </c>
      <c r="N888">
        <v>0</v>
      </c>
      <c r="O888">
        <v>398</v>
      </c>
      <c r="P888">
        <v>61</v>
      </c>
      <c r="Q888">
        <v>265</v>
      </c>
      <c r="R888">
        <v>138</v>
      </c>
      <c r="S888">
        <v>61</v>
      </c>
      <c r="T888">
        <v>53</v>
      </c>
      <c r="U888">
        <v>976</v>
      </c>
      <c r="V888">
        <v>1</v>
      </c>
      <c r="W888">
        <v>3</v>
      </c>
      <c r="X888">
        <v>4</v>
      </c>
      <c r="Y888">
        <v>6</v>
      </c>
      <c r="Z888">
        <v>13</v>
      </c>
      <c r="AA888">
        <v>1</v>
      </c>
      <c r="AB888" t="str">
        <f t="shared" si="41"/>
        <v>Below average customer</v>
      </c>
    </row>
    <row r="889" spans="1:28" x14ac:dyDescent="0.35">
      <c r="A889">
        <v>10505</v>
      </c>
      <c r="B889">
        <v>1960</v>
      </c>
      <c r="C889" t="s">
        <v>25</v>
      </c>
      <c r="D889" t="s">
        <v>34</v>
      </c>
      <c r="E889" t="s">
        <v>29</v>
      </c>
      <c r="F889">
        <v>73113</v>
      </c>
      <c r="G889" t="str">
        <f t="shared" si="39"/>
        <v>High</v>
      </c>
      <c r="H889">
        <v>0</v>
      </c>
      <c r="I889">
        <v>0</v>
      </c>
      <c r="J889">
        <v>0</v>
      </c>
      <c r="K889" s="1">
        <v>41634</v>
      </c>
      <c r="L889">
        <v>86</v>
      </c>
      <c r="M889" t="str">
        <f t="shared" si="40"/>
        <v>Inactive</v>
      </c>
      <c r="N889">
        <v>0</v>
      </c>
      <c r="O889">
        <v>741</v>
      </c>
      <c r="P889">
        <v>19</v>
      </c>
      <c r="Q889">
        <v>154</v>
      </c>
      <c r="R889">
        <v>50</v>
      </c>
      <c r="S889">
        <v>9</v>
      </c>
      <c r="T889">
        <v>28</v>
      </c>
      <c r="U889">
        <v>1001</v>
      </c>
      <c r="V889">
        <v>1</v>
      </c>
      <c r="W889">
        <v>3</v>
      </c>
      <c r="X889">
        <v>4</v>
      </c>
      <c r="Y889">
        <v>7</v>
      </c>
      <c r="Z889">
        <v>14</v>
      </c>
      <c r="AA889">
        <v>2</v>
      </c>
      <c r="AB889" t="str">
        <f t="shared" si="41"/>
        <v>Below average customer</v>
      </c>
    </row>
    <row r="890" spans="1:28" x14ac:dyDescent="0.35">
      <c r="A890">
        <v>2625</v>
      </c>
      <c r="B890">
        <v>1954</v>
      </c>
      <c r="C890" t="s">
        <v>25</v>
      </c>
      <c r="D890" t="s">
        <v>34</v>
      </c>
      <c r="E890" t="s">
        <v>27</v>
      </c>
      <c r="F890">
        <v>42607</v>
      </c>
      <c r="G890" t="str">
        <f t="shared" si="39"/>
        <v>Mid-low</v>
      </c>
      <c r="H890">
        <v>0</v>
      </c>
      <c r="I890">
        <v>1</v>
      </c>
      <c r="J890">
        <v>1</v>
      </c>
      <c r="K890" s="1">
        <v>41595</v>
      </c>
      <c r="L890">
        <v>30</v>
      </c>
      <c r="M890" t="str">
        <f t="shared" si="40"/>
        <v>Active</v>
      </c>
      <c r="N890">
        <v>0</v>
      </c>
      <c r="O890">
        <v>156</v>
      </c>
      <c r="P890">
        <v>29</v>
      </c>
      <c r="Q890">
        <v>56</v>
      </c>
      <c r="R890">
        <v>30</v>
      </c>
      <c r="S890">
        <v>32</v>
      </c>
      <c r="T890">
        <v>47</v>
      </c>
      <c r="U890">
        <v>350</v>
      </c>
      <c r="V890">
        <v>2</v>
      </c>
      <c r="W890">
        <v>3</v>
      </c>
      <c r="X890">
        <v>2</v>
      </c>
      <c r="Y890">
        <v>7</v>
      </c>
      <c r="Z890">
        <v>12</v>
      </c>
      <c r="AA890">
        <v>3</v>
      </c>
      <c r="AB890" t="str">
        <f t="shared" si="41"/>
        <v>Below average customer</v>
      </c>
    </row>
    <row r="891" spans="1:28" x14ac:dyDescent="0.35">
      <c r="A891">
        <v>4637</v>
      </c>
      <c r="B891">
        <v>1954</v>
      </c>
      <c r="C891" t="s">
        <v>25</v>
      </c>
      <c r="D891" t="s">
        <v>32</v>
      </c>
      <c r="E891" t="s">
        <v>27</v>
      </c>
      <c r="F891">
        <v>74637</v>
      </c>
      <c r="G891" t="str">
        <f t="shared" si="39"/>
        <v>High</v>
      </c>
      <c r="H891">
        <v>0</v>
      </c>
      <c r="I891">
        <v>0</v>
      </c>
      <c r="J891">
        <v>0</v>
      </c>
      <c r="K891" s="1">
        <v>41412</v>
      </c>
      <c r="L891">
        <v>73</v>
      </c>
      <c r="M891" t="str">
        <f t="shared" si="40"/>
        <v>Inactive</v>
      </c>
      <c r="N891">
        <v>0</v>
      </c>
      <c r="O891">
        <v>960</v>
      </c>
      <c r="P891">
        <v>64</v>
      </c>
      <c r="Q891">
        <v>464</v>
      </c>
      <c r="R891">
        <v>146</v>
      </c>
      <c r="S891">
        <v>0</v>
      </c>
      <c r="T891">
        <v>16</v>
      </c>
      <c r="U891">
        <v>1650</v>
      </c>
      <c r="V891">
        <v>1</v>
      </c>
      <c r="W891">
        <v>6</v>
      </c>
      <c r="X891">
        <v>9</v>
      </c>
      <c r="Y891">
        <v>9</v>
      </c>
      <c r="Z891">
        <v>24</v>
      </c>
      <c r="AA891">
        <v>3</v>
      </c>
      <c r="AB891" t="str">
        <f t="shared" si="41"/>
        <v>Below average customer</v>
      </c>
    </row>
    <row r="892" spans="1:28" x14ac:dyDescent="0.35">
      <c r="A892">
        <v>9972</v>
      </c>
      <c r="B892">
        <v>1955</v>
      </c>
      <c r="C892" t="s">
        <v>25</v>
      </c>
      <c r="D892" t="s">
        <v>32</v>
      </c>
      <c r="E892" t="s">
        <v>29</v>
      </c>
      <c r="F892">
        <v>46015</v>
      </c>
      <c r="G892" t="str">
        <f t="shared" si="39"/>
        <v>Mid-low</v>
      </c>
      <c r="H892">
        <v>1</v>
      </c>
      <c r="I892">
        <v>1</v>
      </c>
      <c r="J892">
        <v>2</v>
      </c>
      <c r="K892" s="1">
        <v>41742</v>
      </c>
      <c r="L892">
        <v>25</v>
      </c>
      <c r="M892" t="str">
        <f t="shared" si="40"/>
        <v>Active</v>
      </c>
      <c r="N892">
        <v>0</v>
      </c>
      <c r="O892">
        <v>38</v>
      </c>
      <c r="P892">
        <v>0</v>
      </c>
      <c r="Q892">
        <v>2</v>
      </c>
      <c r="R892">
        <v>0</v>
      </c>
      <c r="S892">
        <v>0</v>
      </c>
      <c r="T892">
        <v>6</v>
      </c>
      <c r="U892">
        <v>46</v>
      </c>
      <c r="V892">
        <v>1</v>
      </c>
      <c r="W892">
        <v>1</v>
      </c>
      <c r="X892">
        <v>0</v>
      </c>
      <c r="Y892">
        <v>3</v>
      </c>
      <c r="Z892">
        <v>4</v>
      </c>
      <c r="AA892">
        <v>7</v>
      </c>
      <c r="AB892" t="str">
        <f t="shared" si="41"/>
        <v>Below average customer</v>
      </c>
    </row>
    <row r="893" spans="1:28" x14ac:dyDescent="0.35">
      <c r="A893">
        <v>4483</v>
      </c>
      <c r="B893">
        <v>1993</v>
      </c>
      <c r="C893" t="s">
        <v>30</v>
      </c>
      <c r="D893" t="s">
        <v>26</v>
      </c>
      <c r="E893" t="s">
        <v>27</v>
      </c>
      <c r="F893">
        <v>72354</v>
      </c>
      <c r="G893" t="str">
        <f t="shared" si="39"/>
        <v>High</v>
      </c>
      <c r="H893">
        <v>0</v>
      </c>
      <c r="I893">
        <v>0</v>
      </c>
      <c r="J893">
        <v>0</v>
      </c>
      <c r="K893" s="1">
        <v>41381</v>
      </c>
      <c r="L893">
        <v>67</v>
      </c>
      <c r="M893" t="str">
        <f t="shared" si="40"/>
        <v>Inactive</v>
      </c>
      <c r="N893">
        <v>0</v>
      </c>
      <c r="O893">
        <v>315</v>
      </c>
      <c r="P893">
        <v>26</v>
      </c>
      <c r="Q893">
        <v>473</v>
      </c>
      <c r="R893">
        <v>220</v>
      </c>
      <c r="S893">
        <v>12</v>
      </c>
      <c r="T893">
        <v>182</v>
      </c>
      <c r="U893">
        <v>1228</v>
      </c>
      <c r="V893">
        <v>1</v>
      </c>
      <c r="W893">
        <v>2</v>
      </c>
      <c r="X893">
        <v>10</v>
      </c>
      <c r="Y893">
        <v>6</v>
      </c>
      <c r="Z893">
        <v>18</v>
      </c>
      <c r="AA893">
        <v>1</v>
      </c>
      <c r="AB893" t="str">
        <f t="shared" si="41"/>
        <v>Below average customer</v>
      </c>
    </row>
    <row r="894" spans="1:28" x14ac:dyDescent="0.35">
      <c r="A894">
        <v>4487</v>
      </c>
      <c r="B894">
        <v>1969</v>
      </c>
      <c r="C894" t="s">
        <v>28</v>
      </c>
      <c r="D894" t="s">
        <v>34</v>
      </c>
      <c r="E894" t="s">
        <v>27</v>
      </c>
      <c r="F894">
        <v>39858</v>
      </c>
      <c r="G894" t="str">
        <f t="shared" si="39"/>
        <v>Mid-low</v>
      </c>
      <c r="H894">
        <v>1</v>
      </c>
      <c r="I894">
        <v>0</v>
      </c>
      <c r="J894">
        <v>1</v>
      </c>
      <c r="K894" s="1">
        <v>41298</v>
      </c>
      <c r="L894">
        <v>67</v>
      </c>
      <c r="M894" t="str">
        <f t="shared" si="40"/>
        <v>Inactive</v>
      </c>
      <c r="N894">
        <v>0</v>
      </c>
      <c r="O894">
        <v>15</v>
      </c>
      <c r="P894">
        <v>20</v>
      </c>
      <c r="Q894">
        <v>25</v>
      </c>
      <c r="R894">
        <v>2</v>
      </c>
      <c r="S894">
        <v>7</v>
      </c>
      <c r="T894">
        <v>26</v>
      </c>
      <c r="U894">
        <v>95</v>
      </c>
      <c r="V894">
        <v>1</v>
      </c>
      <c r="W894">
        <v>2</v>
      </c>
      <c r="X894">
        <v>0</v>
      </c>
      <c r="Y894">
        <v>4</v>
      </c>
      <c r="Z894">
        <v>6</v>
      </c>
      <c r="AA894">
        <v>6</v>
      </c>
      <c r="AB894" t="str">
        <f t="shared" si="41"/>
        <v>Below average customer</v>
      </c>
    </row>
    <row r="895" spans="1:28" x14ac:dyDescent="0.35">
      <c r="A895">
        <v>4988</v>
      </c>
      <c r="B895">
        <v>1948</v>
      </c>
      <c r="C895" t="s">
        <v>36</v>
      </c>
      <c r="D895" t="s">
        <v>32</v>
      </c>
      <c r="E895" t="s">
        <v>33</v>
      </c>
      <c r="F895">
        <v>34469</v>
      </c>
      <c r="G895" t="str">
        <f t="shared" si="39"/>
        <v>Low</v>
      </c>
      <c r="H895">
        <v>1</v>
      </c>
      <c r="I895">
        <v>1</v>
      </c>
      <c r="J895">
        <v>2</v>
      </c>
      <c r="K895" s="1">
        <v>41763</v>
      </c>
      <c r="L895">
        <v>58</v>
      </c>
      <c r="M895" t="str">
        <f t="shared" si="40"/>
        <v>Inactive</v>
      </c>
      <c r="N895">
        <v>0</v>
      </c>
      <c r="O895">
        <v>19</v>
      </c>
      <c r="P895">
        <v>6</v>
      </c>
      <c r="Q895">
        <v>20</v>
      </c>
      <c r="R895">
        <v>0</v>
      </c>
      <c r="S895">
        <v>5</v>
      </c>
      <c r="T895">
        <v>12</v>
      </c>
      <c r="U895">
        <v>62</v>
      </c>
      <c r="V895">
        <v>3</v>
      </c>
      <c r="W895">
        <v>1</v>
      </c>
      <c r="X895">
        <v>1</v>
      </c>
      <c r="Y895">
        <v>4</v>
      </c>
      <c r="Z895">
        <v>6</v>
      </c>
      <c r="AA895">
        <v>4</v>
      </c>
      <c r="AB895" t="str">
        <f t="shared" si="41"/>
        <v>Below average customer</v>
      </c>
    </row>
    <row r="896" spans="1:28" x14ac:dyDescent="0.35">
      <c r="A896">
        <v>8931</v>
      </c>
      <c r="B896">
        <v>1986</v>
      </c>
      <c r="C896" t="s">
        <v>30</v>
      </c>
      <c r="D896" t="s">
        <v>26</v>
      </c>
      <c r="E896" t="s">
        <v>29</v>
      </c>
      <c r="F896">
        <v>83033</v>
      </c>
      <c r="G896" t="str">
        <f t="shared" si="39"/>
        <v>High</v>
      </c>
      <c r="H896">
        <v>1</v>
      </c>
      <c r="I896">
        <v>0</v>
      </c>
      <c r="J896">
        <v>1</v>
      </c>
      <c r="K896" s="1">
        <v>41777</v>
      </c>
      <c r="L896">
        <v>82</v>
      </c>
      <c r="M896" t="str">
        <f t="shared" si="40"/>
        <v>Inactive</v>
      </c>
      <c r="N896">
        <v>0</v>
      </c>
      <c r="O896">
        <v>812</v>
      </c>
      <c r="P896">
        <v>99</v>
      </c>
      <c r="Q896">
        <v>431</v>
      </c>
      <c r="R896">
        <v>237</v>
      </c>
      <c r="S896">
        <v>149</v>
      </c>
      <c r="T896">
        <v>33</v>
      </c>
      <c r="U896">
        <v>1761</v>
      </c>
      <c r="V896">
        <v>1</v>
      </c>
      <c r="W896">
        <v>11</v>
      </c>
      <c r="X896">
        <v>4</v>
      </c>
      <c r="Y896">
        <v>10</v>
      </c>
      <c r="Z896">
        <v>25</v>
      </c>
      <c r="AA896">
        <v>5</v>
      </c>
      <c r="AB896" t="str">
        <f t="shared" si="41"/>
        <v>Below average customer</v>
      </c>
    </row>
    <row r="897" spans="1:28" x14ac:dyDescent="0.35">
      <c r="A897">
        <v>5871</v>
      </c>
      <c r="B897">
        <v>1979</v>
      </c>
      <c r="C897" t="s">
        <v>31</v>
      </c>
      <c r="D897" t="s">
        <v>34</v>
      </c>
      <c r="E897" t="s">
        <v>29</v>
      </c>
      <c r="F897">
        <v>24401</v>
      </c>
      <c r="G897" t="str">
        <f t="shared" si="39"/>
        <v>Low</v>
      </c>
      <c r="H897">
        <v>0</v>
      </c>
      <c r="I897">
        <v>0</v>
      </c>
      <c r="J897">
        <v>0</v>
      </c>
      <c r="K897" s="1">
        <v>41152</v>
      </c>
      <c r="L897">
        <v>98</v>
      </c>
      <c r="M897" t="str">
        <f t="shared" si="40"/>
        <v>Inactive</v>
      </c>
      <c r="N897">
        <v>0</v>
      </c>
      <c r="O897">
        <v>73</v>
      </c>
      <c r="P897">
        <v>28</v>
      </c>
      <c r="Q897">
        <v>217</v>
      </c>
      <c r="R897">
        <v>10</v>
      </c>
      <c r="S897">
        <v>24</v>
      </c>
      <c r="T897">
        <v>115</v>
      </c>
      <c r="U897">
        <v>467</v>
      </c>
      <c r="V897">
        <v>3</v>
      </c>
      <c r="W897">
        <v>6</v>
      </c>
      <c r="X897">
        <v>1</v>
      </c>
      <c r="Y897">
        <v>6</v>
      </c>
      <c r="Z897">
        <v>13</v>
      </c>
      <c r="AA897">
        <v>8</v>
      </c>
      <c r="AB897" t="str">
        <f t="shared" si="41"/>
        <v>Below average customer</v>
      </c>
    </row>
    <row r="898" spans="1:28" x14ac:dyDescent="0.35">
      <c r="A898">
        <v>2008</v>
      </c>
      <c r="B898">
        <v>1978</v>
      </c>
      <c r="C898" t="s">
        <v>31</v>
      </c>
      <c r="D898" t="s">
        <v>26</v>
      </c>
      <c r="E898" t="s">
        <v>33</v>
      </c>
      <c r="F898">
        <v>77583</v>
      </c>
      <c r="G898" t="str">
        <f t="shared" ref="G898:G961" si="42">IF(F898&lt;=_xlfn.PERCENTILE.INC($F$2:$F$2056,0.25),"Low",IF(F898&lt;=_xlfn.PERCENTILE.INC($F$2:$F$2056,0.5),"Mid-low",IF(F898&lt;=_xlfn.PERCENTILE.INC($F$2:$F$2056,0.75),"Mid-high","High")))</f>
        <v>High</v>
      </c>
      <c r="H898">
        <v>0</v>
      </c>
      <c r="I898">
        <v>0</v>
      </c>
      <c r="J898">
        <v>0</v>
      </c>
      <c r="K898" s="1">
        <v>41680</v>
      </c>
      <c r="L898">
        <v>93</v>
      </c>
      <c r="M898" t="str">
        <f t="shared" ref="M898:M961" si="43">IF(L898&gt;AVERAGE($L$2:$L$2056),"Inactive","Active")</f>
        <v>Inactive</v>
      </c>
      <c r="N898">
        <v>0</v>
      </c>
      <c r="O898">
        <v>372</v>
      </c>
      <c r="P898">
        <v>23</v>
      </c>
      <c r="Q898">
        <v>384</v>
      </c>
      <c r="R898">
        <v>250</v>
      </c>
      <c r="S898">
        <v>12</v>
      </c>
      <c r="T898">
        <v>108</v>
      </c>
      <c r="U898">
        <v>1149</v>
      </c>
      <c r="V898">
        <v>1</v>
      </c>
      <c r="W898">
        <v>4</v>
      </c>
      <c r="X898">
        <v>5</v>
      </c>
      <c r="Y898">
        <v>9</v>
      </c>
      <c r="Z898">
        <v>18</v>
      </c>
      <c r="AA898">
        <v>2</v>
      </c>
      <c r="AB898" t="str">
        <f t="shared" ref="AB898:AB961" si="44">IF(AND(Z898&gt;AVERAGE($Z$2:$Z$2056),U898&gt;AVERAGE($U$2:$U$2056),N898=0,L898&lt;AVERAGE($L$2:$L$2056),F898&gt;AVERAGE($F$2:$F$2240)),"Above average customer","Below average customer")</f>
        <v>Below average customer</v>
      </c>
    </row>
    <row r="899" spans="1:28" x14ac:dyDescent="0.35">
      <c r="A899">
        <v>3139</v>
      </c>
      <c r="B899">
        <v>1982</v>
      </c>
      <c r="C899" t="s">
        <v>31</v>
      </c>
      <c r="D899" t="s">
        <v>34</v>
      </c>
      <c r="E899" t="s">
        <v>27</v>
      </c>
      <c r="F899">
        <v>74116</v>
      </c>
      <c r="G899" t="str">
        <f t="shared" si="42"/>
        <v>High</v>
      </c>
      <c r="H899">
        <v>0</v>
      </c>
      <c r="I899">
        <v>0</v>
      </c>
      <c r="J899">
        <v>0</v>
      </c>
      <c r="K899" s="1">
        <v>41638</v>
      </c>
      <c r="L899">
        <v>53</v>
      </c>
      <c r="M899" t="str">
        <f t="shared" si="43"/>
        <v>Inactive</v>
      </c>
      <c r="N899">
        <v>0</v>
      </c>
      <c r="O899">
        <v>871</v>
      </c>
      <c r="P899">
        <v>111</v>
      </c>
      <c r="Q899">
        <v>704</v>
      </c>
      <c r="R899">
        <v>145</v>
      </c>
      <c r="S899">
        <v>55</v>
      </c>
      <c r="T899">
        <v>166</v>
      </c>
      <c r="U899">
        <v>2052</v>
      </c>
      <c r="V899">
        <v>1</v>
      </c>
      <c r="W899">
        <v>4</v>
      </c>
      <c r="X899">
        <v>4</v>
      </c>
      <c r="Y899">
        <v>10</v>
      </c>
      <c r="Z899">
        <v>18</v>
      </c>
      <c r="AA899">
        <v>2</v>
      </c>
      <c r="AB899" t="str">
        <f t="shared" si="44"/>
        <v>Below average customer</v>
      </c>
    </row>
    <row r="900" spans="1:28" x14ac:dyDescent="0.35">
      <c r="A900">
        <v>10673</v>
      </c>
      <c r="B900">
        <v>1976</v>
      </c>
      <c r="C900" t="s">
        <v>31</v>
      </c>
      <c r="D900" t="s">
        <v>32</v>
      </c>
      <c r="E900" t="s">
        <v>33</v>
      </c>
      <c r="F900">
        <v>68397</v>
      </c>
      <c r="G900" t="str">
        <f t="shared" si="42"/>
        <v>Mid-high</v>
      </c>
      <c r="H900">
        <v>0</v>
      </c>
      <c r="I900">
        <v>1</v>
      </c>
      <c r="J900">
        <v>1</v>
      </c>
      <c r="K900" s="1">
        <v>41595</v>
      </c>
      <c r="L900">
        <v>6</v>
      </c>
      <c r="M900" t="str">
        <f t="shared" si="43"/>
        <v>Active</v>
      </c>
      <c r="N900">
        <v>0</v>
      </c>
      <c r="O900">
        <v>760</v>
      </c>
      <c r="P900">
        <v>80</v>
      </c>
      <c r="Q900">
        <v>466</v>
      </c>
      <c r="R900">
        <v>17</v>
      </c>
      <c r="S900">
        <v>13</v>
      </c>
      <c r="T900">
        <v>80</v>
      </c>
      <c r="U900">
        <v>1416</v>
      </c>
      <c r="V900">
        <v>1</v>
      </c>
      <c r="W900">
        <v>6</v>
      </c>
      <c r="X900">
        <v>9</v>
      </c>
      <c r="Y900">
        <v>5</v>
      </c>
      <c r="Z900">
        <v>20</v>
      </c>
      <c r="AA900">
        <v>3</v>
      </c>
      <c r="AB900" t="str">
        <f t="shared" si="44"/>
        <v>Above average customer</v>
      </c>
    </row>
    <row r="901" spans="1:28" x14ac:dyDescent="0.35">
      <c r="A901">
        <v>5303</v>
      </c>
      <c r="B901">
        <v>1974</v>
      </c>
      <c r="C901" t="s">
        <v>31</v>
      </c>
      <c r="D901" t="s">
        <v>32</v>
      </c>
      <c r="E901" t="s">
        <v>29</v>
      </c>
      <c r="F901">
        <v>79632</v>
      </c>
      <c r="G901" t="str">
        <f t="shared" si="42"/>
        <v>High</v>
      </c>
      <c r="H901">
        <v>0</v>
      </c>
      <c r="I901">
        <v>0</v>
      </c>
      <c r="J901">
        <v>0</v>
      </c>
      <c r="K901" s="1">
        <v>41737</v>
      </c>
      <c r="L901">
        <v>42</v>
      </c>
      <c r="M901" t="str">
        <f t="shared" si="43"/>
        <v>Active</v>
      </c>
      <c r="N901">
        <v>0</v>
      </c>
      <c r="O901">
        <v>471</v>
      </c>
      <c r="P901">
        <v>0</v>
      </c>
      <c r="Q901">
        <v>510</v>
      </c>
      <c r="R901">
        <v>99</v>
      </c>
      <c r="S901">
        <v>21</v>
      </c>
      <c r="T901">
        <v>12</v>
      </c>
      <c r="U901">
        <v>1113</v>
      </c>
      <c r="V901">
        <v>1</v>
      </c>
      <c r="W901">
        <v>6</v>
      </c>
      <c r="X901">
        <v>4</v>
      </c>
      <c r="Y901">
        <v>9</v>
      </c>
      <c r="Z901">
        <v>19</v>
      </c>
      <c r="AA901">
        <v>2</v>
      </c>
      <c r="AB901" t="str">
        <f t="shared" si="44"/>
        <v>Above average customer</v>
      </c>
    </row>
    <row r="902" spans="1:28" x14ac:dyDescent="0.35">
      <c r="A902">
        <v>538</v>
      </c>
      <c r="B902">
        <v>1989</v>
      </c>
      <c r="C902" t="s">
        <v>30</v>
      </c>
      <c r="D902" t="s">
        <v>26</v>
      </c>
      <c r="E902" t="s">
        <v>27</v>
      </c>
      <c r="F902">
        <v>46107</v>
      </c>
      <c r="G902" t="str">
        <f t="shared" si="42"/>
        <v>Mid-low</v>
      </c>
      <c r="H902">
        <v>1</v>
      </c>
      <c r="I902">
        <v>0</v>
      </c>
      <c r="J902">
        <v>1</v>
      </c>
      <c r="K902" s="1">
        <v>41680</v>
      </c>
      <c r="L902">
        <v>78</v>
      </c>
      <c r="M902" t="str">
        <f t="shared" si="43"/>
        <v>Inactive</v>
      </c>
      <c r="N902">
        <v>0</v>
      </c>
      <c r="O902">
        <v>31</v>
      </c>
      <c r="P902">
        <v>9</v>
      </c>
      <c r="Q902">
        <v>27</v>
      </c>
      <c r="R902">
        <v>16</v>
      </c>
      <c r="S902">
        <v>9</v>
      </c>
      <c r="T902">
        <v>33</v>
      </c>
      <c r="U902">
        <v>125</v>
      </c>
      <c r="V902">
        <v>1</v>
      </c>
      <c r="W902">
        <v>1</v>
      </c>
      <c r="X902">
        <v>1</v>
      </c>
      <c r="Y902">
        <v>4</v>
      </c>
      <c r="Z902">
        <v>6</v>
      </c>
      <c r="AA902">
        <v>3</v>
      </c>
      <c r="AB902" t="str">
        <f t="shared" si="44"/>
        <v>Below average customer</v>
      </c>
    </row>
    <row r="903" spans="1:28" x14ac:dyDescent="0.35">
      <c r="A903">
        <v>7922</v>
      </c>
      <c r="B903">
        <v>1951</v>
      </c>
      <c r="C903" t="s">
        <v>36</v>
      </c>
      <c r="D903" t="s">
        <v>32</v>
      </c>
      <c r="E903" t="s">
        <v>27</v>
      </c>
      <c r="F903">
        <v>64950</v>
      </c>
      <c r="G903" t="str">
        <f t="shared" si="42"/>
        <v>Mid-high</v>
      </c>
      <c r="H903">
        <v>0</v>
      </c>
      <c r="I903">
        <v>1</v>
      </c>
      <c r="J903">
        <v>1</v>
      </c>
      <c r="K903" s="1">
        <v>41133</v>
      </c>
      <c r="L903">
        <v>29</v>
      </c>
      <c r="M903" t="str">
        <f t="shared" si="43"/>
        <v>Active</v>
      </c>
      <c r="N903">
        <v>0</v>
      </c>
      <c r="O903">
        <v>819</v>
      </c>
      <c r="P903">
        <v>0</v>
      </c>
      <c r="Q903">
        <v>72</v>
      </c>
      <c r="R903">
        <v>12</v>
      </c>
      <c r="S903">
        <v>0</v>
      </c>
      <c r="T903">
        <v>63</v>
      </c>
      <c r="U903">
        <v>966</v>
      </c>
      <c r="V903">
        <v>2</v>
      </c>
      <c r="W903">
        <v>11</v>
      </c>
      <c r="X903">
        <v>2</v>
      </c>
      <c r="Y903">
        <v>10</v>
      </c>
      <c r="Z903">
        <v>23</v>
      </c>
      <c r="AA903">
        <v>7</v>
      </c>
      <c r="AB903" t="str">
        <f t="shared" si="44"/>
        <v>Above average customer</v>
      </c>
    </row>
    <row r="904" spans="1:28" x14ac:dyDescent="0.35">
      <c r="A904">
        <v>5692</v>
      </c>
      <c r="B904">
        <v>1989</v>
      </c>
      <c r="C904" t="s">
        <v>30</v>
      </c>
      <c r="D904" t="s">
        <v>37</v>
      </c>
      <c r="E904" t="s">
        <v>33</v>
      </c>
      <c r="F904">
        <v>25443</v>
      </c>
      <c r="G904" t="str">
        <f t="shared" si="42"/>
        <v>Low</v>
      </c>
      <c r="H904">
        <v>1</v>
      </c>
      <c r="I904">
        <v>0</v>
      </c>
      <c r="J904">
        <v>1</v>
      </c>
      <c r="K904" s="1">
        <v>41265</v>
      </c>
      <c r="L904">
        <v>82</v>
      </c>
      <c r="M904" t="str">
        <f t="shared" si="43"/>
        <v>Inactive</v>
      </c>
      <c r="N904">
        <v>0</v>
      </c>
      <c r="O904">
        <v>1</v>
      </c>
      <c r="P904">
        <v>4</v>
      </c>
      <c r="Q904">
        <v>3</v>
      </c>
      <c r="R904">
        <v>8</v>
      </c>
      <c r="S904">
        <v>9</v>
      </c>
      <c r="T904">
        <v>7</v>
      </c>
      <c r="U904">
        <v>32</v>
      </c>
      <c r="V904">
        <v>1</v>
      </c>
      <c r="W904">
        <v>1</v>
      </c>
      <c r="X904">
        <v>0</v>
      </c>
      <c r="Y904">
        <v>3</v>
      </c>
      <c r="Z904">
        <v>4</v>
      </c>
      <c r="AA904">
        <v>8</v>
      </c>
      <c r="AB904" t="str">
        <f t="shared" si="44"/>
        <v>Below average customer</v>
      </c>
    </row>
    <row r="905" spans="1:28" x14ac:dyDescent="0.35">
      <c r="A905">
        <v>6383</v>
      </c>
      <c r="B905">
        <v>1971</v>
      </c>
      <c r="C905" t="s">
        <v>28</v>
      </c>
      <c r="D905" t="s">
        <v>32</v>
      </c>
      <c r="E905" t="s">
        <v>29</v>
      </c>
      <c r="F905">
        <v>32892</v>
      </c>
      <c r="G905" t="str">
        <f t="shared" si="42"/>
        <v>Low</v>
      </c>
      <c r="H905">
        <v>1</v>
      </c>
      <c r="I905">
        <v>0</v>
      </c>
      <c r="J905">
        <v>1</v>
      </c>
      <c r="K905" s="1">
        <v>41784</v>
      </c>
      <c r="L905">
        <v>78</v>
      </c>
      <c r="M905" t="str">
        <f t="shared" si="43"/>
        <v>Inactive</v>
      </c>
      <c r="N905">
        <v>0</v>
      </c>
      <c r="O905">
        <v>26</v>
      </c>
      <c r="P905">
        <v>0</v>
      </c>
      <c r="Q905">
        <v>15</v>
      </c>
      <c r="R905">
        <v>2</v>
      </c>
      <c r="S905">
        <v>1</v>
      </c>
      <c r="T905">
        <v>2</v>
      </c>
      <c r="U905">
        <v>46</v>
      </c>
      <c r="V905">
        <v>2</v>
      </c>
      <c r="W905">
        <v>3</v>
      </c>
      <c r="X905">
        <v>0</v>
      </c>
      <c r="Y905">
        <v>3</v>
      </c>
      <c r="Z905">
        <v>6</v>
      </c>
      <c r="AA905">
        <v>8</v>
      </c>
      <c r="AB905" t="str">
        <f t="shared" si="44"/>
        <v>Below average customer</v>
      </c>
    </row>
    <row r="906" spans="1:28" x14ac:dyDescent="0.35">
      <c r="A906">
        <v>1628</v>
      </c>
      <c r="B906">
        <v>1971</v>
      </c>
      <c r="C906" t="s">
        <v>28</v>
      </c>
      <c r="D906" t="s">
        <v>26</v>
      </c>
      <c r="E906" t="s">
        <v>29</v>
      </c>
      <c r="F906">
        <v>71796</v>
      </c>
      <c r="G906" t="str">
        <f t="shared" si="42"/>
        <v>High</v>
      </c>
      <c r="H906">
        <v>0</v>
      </c>
      <c r="I906">
        <v>0</v>
      </c>
      <c r="J906">
        <v>0</v>
      </c>
      <c r="K906" s="1">
        <v>41571</v>
      </c>
      <c r="L906">
        <v>54</v>
      </c>
      <c r="M906" t="str">
        <f t="shared" si="43"/>
        <v>Inactive</v>
      </c>
      <c r="N906">
        <v>0</v>
      </c>
      <c r="O906">
        <v>354</v>
      </c>
      <c r="P906">
        <v>21</v>
      </c>
      <c r="Q906">
        <v>311</v>
      </c>
      <c r="R906">
        <v>167</v>
      </c>
      <c r="S906">
        <v>75</v>
      </c>
      <c r="T906">
        <v>32</v>
      </c>
      <c r="U906">
        <v>960</v>
      </c>
      <c r="V906">
        <v>1</v>
      </c>
      <c r="W906">
        <v>9</v>
      </c>
      <c r="X906">
        <v>3</v>
      </c>
      <c r="Y906">
        <v>4</v>
      </c>
      <c r="Z906">
        <v>16</v>
      </c>
      <c r="AA906">
        <v>4</v>
      </c>
      <c r="AB906" t="str">
        <f t="shared" si="44"/>
        <v>Below average customer</v>
      </c>
    </row>
    <row r="907" spans="1:28" x14ac:dyDescent="0.35">
      <c r="A907">
        <v>1204</v>
      </c>
      <c r="B907">
        <v>1970</v>
      </c>
      <c r="C907" t="s">
        <v>28</v>
      </c>
      <c r="D907" t="s">
        <v>32</v>
      </c>
      <c r="E907" t="s">
        <v>33</v>
      </c>
      <c r="F907">
        <v>67536</v>
      </c>
      <c r="G907" t="str">
        <f t="shared" si="42"/>
        <v>Mid-high</v>
      </c>
      <c r="H907">
        <v>0</v>
      </c>
      <c r="I907">
        <v>1</v>
      </c>
      <c r="J907">
        <v>1</v>
      </c>
      <c r="K907" s="1">
        <v>41416</v>
      </c>
      <c r="L907">
        <v>45</v>
      </c>
      <c r="M907" t="str">
        <f t="shared" si="43"/>
        <v>Active</v>
      </c>
      <c r="N907">
        <v>0</v>
      </c>
      <c r="O907">
        <v>1253</v>
      </c>
      <c r="P907">
        <v>0</v>
      </c>
      <c r="Q907">
        <v>447</v>
      </c>
      <c r="R907">
        <v>23</v>
      </c>
      <c r="S907">
        <v>71</v>
      </c>
      <c r="T907">
        <v>35</v>
      </c>
      <c r="U907">
        <v>1829</v>
      </c>
      <c r="V907">
        <v>3</v>
      </c>
      <c r="W907">
        <v>11</v>
      </c>
      <c r="X907">
        <v>5</v>
      </c>
      <c r="Y907">
        <v>11</v>
      </c>
      <c r="Z907">
        <v>27</v>
      </c>
      <c r="AA907">
        <v>8</v>
      </c>
      <c r="AB907" t="str">
        <f t="shared" si="44"/>
        <v>Above average customer</v>
      </c>
    </row>
    <row r="908" spans="1:28" x14ac:dyDescent="0.35">
      <c r="A908">
        <v>3673</v>
      </c>
      <c r="B908">
        <v>1971</v>
      </c>
      <c r="C908" t="s">
        <v>28</v>
      </c>
      <c r="D908" t="s">
        <v>26</v>
      </c>
      <c r="E908" t="s">
        <v>27</v>
      </c>
      <c r="F908">
        <v>55239</v>
      </c>
      <c r="G908" t="str">
        <f t="shared" si="42"/>
        <v>Mid-high</v>
      </c>
      <c r="H908">
        <v>0</v>
      </c>
      <c r="I908">
        <v>1</v>
      </c>
      <c r="J908">
        <v>1</v>
      </c>
      <c r="K908" s="1">
        <v>41469</v>
      </c>
      <c r="L908">
        <v>59</v>
      </c>
      <c r="M908" t="str">
        <f t="shared" si="43"/>
        <v>Inactive</v>
      </c>
      <c r="N908">
        <v>0</v>
      </c>
      <c r="O908">
        <v>371</v>
      </c>
      <c r="P908">
        <v>17</v>
      </c>
      <c r="Q908">
        <v>238</v>
      </c>
      <c r="R908">
        <v>23</v>
      </c>
      <c r="S908">
        <v>24</v>
      </c>
      <c r="T908">
        <v>106</v>
      </c>
      <c r="U908">
        <v>779</v>
      </c>
      <c r="V908">
        <v>3</v>
      </c>
      <c r="W908">
        <v>7</v>
      </c>
      <c r="X908">
        <v>5</v>
      </c>
      <c r="Y908">
        <v>11</v>
      </c>
      <c r="Z908">
        <v>23</v>
      </c>
      <c r="AA908">
        <v>5</v>
      </c>
      <c r="AB908" t="str">
        <f t="shared" si="44"/>
        <v>Below average customer</v>
      </c>
    </row>
    <row r="909" spans="1:28" x14ac:dyDescent="0.35">
      <c r="A909">
        <v>760</v>
      </c>
      <c r="B909">
        <v>1975</v>
      </c>
      <c r="C909" t="s">
        <v>31</v>
      </c>
      <c r="D909" t="s">
        <v>32</v>
      </c>
      <c r="E909" t="s">
        <v>35</v>
      </c>
      <c r="F909">
        <v>60554</v>
      </c>
      <c r="G909" t="str">
        <f t="shared" si="42"/>
        <v>Mid-high</v>
      </c>
      <c r="H909">
        <v>1</v>
      </c>
      <c r="I909">
        <v>0</v>
      </c>
      <c r="J909">
        <v>1</v>
      </c>
      <c r="K909" s="1">
        <v>41495</v>
      </c>
      <c r="L909">
        <v>8</v>
      </c>
      <c r="M909" t="str">
        <f t="shared" si="43"/>
        <v>Active</v>
      </c>
      <c r="N909">
        <v>0</v>
      </c>
      <c r="O909">
        <v>588</v>
      </c>
      <c r="P909">
        <v>7</v>
      </c>
      <c r="Q909">
        <v>76</v>
      </c>
      <c r="R909">
        <v>110</v>
      </c>
      <c r="S909">
        <v>15</v>
      </c>
      <c r="T909">
        <v>15</v>
      </c>
      <c r="U909">
        <v>811</v>
      </c>
      <c r="V909">
        <v>2</v>
      </c>
      <c r="W909">
        <v>8</v>
      </c>
      <c r="X909">
        <v>4</v>
      </c>
      <c r="Y909">
        <v>9</v>
      </c>
      <c r="Z909">
        <v>21</v>
      </c>
      <c r="AA909">
        <v>6</v>
      </c>
      <c r="AB909" t="str">
        <f t="shared" si="44"/>
        <v>Above average customer</v>
      </c>
    </row>
    <row r="910" spans="1:28" x14ac:dyDescent="0.35">
      <c r="A910">
        <v>8957</v>
      </c>
      <c r="B910">
        <v>1952</v>
      </c>
      <c r="C910" t="s">
        <v>36</v>
      </c>
      <c r="D910" t="s">
        <v>34</v>
      </c>
      <c r="E910" t="s">
        <v>27</v>
      </c>
      <c r="F910">
        <v>64831</v>
      </c>
      <c r="G910" t="str">
        <f t="shared" si="42"/>
        <v>Mid-high</v>
      </c>
      <c r="H910">
        <v>1</v>
      </c>
      <c r="I910">
        <v>1</v>
      </c>
      <c r="J910">
        <v>2</v>
      </c>
      <c r="K910" s="1">
        <v>41435</v>
      </c>
      <c r="L910">
        <v>51</v>
      </c>
      <c r="M910" t="str">
        <f t="shared" si="43"/>
        <v>Inactive</v>
      </c>
      <c r="N910">
        <v>0</v>
      </c>
      <c r="O910">
        <v>480</v>
      </c>
      <c r="P910">
        <v>86</v>
      </c>
      <c r="Q910">
        <v>249</v>
      </c>
      <c r="R910">
        <v>75</v>
      </c>
      <c r="S910">
        <v>86</v>
      </c>
      <c r="T910">
        <v>144</v>
      </c>
      <c r="U910">
        <v>1120</v>
      </c>
      <c r="V910">
        <v>8</v>
      </c>
      <c r="W910">
        <v>6</v>
      </c>
      <c r="X910">
        <v>3</v>
      </c>
      <c r="Y910">
        <v>5</v>
      </c>
      <c r="Z910">
        <v>14</v>
      </c>
      <c r="AA910">
        <v>6</v>
      </c>
      <c r="AB910" t="str">
        <f t="shared" si="44"/>
        <v>Below average customer</v>
      </c>
    </row>
    <row r="911" spans="1:28" x14ac:dyDescent="0.35">
      <c r="A911">
        <v>4128</v>
      </c>
      <c r="B911">
        <v>1962</v>
      </c>
      <c r="C911" t="s">
        <v>25</v>
      </c>
      <c r="D911" t="s">
        <v>32</v>
      </c>
      <c r="E911" t="s">
        <v>29</v>
      </c>
      <c r="F911">
        <v>56067</v>
      </c>
      <c r="G911" t="str">
        <f t="shared" si="42"/>
        <v>Mid-high</v>
      </c>
      <c r="H911">
        <v>0</v>
      </c>
      <c r="I911">
        <v>1</v>
      </c>
      <c r="J911">
        <v>1</v>
      </c>
      <c r="K911" s="1">
        <v>41475</v>
      </c>
      <c r="L911">
        <v>51</v>
      </c>
      <c r="M911" t="str">
        <f t="shared" si="43"/>
        <v>Inactive</v>
      </c>
      <c r="N911">
        <v>0</v>
      </c>
      <c r="O911">
        <v>517</v>
      </c>
      <c r="P911">
        <v>12</v>
      </c>
      <c r="Q911">
        <v>54</v>
      </c>
      <c r="R911">
        <v>16</v>
      </c>
      <c r="S911">
        <v>6</v>
      </c>
      <c r="T911">
        <v>120</v>
      </c>
      <c r="U911">
        <v>725</v>
      </c>
      <c r="V911">
        <v>2</v>
      </c>
      <c r="W911">
        <v>7</v>
      </c>
      <c r="X911">
        <v>4</v>
      </c>
      <c r="Y911">
        <v>7</v>
      </c>
      <c r="Z911">
        <v>18</v>
      </c>
      <c r="AA911">
        <v>5</v>
      </c>
      <c r="AB911" t="str">
        <f t="shared" si="44"/>
        <v>Below average customer</v>
      </c>
    </row>
    <row r="912" spans="1:28" x14ac:dyDescent="0.35">
      <c r="A912">
        <v>6810</v>
      </c>
      <c r="B912">
        <v>1983</v>
      </c>
      <c r="C912" t="s">
        <v>30</v>
      </c>
      <c r="D912" t="s">
        <v>26</v>
      </c>
      <c r="E912" t="s">
        <v>35</v>
      </c>
      <c r="F912">
        <v>82025</v>
      </c>
      <c r="G912" t="str">
        <f t="shared" si="42"/>
        <v>High</v>
      </c>
      <c r="H912">
        <v>0</v>
      </c>
      <c r="I912">
        <v>0</v>
      </c>
      <c r="J912">
        <v>0</v>
      </c>
      <c r="K912" s="1">
        <v>41422</v>
      </c>
      <c r="L912">
        <v>76</v>
      </c>
      <c r="M912" t="str">
        <f t="shared" si="43"/>
        <v>Inactive</v>
      </c>
      <c r="N912">
        <v>0</v>
      </c>
      <c r="O912">
        <v>267</v>
      </c>
      <c r="P912">
        <v>98</v>
      </c>
      <c r="Q912">
        <v>606</v>
      </c>
      <c r="R912">
        <v>48</v>
      </c>
      <c r="S912">
        <v>70</v>
      </c>
      <c r="T912">
        <v>98</v>
      </c>
      <c r="U912">
        <v>1187</v>
      </c>
      <c r="V912">
        <v>1</v>
      </c>
      <c r="W912">
        <v>3</v>
      </c>
      <c r="X912">
        <v>2</v>
      </c>
      <c r="Y912">
        <v>6</v>
      </c>
      <c r="Z912">
        <v>11</v>
      </c>
      <c r="AA912">
        <v>1</v>
      </c>
      <c r="AB912" t="str">
        <f t="shared" si="44"/>
        <v>Below average customer</v>
      </c>
    </row>
    <row r="913" spans="1:28" x14ac:dyDescent="0.35">
      <c r="A913">
        <v>5386</v>
      </c>
      <c r="B913">
        <v>1953</v>
      </c>
      <c r="C913" t="s">
        <v>25</v>
      </c>
      <c r="D913" t="s">
        <v>26</v>
      </c>
      <c r="E913" t="s">
        <v>29</v>
      </c>
      <c r="F913">
        <v>94384</v>
      </c>
      <c r="G913" t="str">
        <f t="shared" si="42"/>
        <v>High</v>
      </c>
      <c r="H913">
        <v>0</v>
      </c>
      <c r="I913">
        <v>0</v>
      </c>
      <c r="J913">
        <v>0</v>
      </c>
      <c r="K913" s="1">
        <v>41337</v>
      </c>
      <c r="L913">
        <v>62</v>
      </c>
      <c r="M913" t="str">
        <f t="shared" si="43"/>
        <v>Inactive</v>
      </c>
      <c r="N913">
        <v>0</v>
      </c>
      <c r="O913">
        <v>1111</v>
      </c>
      <c r="P913">
        <v>24</v>
      </c>
      <c r="Q913">
        <v>790</v>
      </c>
      <c r="R913">
        <v>160</v>
      </c>
      <c r="S913">
        <v>45</v>
      </c>
      <c r="T913">
        <v>172</v>
      </c>
      <c r="U913">
        <v>2302</v>
      </c>
      <c r="V913">
        <v>0</v>
      </c>
      <c r="W913">
        <v>5</v>
      </c>
      <c r="X913">
        <v>8</v>
      </c>
      <c r="Y913">
        <v>5</v>
      </c>
      <c r="Z913">
        <v>18</v>
      </c>
      <c r="AA913">
        <v>2</v>
      </c>
      <c r="AB913" t="str">
        <f t="shared" si="44"/>
        <v>Below average customer</v>
      </c>
    </row>
    <row r="914" spans="1:28" x14ac:dyDescent="0.35">
      <c r="A914">
        <v>8700</v>
      </c>
      <c r="B914">
        <v>1986</v>
      </c>
      <c r="C914" t="s">
        <v>30</v>
      </c>
      <c r="D914" t="s">
        <v>37</v>
      </c>
      <c r="E914" t="s">
        <v>27</v>
      </c>
      <c r="F914">
        <v>14906</v>
      </c>
      <c r="G914" t="str">
        <f t="shared" si="42"/>
        <v>Low</v>
      </c>
      <c r="H914">
        <v>0</v>
      </c>
      <c r="I914">
        <v>0</v>
      </c>
      <c r="J914">
        <v>0</v>
      </c>
      <c r="K914" s="1">
        <v>41265</v>
      </c>
      <c r="L914">
        <v>86</v>
      </c>
      <c r="M914" t="str">
        <f t="shared" si="43"/>
        <v>Inactive</v>
      </c>
      <c r="N914">
        <v>0</v>
      </c>
      <c r="O914">
        <v>7</v>
      </c>
      <c r="P914">
        <v>7</v>
      </c>
      <c r="Q914">
        <v>14</v>
      </c>
      <c r="R914">
        <v>7</v>
      </c>
      <c r="S914">
        <v>16</v>
      </c>
      <c r="T914">
        <v>15</v>
      </c>
      <c r="U914">
        <v>66</v>
      </c>
      <c r="V914">
        <v>3</v>
      </c>
      <c r="W914">
        <v>2</v>
      </c>
      <c r="X914">
        <v>1</v>
      </c>
      <c r="Y914">
        <v>3</v>
      </c>
      <c r="Z914">
        <v>6</v>
      </c>
      <c r="AA914">
        <v>7</v>
      </c>
      <c r="AB914" t="str">
        <f t="shared" si="44"/>
        <v>Below average customer</v>
      </c>
    </row>
    <row r="915" spans="1:28" x14ac:dyDescent="0.35">
      <c r="A915">
        <v>3202</v>
      </c>
      <c r="B915">
        <v>1987</v>
      </c>
      <c r="C915" t="s">
        <v>30</v>
      </c>
      <c r="D915" t="s">
        <v>32</v>
      </c>
      <c r="E915" t="s">
        <v>33</v>
      </c>
      <c r="F915">
        <v>51563</v>
      </c>
      <c r="G915" t="str">
        <f t="shared" si="42"/>
        <v>Mid-high</v>
      </c>
      <c r="H915">
        <v>0</v>
      </c>
      <c r="I915">
        <v>0</v>
      </c>
      <c r="J915">
        <v>0</v>
      </c>
      <c r="K915" s="1">
        <v>41183</v>
      </c>
      <c r="L915">
        <v>60</v>
      </c>
      <c r="M915" t="str">
        <f t="shared" si="43"/>
        <v>Inactive</v>
      </c>
      <c r="N915">
        <v>0</v>
      </c>
      <c r="O915">
        <v>1166</v>
      </c>
      <c r="P915">
        <v>0</v>
      </c>
      <c r="Q915">
        <v>48</v>
      </c>
      <c r="R915">
        <v>0</v>
      </c>
      <c r="S915">
        <v>0</v>
      </c>
      <c r="T915">
        <v>36</v>
      </c>
      <c r="U915">
        <v>1250</v>
      </c>
      <c r="V915">
        <v>1</v>
      </c>
      <c r="W915">
        <v>4</v>
      </c>
      <c r="X915">
        <v>4</v>
      </c>
      <c r="Y915">
        <v>10</v>
      </c>
      <c r="Z915">
        <v>18</v>
      </c>
      <c r="AA915">
        <v>8</v>
      </c>
      <c r="AB915" t="str">
        <f t="shared" si="44"/>
        <v>Below average customer</v>
      </c>
    </row>
    <row r="916" spans="1:28" x14ac:dyDescent="0.35">
      <c r="A916">
        <v>1328</v>
      </c>
      <c r="B916">
        <v>1982</v>
      </c>
      <c r="C916" t="s">
        <v>31</v>
      </c>
      <c r="D916" t="s">
        <v>34</v>
      </c>
      <c r="E916" t="s">
        <v>33</v>
      </c>
      <c r="F916">
        <v>57937</v>
      </c>
      <c r="G916" t="str">
        <f t="shared" si="42"/>
        <v>Mid-high</v>
      </c>
      <c r="H916">
        <v>0</v>
      </c>
      <c r="I916">
        <v>1</v>
      </c>
      <c r="J916">
        <v>1</v>
      </c>
      <c r="K916" s="1">
        <v>41686</v>
      </c>
      <c r="L916">
        <v>56</v>
      </c>
      <c r="M916" t="str">
        <f t="shared" si="43"/>
        <v>Inactive</v>
      </c>
      <c r="N916">
        <v>0</v>
      </c>
      <c r="O916">
        <v>261</v>
      </c>
      <c r="P916">
        <v>42</v>
      </c>
      <c r="Q916">
        <v>144</v>
      </c>
      <c r="R916">
        <v>55</v>
      </c>
      <c r="S916">
        <v>48</v>
      </c>
      <c r="T916">
        <v>133</v>
      </c>
      <c r="U916">
        <v>683</v>
      </c>
      <c r="V916">
        <v>3</v>
      </c>
      <c r="W916">
        <v>4</v>
      </c>
      <c r="X916">
        <v>4</v>
      </c>
      <c r="Y916">
        <v>9</v>
      </c>
      <c r="Z916">
        <v>17</v>
      </c>
      <c r="AA916">
        <v>3</v>
      </c>
      <c r="AB916" t="str">
        <f t="shared" si="44"/>
        <v>Below average customer</v>
      </c>
    </row>
    <row r="917" spans="1:28" x14ac:dyDescent="0.35">
      <c r="A917">
        <v>8405</v>
      </c>
      <c r="B917">
        <v>1979</v>
      </c>
      <c r="C917" t="s">
        <v>31</v>
      </c>
      <c r="D917" t="s">
        <v>26</v>
      </c>
      <c r="E917" t="s">
        <v>35</v>
      </c>
      <c r="F917">
        <v>68274</v>
      </c>
      <c r="G917" t="str">
        <f t="shared" si="42"/>
        <v>Mid-high</v>
      </c>
      <c r="H917">
        <v>1</v>
      </c>
      <c r="I917">
        <v>1</v>
      </c>
      <c r="J917">
        <v>2</v>
      </c>
      <c r="K917" s="1">
        <v>41547</v>
      </c>
      <c r="L917">
        <v>83</v>
      </c>
      <c r="M917" t="str">
        <f t="shared" si="43"/>
        <v>Inactive</v>
      </c>
      <c r="N917">
        <v>0</v>
      </c>
      <c r="O917">
        <v>135</v>
      </c>
      <c r="P917">
        <v>25</v>
      </c>
      <c r="Q917">
        <v>51</v>
      </c>
      <c r="R917">
        <v>23</v>
      </c>
      <c r="S917">
        <v>25</v>
      </c>
      <c r="T917">
        <v>46</v>
      </c>
      <c r="U917">
        <v>305</v>
      </c>
      <c r="V917">
        <v>2</v>
      </c>
      <c r="W917">
        <v>4</v>
      </c>
      <c r="X917">
        <v>2</v>
      </c>
      <c r="Y917">
        <v>5</v>
      </c>
      <c r="Z917">
        <v>11</v>
      </c>
      <c r="AA917">
        <v>3</v>
      </c>
      <c r="AB917" t="str">
        <f t="shared" si="44"/>
        <v>Below average customer</v>
      </c>
    </row>
    <row r="918" spans="1:28" x14ac:dyDescent="0.35">
      <c r="A918">
        <v>6515</v>
      </c>
      <c r="B918">
        <v>1977</v>
      </c>
      <c r="C918" t="s">
        <v>31</v>
      </c>
      <c r="D918" t="s">
        <v>26</v>
      </c>
      <c r="E918" t="s">
        <v>29</v>
      </c>
      <c r="F918">
        <v>39771</v>
      </c>
      <c r="G918" t="str">
        <f t="shared" si="42"/>
        <v>Mid-low</v>
      </c>
      <c r="H918">
        <v>1</v>
      </c>
      <c r="I918">
        <v>0</v>
      </c>
      <c r="J918">
        <v>1</v>
      </c>
      <c r="K918" s="1">
        <v>41614</v>
      </c>
      <c r="L918">
        <v>92</v>
      </c>
      <c r="M918" t="str">
        <f t="shared" si="43"/>
        <v>Inactive</v>
      </c>
      <c r="N918">
        <v>0</v>
      </c>
      <c r="O918">
        <v>6</v>
      </c>
      <c r="P918">
        <v>2</v>
      </c>
      <c r="Q918">
        <v>18</v>
      </c>
      <c r="R918">
        <v>2</v>
      </c>
      <c r="S918">
        <v>8</v>
      </c>
      <c r="T918">
        <v>14</v>
      </c>
      <c r="U918">
        <v>50</v>
      </c>
      <c r="V918">
        <v>1</v>
      </c>
      <c r="W918">
        <v>2</v>
      </c>
      <c r="X918">
        <v>0</v>
      </c>
      <c r="Y918">
        <v>3</v>
      </c>
      <c r="Z918">
        <v>5</v>
      </c>
      <c r="AA918">
        <v>4</v>
      </c>
      <c r="AB918" t="str">
        <f t="shared" si="44"/>
        <v>Below average customer</v>
      </c>
    </row>
    <row r="919" spans="1:28" x14ac:dyDescent="0.35">
      <c r="A919">
        <v>2882</v>
      </c>
      <c r="B919">
        <v>1975</v>
      </c>
      <c r="C919" t="s">
        <v>31</v>
      </c>
      <c r="D919" t="s">
        <v>34</v>
      </c>
      <c r="E919" t="s">
        <v>35</v>
      </c>
      <c r="F919">
        <v>67893</v>
      </c>
      <c r="G919" t="str">
        <f t="shared" si="42"/>
        <v>Mid-high</v>
      </c>
      <c r="H919">
        <v>0</v>
      </c>
      <c r="I919">
        <v>1</v>
      </c>
      <c r="J919">
        <v>1</v>
      </c>
      <c r="K919" s="1">
        <v>41183</v>
      </c>
      <c r="L919">
        <v>31</v>
      </c>
      <c r="M919" t="str">
        <f t="shared" si="43"/>
        <v>Active</v>
      </c>
      <c r="N919">
        <v>0</v>
      </c>
      <c r="O919">
        <v>711</v>
      </c>
      <c r="P919">
        <v>28</v>
      </c>
      <c r="Q919">
        <v>142</v>
      </c>
      <c r="R919">
        <v>49</v>
      </c>
      <c r="S919">
        <v>18</v>
      </c>
      <c r="T919">
        <v>47</v>
      </c>
      <c r="U919">
        <v>995</v>
      </c>
      <c r="V919">
        <v>2</v>
      </c>
      <c r="W919">
        <v>3</v>
      </c>
      <c r="X919">
        <v>2</v>
      </c>
      <c r="Y919">
        <v>9</v>
      </c>
      <c r="Z919">
        <v>14</v>
      </c>
      <c r="AA919">
        <v>8</v>
      </c>
      <c r="AB919" t="str">
        <f t="shared" si="44"/>
        <v>Above average customer</v>
      </c>
    </row>
    <row r="920" spans="1:28" x14ac:dyDescent="0.35">
      <c r="A920">
        <v>7574</v>
      </c>
      <c r="B920">
        <v>1979</v>
      </c>
      <c r="C920" t="s">
        <v>31</v>
      </c>
      <c r="D920" t="s">
        <v>32</v>
      </c>
      <c r="E920" t="s">
        <v>29</v>
      </c>
      <c r="F920">
        <v>27922</v>
      </c>
      <c r="G920" t="str">
        <f t="shared" si="42"/>
        <v>Low</v>
      </c>
      <c r="H920">
        <v>1</v>
      </c>
      <c r="I920">
        <v>0</v>
      </c>
      <c r="J920">
        <v>1</v>
      </c>
      <c r="K920" s="1">
        <v>41769</v>
      </c>
      <c r="L920">
        <v>80</v>
      </c>
      <c r="M920" t="str">
        <f t="shared" si="43"/>
        <v>Inactive</v>
      </c>
      <c r="N920">
        <v>0</v>
      </c>
      <c r="O920">
        <v>11</v>
      </c>
      <c r="P920">
        <v>0</v>
      </c>
      <c r="Q920">
        <v>13</v>
      </c>
      <c r="R920">
        <v>2</v>
      </c>
      <c r="S920">
        <v>4</v>
      </c>
      <c r="T920">
        <v>11</v>
      </c>
      <c r="U920">
        <v>41</v>
      </c>
      <c r="V920">
        <v>1</v>
      </c>
      <c r="W920">
        <v>2</v>
      </c>
      <c r="X920">
        <v>0</v>
      </c>
      <c r="Y920">
        <v>3</v>
      </c>
      <c r="Z920">
        <v>5</v>
      </c>
      <c r="AA920">
        <v>4</v>
      </c>
      <c r="AB920" t="str">
        <f t="shared" si="44"/>
        <v>Below average customer</v>
      </c>
    </row>
    <row r="921" spans="1:28" x14ac:dyDescent="0.35">
      <c r="A921">
        <v>6387</v>
      </c>
      <c r="B921">
        <v>1976</v>
      </c>
      <c r="C921" t="s">
        <v>31</v>
      </c>
      <c r="D921" t="s">
        <v>32</v>
      </c>
      <c r="E921" t="s">
        <v>29</v>
      </c>
      <c r="F921">
        <v>52190</v>
      </c>
      <c r="G921" t="str">
        <f t="shared" si="42"/>
        <v>Mid-high</v>
      </c>
      <c r="H921">
        <v>1</v>
      </c>
      <c r="I921">
        <v>1</v>
      </c>
      <c r="J921">
        <v>2</v>
      </c>
      <c r="K921" s="1">
        <v>41767</v>
      </c>
      <c r="L921">
        <v>39</v>
      </c>
      <c r="M921" t="str">
        <f t="shared" si="43"/>
        <v>Active</v>
      </c>
      <c r="N921">
        <v>0</v>
      </c>
      <c r="O921">
        <v>42</v>
      </c>
      <c r="P921">
        <v>0</v>
      </c>
      <c r="Q921">
        <v>17</v>
      </c>
      <c r="R921">
        <v>0</v>
      </c>
      <c r="S921">
        <v>0</v>
      </c>
      <c r="T921">
        <v>18</v>
      </c>
      <c r="U921">
        <v>77</v>
      </c>
      <c r="V921">
        <v>3</v>
      </c>
      <c r="W921">
        <v>2</v>
      </c>
      <c r="X921">
        <v>1</v>
      </c>
      <c r="Y921">
        <v>3</v>
      </c>
      <c r="Z921">
        <v>6</v>
      </c>
      <c r="AA921">
        <v>5</v>
      </c>
      <c r="AB921" t="str">
        <f t="shared" si="44"/>
        <v>Below average customer</v>
      </c>
    </row>
    <row r="922" spans="1:28" x14ac:dyDescent="0.35">
      <c r="A922">
        <v>5320</v>
      </c>
      <c r="B922">
        <v>1973</v>
      </c>
      <c r="C922" t="s">
        <v>31</v>
      </c>
      <c r="D922" t="s">
        <v>34</v>
      </c>
      <c r="E922" t="s">
        <v>35</v>
      </c>
      <c r="F922">
        <v>44051</v>
      </c>
      <c r="G922" t="str">
        <f t="shared" si="42"/>
        <v>Mid-low</v>
      </c>
      <c r="H922">
        <v>1</v>
      </c>
      <c r="I922">
        <v>1</v>
      </c>
      <c r="J922">
        <v>2</v>
      </c>
      <c r="K922" s="1">
        <v>41303</v>
      </c>
      <c r="L922">
        <v>20</v>
      </c>
      <c r="M922" t="str">
        <f t="shared" si="43"/>
        <v>Active</v>
      </c>
      <c r="N922">
        <v>0</v>
      </c>
      <c r="O922">
        <v>79</v>
      </c>
      <c r="P922">
        <v>7</v>
      </c>
      <c r="Q922">
        <v>58</v>
      </c>
      <c r="R922">
        <v>6</v>
      </c>
      <c r="S922">
        <v>3</v>
      </c>
      <c r="T922">
        <v>18</v>
      </c>
      <c r="U922">
        <v>171</v>
      </c>
      <c r="V922">
        <v>4</v>
      </c>
      <c r="W922">
        <v>3</v>
      </c>
      <c r="X922">
        <v>1</v>
      </c>
      <c r="Y922">
        <v>4</v>
      </c>
      <c r="Z922">
        <v>8</v>
      </c>
      <c r="AA922">
        <v>6</v>
      </c>
      <c r="AB922" t="str">
        <f t="shared" si="44"/>
        <v>Below average customer</v>
      </c>
    </row>
    <row r="923" spans="1:28" x14ac:dyDescent="0.35">
      <c r="A923">
        <v>5048</v>
      </c>
      <c r="B923">
        <v>1971</v>
      </c>
      <c r="C923" t="s">
        <v>28</v>
      </c>
      <c r="D923" t="s">
        <v>32</v>
      </c>
      <c r="E923" t="s">
        <v>27</v>
      </c>
      <c r="F923">
        <v>42767</v>
      </c>
      <c r="G923" t="str">
        <f t="shared" si="42"/>
        <v>Mid-low</v>
      </c>
      <c r="H923">
        <v>2</v>
      </c>
      <c r="I923">
        <v>0</v>
      </c>
      <c r="J923">
        <v>2</v>
      </c>
      <c r="K923" s="1">
        <v>41405</v>
      </c>
      <c r="L923">
        <v>53</v>
      </c>
      <c r="M923" t="str">
        <f t="shared" si="43"/>
        <v>Inactive</v>
      </c>
      <c r="N923">
        <v>0</v>
      </c>
      <c r="O923">
        <v>20</v>
      </c>
      <c r="P923">
        <v>6</v>
      </c>
      <c r="Q923">
        <v>43</v>
      </c>
      <c r="R923">
        <v>19</v>
      </c>
      <c r="S923">
        <v>5</v>
      </c>
      <c r="T923">
        <v>38</v>
      </c>
      <c r="U923">
        <v>131</v>
      </c>
      <c r="V923">
        <v>1</v>
      </c>
      <c r="W923">
        <v>3</v>
      </c>
      <c r="X923">
        <v>1</v>
      </c>
      <c r="Y923">
        <v>2</v>
      </c>
      <c r="Z923">
        <v>6</v>
      </c>
      <c r="AA923">
        <v>8</v>
      </c>
      <c r="AB923" t="str">
        <f t="shared" si="44"/>
        <v>Below average customer</v>
      </c>
    </row>
    <row r="924" spans="1:28" x14ac:dyDescent="0.35">
      <c r="A924">
        <v>8146</v>
      </c>
      <c r="B924">
        <v>1976</v>
      </c>
      <c r="C924" t="s">
        <v>31</v>
      </c>
      <c r="D924" t="s">
        <v>34</v>
      </c>
      <c r="E924" t="s">
        <v>29</v>
      </c>
      <c r="F924">
        <v>46106</v>
      </c>
      <c r="G924" t="str">
        <f t="shared" si="42"/>
        <v>Mid-low</v>
      </c>
      <c r="H924">
        <v>1</v>
      </c>
      <c r="I924">
        <v>1</v>
      </c>
      <c r="J924">
        <v>2</v>
      </c>
      <c r="K924" s="1">
        <v>41770</v>
      </c>
      <c r="L924">
        <v>84</v>
      </c>
      <c r="M924" t="str">
        <f t="shared" si="43"/>
        <v>Inactive</v>
      </c>
      <c r="N924">
        <v>0</v>
      </c>
      <c r="O924">
        <v>30</v>
      </c>
      <c r="P924">
        <v>0</v>
      </c>
      <c r="Q924">
        <v>8</v>
      </c>
      <c r="R924">
        <v>2</v>
      </c>
      <c r="S924">
        <v>0</v>
      </c>
      <c r="T924">
        <v>14</v>
      </c>
      <c r="U924">
        <v>54</v>
      </c>
      <c r="V924">
        <v>1</v>
      </c>
      <c r="W924">
        <v>1</v>
      </c>
      <c r="X924">
        <v>1</v>
      </c>
      <c r="Y924">
        <v>2</v>
      </c>
      <c r="Z924">
        <v>4</v>
      </c>
      <c r="AA924">
        <v>6</v>
      </c>
      <c r="AB924" t="str">
        <f t="shared" si="44"/>
        <v>Below average customer</v>
      </c>
    </row>
    <row r="925" spans="1:28" x14ac:dyDescent="0.35">
      <c r="A925">
        <v>10031</v>
      </c>
      <c r="B925">
        <v>1976</v>
      </c>
      <c r="C925" t="s">
        <v>31</v>
      </c>
      <c r="D925" t="s">
        <v>32</v>
      </c>
      <c r="E925" t="s">
        <v>33</v>
      </c>
      <c r="F925">
        <v>16927</v>
      </c>
      <c r="G925" t="str">
        <f t="shared" si="42"/>
        <v>Low</v>
      </c>
      <c r="H925">
        <v>1</v>
      </c>
      <c r="I925">
        <v>1</v>
      </c>
      <c r="J925">
        <v>2</v>
      </c>
      <c r="K925" s="1">
        <v>41315</v>
      </c>
      <c r="L925">
        <v>50</v>
      </c>
      <c r="M925" t="str">
        <f t="shared" si="43"/>
        <v>Inactive</v>
      </c>
      <c r="N925">
        <v>0</v>
      </c>
      <c r="O925">
        <v>20</v>
      </c>
      <c r="P925">
        <v>2</v>
      </c>
      <c r="Q925">
        <v>23</v>
      </c>
      <c r="R925">
        <v>3</v>
      </c>
      <c r="S925">
        <v>1</v>
      </c>
      <c r="T925">
        <v>4</v>
      </c>
      <c r="U925">
        <v>53</v>
      </c>
      <c r="V925">
        <v>5</v>
      </c>
      <c r="W925">
        <v>3</v>
      </c>
      <c r="X925">
        <v>0</v>
      </c>
      <c r="Y925">
        <v>4</v>
      </c>
      <c r="Z925">
        <v>7</v>
      </c>
      <c r="AA925">
        <v>8</v>
      </c>
      <c r="AB925" t="str">
        <f t="shared" si="44"/>
        <v>Below average customer</v>
      </c>
    </row>
    <row r="926" spans="1:28" x14ac:dyDescent="0.35">
      <c r="A926">
        <v>5748</v>
      </c>
      <c r="B926">
        <v>1965</v>
      </c>
      <c r="C926" t="s">
        <v>28</v>
      </c>
      <c r="D926" t="s">
        <v>26</v>
      </c>
      <c r="E926" t="s">
        <v>33</v>
      </c>
      <c r="F926">
        <v>59754</v>
      </c>
      <c r="G926" t="str">
        <f t="shared" si="42"/>
        <v>Mid-high</v>
      </c>
      <c r="H926">
        <v>0</v>
      </c>
      <c r="I926">
        <v>1</v>
      </c>
      <c r="J926">
        <v>1</v>
      </c>
      <c r="K926" s="1">
        <v>41244</v>
      </c>
      <c r="L926">
        <v>96</v>
      </c>
      <c r="M926" t="str">
        <f t="shared" si="43"/>
        <v>Inactive</v>
      </c>
      <c r="N926">
        <v>0</v>
      </c>
      <c r="O926">
        <v>115</v>
      </c>
      <c r="P926">
        <v>27</v>
      </c>
      <c r="Q926">
        <v>44</v>
      </c>
      <c r="R926">
        <v>4</v>
      </c>
      <c r="S926">
        <v>146</v>
      </c>
      <c r="T926">
        <v>139</v>
      </c>
      <c r="U926">
        <v>475</v>
      </c>
      <c r="V926">
        <v>3</v>
      </c>
      <c r="W926">
        <v>5</v>
      </c>
      <c r="X926">
        <v>2</v>
      </c>
      <c r="Y926">
        <v>6</v>
      </c>
      <c r="Z926">
        <v>13</v>
      </c>
      <c r="AA926">
        <v>5</v>
      </c>
      <c r="AB926" t="str">
        <f t="shared" si="44"/>
        <v>Below average customer</v>
      </c>
    </row>
    <row r="927" spans="1:28" x14ac:dyDescent="0.35">
      <c r="A927">
        <v>2134</v>
      </c>
      <c r="B927">
        <v>1952</v>
      </c>
      <c r="C927" t="s">
        <v>36</v>
      </c>
      <c r="D927" t="s">
        <v>26</v>
      </c>
      <c r="E927" t="s">
        <v>27</v>
      </c>
      <c r="F927">
        <v>53700</v>
      </c>
      <c r="G927" t="str">
        <f t="shared" si="42"/>
        <v>Mid-high</v>
      </c>
      <c r="H927">
        <v>0</v>
      </c>
      <c r="I927">
        <v>1</v>
      </c>
      <c r="J927">
        <v>1</v>
      </c>
      <c r="K927" s="1">
        <v>41138</v>
      </c>
      <c r="L927">
        <v>94</v>
      </c>
      <c r="M927" t="str">
        <f t="shared" si="43"/>
        <v>Inactive</v>
      </c>
      <c r="N927">
        <v>0</v>
      </c>
      <c r="O927">
        <v>263</v>
      </c>
      <c r="P927">
        <v>5</v>
      </c>
      <c r="Q927">
        <v>233</v>
      </c>
      <c r="R927">
        <v>69</v>
      </c>
      <c r="S927">
        <v>41</v>
      </c>
      <c r="T927">
        <v>83</v>
      </c>
      <c r="U927">
        <v>694</v>
      </c>
      <c r="V927">
        <v>4</v>
      </c>
      <c r="W927">
        <v>5</v>
      </c>
      <c r="X927">
        <v>5</v>
      </c>
      <c r="Y927">
        <v>8</v>
      </c>
      <c r="Z927">
        <v>18</v>
      </c>
      <c r="AA927">
        <v>5</v>
      </c>
      <c r="AB927" t="str">
        <f t="shared" si="44"/>
        <v>Below average customer</v>
      </c>
    </row>
    <row r="928" spans="1:28" x14ac:dyDescent="0.35">
      <c r="A928">
        <v>1523</v>
      </c>
      <c r="B928">
        <v>1973</v>
      </c>
      <c r="C928" t="s">
        <v>31</v>
      </c>
      <c r="D928" t="s">
        <v>26</v>
      </c>
      <c r="E928" t="s">
        <v>33</v>
      </c>
      <c r="F928">
        <v>59041</v>
      </c>
      <c r="G928" t="str">
        <f t="shared" si="42"/>
        <v>Mid-high</v>
      </c>
      <c r="H928">
        <v>1</v>
      </c>
      <c r="I928">
        <v>1</v>
      </c>
      <c r="J928">
        <v>2</v>
      </c>
      <c r="K928" s="1">
        <v>41766</v>
      </c>
      <c r="L928">
        <v>25</v>
      </c>
      <c r="M928" t="str">
        <f t="shared" si="43"/>
        <v>Active</v>
      </c>
      <c r="N928">
        <v>0</v>
      </c>
      <c r="O928">
        <v>69</v>
      </c>
      <c r="P928">
        <v>2</v>
      </c>
      <c r="Q928">
        <v>15</v>
      </c>
      <c r="R928">
        <v>2</v>
      </c>
      <c r="S928">
        <v>2</v>
      </c>
      <c r="T928">
        <v>6</v>
      </c>
      <c r="U928">
        <v>96</v>
      </c>
      <c r="V928">
        <v>2</v>
      </c>
      <c r="W928">
        <v>2</v>
      </c>
      <c r="X928">
        <v>0</v>
      </c>
      <c r="Y928">
        <v>4</v>
      </c>
      <c r="Z928">
        <v>6</v>
      </c>
      <c r="AA928">
        <v>5</v>
      </c>
      <c r="AB928" t="str">
        <f t="shared" si="44"/>
        <v>Below average customer</v>
      </c>
    </row>
    <row r="929" spans="1:28" x14ac:dyDescent="0.35">
      <c r="A929">
        <v>9665</v>
      </c>
      <c r="B929">
        <v>1957</v>
      </c>
      <c r="C929" t="s">
        <v>25</v>
      </c>
      <c r="D929" t="s">
        <v>32</v>
      </c>
      <c r="E929" t="s">
        <v>35</v>
      </c>
      <c r="F929">
        <v>54237</v>
      </c>
      <c r="G929" t="str">
        <f t="shared" si="42"/>
        <v>Mid-high</v>
      </c>
      <c r="H929">
        <v>0</v>
      </c>
      <c r="I929">
        <v>1</v>
      </c>
      <c r="J929">
        <v>1</v>
      </c>
      <c r="K929" s="1">
        <v>41391</v>
      </c>
      <c r="L929">
        <v>48</v>
      </c>
      <c r="M929" t="str">
        <f t="shared" si="43"/>
        <v>Active</v>
      </c>
      <c r="N929">
        <v>0</v>
      </c>
      <c r="O929">
        <v>267</v>
      </c>
      <c r="P929">
        <v>3</v>
      </c>
      <c r="Q929">
        <v>30</v>
      </c>
      <c r="R929">
        <v>4</v>
      </c>
      <c r="S929">
        <v>0</v>
      </c>
      <c r="T929">
        <v>57</v>
      </c>
      <c r="U929">
        <v>361</v>
      </c>
      <c r="V929">
        <v>4</v>
      </c>
      <c r="W929">
        <v>5</v>
      </c>
      <c r="X929">
        <v>2</v>
      </c>
      <c r="Y929">
        <v>5</v>
      </c>
      <c r="Z929">
        <v>12</v>
      </c>
      <c r="AA929">
        <v>6</v>
      </c>
      <c r="AB929" t="str">
        <f t="shared" si="44"/>
        <v>Below average customer</v>
      </c>
    </row>
    <row r="930" spans="1:28" x14ac:dyDescent="0.35">
      <c r="A930">
        <v>4640</v>
      </c>
      <c r="B930">
        <v>1967</v>
      </c>
      <c r="C930" t="s">
        <v>28</v>
      </c>
      <c r="D930" t="s">
        <v>26</v>
      </c>
      <c r="E930" t="s">
        <v>35</v>
      </c>
      <c r="F930">
        <v>70647</v>
      </c>
      <c r="G930" t="str">
        <f t="shared" si="42"/>
        <v>High</v>
      </c>
      <c r="H930">
        <v>0</v>
      </c>
      <c r="I930">
        <v>1</v>
      </c>
      <c r="J930">
        <v>1</v>
      </c>
      <c r="K930" s="1">
        <v>41173</v>
      </c>
      <c r="L930">
        <v>65</v>
      </c>
      <c r="M930" t="str">
        <f t="shared" si="43"/>
        <v>Inactive</v>
      </c>
      <c r="N930">
        <v>0</v>
      </c>
      <c r="O930">
        <v>561</v>
      </c>
      <c r="P930">
        <v>85</v>
      </c>
      <c r="Q930">
        <v>171</v>
      </c>
      <c r="R930">
        <v>25</v>
      </c>
      <c r="S930">
        <v>123</v>
      </c>
      <c r="T930">
        <v>114</v>
      </c>
      <c r="U930">
        <v>1079</v>
      </c>
      <c r="V930">
        <v>2</v>
      </c>
      <c r="W930">
        <v>4</v>
      </c>
      <c r="X930">
        <v>7</v>
      </c>
      <c r="Y930">
        <v>13</v>
      </c>
      <c r="Z930">
        <v>24</v>
      </c>
      <c r="AA930">
        <v>2</v>
      </c>
      <c r="AB930" t="str">
        <f t="shared" si="44"/>
        <v>Below average customer</v>
      </c>
    </row>
    <row r="931" spans="1:28" x14ac:dyDescent="0.35">
      <c r="A931">
        <v>3635</v>
      </c>
      <c r="B931">
        <v>1962</v>
      </c>
      <c r="C931" t="s">
        <v>25</v>
      </c>
      <c r="D931" t="s">
        <v>32</v>
      </c>
      <c r="E931" t="s">
        <v>27</v>
      </c>
      <c r="F931">
        <v>52597</v>
      </c>
      <c r="G931" t="str">
        <f t="shared" si="42"/>
        <v>Mid-high</v>
      </c>
      <c r="H931">
        <v>0</v>
      </c>
      <c r="I931">
        <v>1</v>
      </c>
      <c r="J931">
        <v>1</v>
      </c>
      <c r="K931" s="1">
        <v>41766</v>
      </c>
      <c r="L931">
        <v>69</v>
      </c>
      <c r="M931" t="str">
        <f t="shared" si="43"/>
        <v>Inactive</v>
      </c>
      <c r="N931">
        <v>0</v>
      </c>
      <c r="O931">
        <v>492</v>
      </c>
      <c r="P931">
        <v>0</v>
      </c>
      <c r="Q931">
        <v>37</v>
      </c>
      <c r="R931">
        <v>7</v>
      </c>
      <c r="S931">
        <v>0</v>
      </c>
      <c r="T931">
        <v>42</v>
      </c>
      <c r="U931">
        <v>578</v>
      </c>
      <c r="V931">
        <v>3</v>
      </c>
      <c r="W931">
        <v>6</v>
      </c>
      <c r="X931">
        <v>3</v>
      </c>
      <c r="Y931">
        <v>8</v>
      </c>
      <c r="Z931">
        <v>17</v>
      </c>
      <c r="AA931">
        <v>5</v>
      </c>
      <c r="AB931" t="str">
        <f t="shared" si="44"/>
        <v>Below average customer</v>
      </c>
    </row>
    <row r="932" spans="1:28" x14ac:dyDescent="0.35">
      <c r="A932">
        <v>3547</v>
      </c>
      <c r="B932">
        <v>1969</v>
      </c>
      <c r="C932" t="s">
        <v>28</v>
      </c>
      <c r="D932" t="s">
        <v>34</v>
      </c>
      <c r="E932" t="s">
        <v>29</v>
      </c>
      <c r="F932">
        <v>41021</v>
      </c>
      <c r="G932" t="str">
        <f t="shared" si="42"/>
        <v>Mid-low</v>
      </c>
      <c r="H932">
        <v>1</v>
      </c>
      <c r="I932">
        <v>0</v>
      </c>
      <c r="J932">
        <v>1</v>
      </c>
      <c r="K932" s="1">
        <v>41273</v>
      </c>
      <c r="L932">
        <v>12</v>
      </c>
      <c r="M932" t="str">
        <f t="shared" si="43"/>
        <v>Active</v>
      </c>
      <c r="N932">
        <v>0</v>
      </c>
      <c r="O932">
        <v>14</v>
      </c>
      <c r="P932">
        <v>7</v>
      </c>
      <c r="Q932">
        <v>9</v>
      </c>
      <c r="R932">
        <v>6</v>
      </c>
      <c r="S932">
        <v>16</v>
      </c>
      <c r="T932">
        <v>12</v>
      </c>
      <c r="U932">
        <v>64</v>
      </c>
      <c r="V932">
        <v>2</v>
      </c>
      <c r="W932">
        <v>2</v>
      </c>
      <c r="X932">
        <v>0</v>
      </c>
      <c r="Y932">
        <v>3</v>
      </c>
      <c r="Z932">
        <v>5</v>
      </c>
      <c r="AA932">
        <v>6</v>
      </c>
      <c r="AB932" t="str">
        <f t="shared" si="44"/>
        <v>Below average customer</v>
      </c>
    </row>
    <row r="933" spans="1:28" x14ac:dyDescent="0.35">
      <c r="A933">
        <v>2456</v>
      </c>
      <c r="B933">
        <v>1975</v>
      </c>
      <c r="C933" t="s">
        <v>31</v>
      </c>
      <c r="D933" t="s">
        <v>32</v>
      </c>
      <c r="E933" t="s">
        <v>33</v>
      </c>
      <c r="F933">
        <v>40233</v>
      </c>
      <c r="G933" t="str">
        <f t="shared" si="42"/>
        <v>Mid-low</v>
      </c>
      <c r="H933">
        <v>0</v>
      </c>
      <c r="I933">
        <v>1</v>
      </c>
      <c r="J933">
        <v>1</v>
      </c>
      <c r="K933" s="1">
        <v>41561</v>
      </c>
      <c r="L933">
        <v>84</v>
      </c>
      <c r="M933" t="str">
        <f t="shared" si="43"/>
        <v>Inactive</v>
      </c>
      <c r="N933">
        <v>0</v>
      </c>
      <c r="O933">
        <v>80</v>
      </c>
      <c r="P933">
        <v>4</v>
      </c>
      <c r="Q933">
        <v>46</v>
      </c>
      <c r="R933">
        <v>0</v>
      </c>
      <c r="S933">
        <v>17</v>
      </c>
      <c r="T933">
        <v>2</v>
      </c>
      <c r="U933">
        <v>149</v>
      </c>
      <c r="V933">
        <v>5</v>
      </c>
      <c r="W933">
        <v>2</v>
      </c>
      <c r="X933">
        <v>1</v>
      </c>
      <c r="Y933">
        <v>5</v>
      </c>
      <c r="Z933">
        <v>8</v>
      </c>
      <c r="AA933">
        <v>6</v>
      </c>
      <c r="AB933" t="str">
        <f t="shared" si="44"/>
        <v>Below average customer</v>
      </c>
    </row>
    <row r="934" spans="1:28" x14ac:dyDescent="0.35">
      <c r="A934">
        <v>5633</v>
      </c>
      <c r="B934">
        <v>1980</v>
      </c>
      <c r="C934" t="s">
        <v>31</v>
      </c>
      <c r="D934" t="s">
        <v>26</v>
      </c>
      <c r="E934" t="s">
        <v>33</v>
      </c>
      <c r="F934">
        <v>50183</v>
      </c>
      <c r="G934" t="str">
        <f t="shared" si="42"/>
        <v>Mid-low</v>
      </c>
      <c r="H934">
        <v>1</v>
      </c>
      <c r="I934">
        <v>1</v>
      </c>
      <c r="J934">
        <v>2</v>
      </c>
      <c r="K934" s="1">
        <v>41815</v>
      </c>
      <c r="L934">
        <v>47</v>
      </c>
      <c r="M934" t="str">
        <f t="shared" si="43"/>
        <v>Active</v>
      </c>
      <c r="N934">
        <v>0</v>
      </c>
      <c r="O934">
        <v>97</v>
      </c>
      <c r="P934">
        <v>12</v>
      </c>
      <c r="Q934">
        <v>84</v>
      </c>
      <c r="R934">
        <v>13</v>
      </c>
      <c r="S934">
        <v>10</v>
      </c>
      <c r="T934">
        <v>15</v>
      </c>
      <c r="U934">
        <v>231</v>
      </c>
      <c r="V934">
        <v>7</v>
      </c>
      <c r="W934">
        <v>3</v>
      </c>
      <c r="X934">
        <v>1</v>
      </c>
      <c r="Y934">
        <v>6</v>
      </c>
      <c r="Z934">
        <v>10</v>
      </c>
      <c r="AA934">
        <v>5</v>
      </c>
      <c r="AB934" t="str">
        <f t="shared" si="44"/>
        <v>Below average customer</v>
      </c>
    </row>
    <row r="935" spans="1:28" x14ac:dyDescent="0.35">
      <c r="A935">
        <v>7801</v>
      </c>
      <c r="B935">
        <v>1959</v>
      </c>
      <c r="C935" t="s">
        <v>25</v>
      </c>
      <c r="D935" t="s">
        <v>26</v>
      </c>
      <c r="E935" t="s">
        <v>29</v>
      </c>
      <c r="F935">
        <v>54753</v>
      </c>
      <c r="G935" t="str">
        <f t="shared" si="42"/>
        <v>Mid-high</v>
      </c>
      <c r="H935">
        <v>0</v>
      </c>
      <c r="I935">
        <v>1</v>
      </c>
      <c r="J935">
        <v>1</v>
      </c>
      <c r="K935" s="1">
        <v>41529</v>
      </c>
      <c r="L935">
        <v>87</v>
      </c>
      <c r="M935" t="str">
        <f t="shared" si="43"/>
        <v>Inactive</v>
      </c>
      <c r="N935">
        <v>0</v>
      </c>
      <c r="O935">
        <v>197</v>
      </c>
      <c r="P935">
        <v>107</v>
      </c>
      <c r="Q935">
        <v>227</v>
      </c>
      <c r="R935">
        <v>7</v>
      </c>
      <c r="S935">
        <v>59</v>
      </c>
      <c r="T935">
        <v>131</v>
      </c>
      <c r="U935">
        <v>728</v>
      </c>
      <c r="V935">
        <v>3</v>
      </c>
      <c r="W935">
        <v>5</v>
      </c>
      <c r="X935">
        <v>2</v>
      </c>
      <c r="Y935">
        <v>11</v>
      </c>
      <c r="Z935">
        <v>18</v>
      </c>
      <c r="AA935">
        <v>4</v>
      </c>
      <c r="AB935" t="str">
        <f t="shared" si="44"/>
        <v>Below average customer</v>
      </c>
    </row>
    <row r="936" spans="1:28" x14ac:dyDescent="0.35">
      <c r="A936">
        <v>10489</v>
      </c>
      <c r="B936">
        <v>1973</v>
      </c>
      <c r="C936" t="s">
        <v>31</v>
      </c>
      <c r="D936" t="s">
        <v>26</v>
      </c>
      <c r="E936" t="s">
        <v>33</v>
      </c>
      <c r="F936">
        <v>92955</v>
      </c>
      <c r="G936" t="str">
        <f t="shared" si="42"/>
        <v>High</v>
      </c>
      <c r="H936">
        <v>0</v>
      </c>
      <c r="I936">
        <v>0</v>
      </c>
      <c r="J936">
        <v>0</v>
      </c>
      <c r="K936" s="1">
        <v>41505</v>
      </c>
      <c r="L936">
        <v>35</v>
      </c>
      <c r="M936" t="str">
        <f t="shared" si="43"/>
        <v>Active</v>
      </c>
      <c r="N936">
        <v>0</v>
      </c>
      <c r="O936">
        <v>693</v>
      </c>
      <c r="P936">
        <v>21</v>
      </c>
      <c r="Q936">
        <v>925</v>
      </c>
      <c r="R936">
        <v>31</v>
      </c>
      <c r="S936">
        <v>24</v>
      </c>
      <c r="T936">
        <v>84</v>
      </c>
      <c r="U936">
        <v>1778</v>
      </c>
      <c r="V936">
        <v>1</v>
      </c>
      <c r="W936">
        <v>6</v>
      </c>
      <c r="X936">
        <v>7</v>
      </c>
      <c r="Y936">
        <v>9</v>
      </c>
      <c r="Z936">
        <v>22</v>
      </c>
      <c r="AA936">
        <v>2</v>
      </c>
      <c r="AB936" t="str">
        <f t="shared" si="44"/>
        <v>Above average customer</v>
      </c>
    </row>
    <row r="937" spans="1:28" x14ac:dyDescent="0.35">
      <c r="A937">
        <v>7011</v>
      </c>
      <c r="B937">
        <v>1973</v>
      </c>
      <c r="C937" t="s">
        <v>31</v>
      </c>
      <c r="D937" t="s">
        <v>26</v>
      </c>
      <c r="E937" t="s">
        <v>33</v>
      </c>
      <c r="F937">
        <v>33471</v>
      </c>
      <c r="G937" t="str">
        <f t="shared" si="42"/>
        <v>Low</v>
      </c>
      <c r="H937">
        <v>1</v>
      </c>
      <c r="I937">
        <v>0</v>
      </c>
      <c r="J937">
        <v>1</v>
      </c>
      <c r="K937" s="1">
        <v>41194</v>
      </c>
      <c r="L937">
        <v>47</v>
      </c>
      <c r="M937" t="str">
        <f t="shared" si="43"/>
        <v>Active</v>
      </c>
      <c r="N937">
        <v>0</v>
      </c>
      <c r="O937">
        <v>43</v>
      </c>
      <c r="P937">
        <v>2</v>
      </c>
      <c r="Q937">
        <v>27</v>
      </c>
      <c r="R937">
        <v>0</v>
      </c>
      <c r="S937">
        <v>9</v>
      </c>
      <c r="T937">
        <v>12</v>
      </c>
      <c r="U937">
        <v>93</v>
      </c>
      <c r="V937">
        <v>3</v>
      </c>
      <c r="W937">
        <v>3</v>
      </c>
      <c r="X937">
        <v>0</v>
      </c>
      <c r="Y937">
        <v>4</v>
      </c>
      <c r="Z937">
        <v>7</v>
      </c>
      <c r="AA937">
        <v>7</v>
      </c>
      <c r="AB937" t="str">
        <f t="shared" si="44"/>
        <v>Below average customer</v>
      </c>
    </row>
    <row r="938" spans="1:28" x14ac:dyDescent="0.35">
      <c r="A938">
        <v>2620</v>
      </c>
      <c r="B938">
        <v>1974</v>
      </c>
      <c r="C938" t="s">
        <v>31</v>
      </c>
      <c r="D938" t="s">
        <v>32</v>
      </c>
      <c r="E938" t="s">
        <v>33</v>
      </c>
      <c r="F938">
        <v>34596</v>
      </c>
      <c r="G938" t="str">
        <f t="shared" si="42"/>
        <v>Low</v>
      </c>
      <c r="H938">
        <v>1</v>
      </c>
      <c r="I938">
        <v>0</v>
      </c>
      <c r="J938">
        <v>1</v>
      </c>
      <c r="K938" s="1">
        <v>41377</v>
      </c>
      <c r="L938">
        <v>48</v>
      </c>
      <c r="M938" t="str">
        <f t="shared" si="43"/>
        <v>Active</v>
      </c>
      <c r="N938">
        <v>0</v>
      </c>
      <c r="O938">
        <v>14</v>
      </c>
      <c r="P938">
        <v>0</v>
      </c>
      <c r="Q938">
        <v>2</v>
      </c>
      <c r="R938">
        <v>0</v>
      </c>
      <c r="S938">
        <v>0</v>
      </c>
      <c r="T938">
        <v>7</v>
      </c>
      <c r="U938">
        <v>23</v>
      </c>
      <c r="V938">
        <v>1</v>
      </c>
      <c r="W938">
        <v>1</v>
      </c>
      <c r="X938">
        <v>0</v>
      </c>
      <c r="Y938">
        <v>2</v>
      </c>
      <c r="Z938">
        <v>3</v>
      </c>
      <c r="AA938">
        <v>8</v>
      </c>
      <c r="AB938" t="str">
        <f t="shared" si="44"/>
        <v>Below average customer</v>
      </c>
    </row>
    <row r="939" spans="1:28" x14ac:dyDescent="0.35">
      <c r="A939">
        <v>3933</v>
      </c>
      <c r="B939">
        <v>1980</v>
      </c>
      <c r="C939" t="s">
        <v>31</v>
      </c>
      <c r="D939" t="s">
        <v>26</v>
      </c>
      <c r="E939" t="s">
        <v>29</v>
      </c>
      <c r="F939">
        <v>44010</v>
      </c>
      <c r="G939" t="str">
        <f t="shared" si="42"/>
        <v>Mid-low</v>
      </c>
      <c r="H939">
        <v>1</v>
      </c>
      <c r="I939">
        <v>0</v>
      </c>
      <c r="J939">
        <v>1</v>
      </c>
      <c r="K939" s="1">
        <v>41195</v>
      </c>
      <c r="L939">
        <v>46</v>
      </c>
      <c r="M939" t="str">
        <f t="shared" si="43"/>
        <v>Active</v>
      </c>
      <c r="N939">
        <v>0</v>
      </c>
      <c r="O939">
        <v>186</v>
      </c>
      <c r="P939">
        <v>36</v>
      </c>
      <c r="Q939">
        <v>234</v>
      </c>
      <c r="R939">
        <v>86</v>
      </c>
      <c r="S939">
        <v>72</v>
      </c>
      <c r="T939">
        <v>48</v>
      </c>
      <c r="U939">
        <v>662</v>
      </c>
      <c r="V939">
        <v>6</v>
      </c>
      <c r="W939">
        <v>10</v>
      </c>
      <c r="X939">
        <v>2</v>
      </c>
      <c r="Y939">
        <v>6</v>
      </c>
      <c r="Z939">
        <v>18</v>
      </c>
      <c r="AA939">
        <v>9</v>
      </c>
      <c r="AB939" t="str">
        <f t="shared" si="44"/>
        <v>Below average customer</v>
      </c>
    </row>
    <row r="940" spans="1:28" x14ac:dyDescent="0.35">
      <c r="A940">
        <v>10981</v>
      </c>
      <c r="B940">
        <v>1988</v>
      </c>
      <c r="C940" t="s">
        <v>30</v>
      </c>
      <c r="D940" t="s">
        <v>26</v>
      </c>
      <c r="E940" t="s">
        <v>33</v>
      </c>
      <c r="F940">
        <v>84219</v>
      </c>
      <c r="G940" t="str">
        <f t="shared" si="42"/>
        <v>High</v>
      </c>
      <c r="H940">
        <v>0</v>
      </c>
      <c r="I940">
        <v>0</v>
      </c>
      <c r="J940">
        <v>0</v>
      </c>
      <c r="K940" s="1">
        <v>41672</v>
      </c>
      <c r="L940">
        <v>27</v>
      </c>
      <c r="M940" t="str">
        <f t="shared" si="43"/>
        <v>Active</v>
      </c>
      <c r="N940">
        <v>0</v>
      </c>
      <c r="O940">
        <v>434</v>
      </c>
      <c r="P940">
        <v>137</v>
      </c>
      <c r="Q940">
        <v>400</v>
      </c>
      <c r="R940">
        <v>45</v>
      </c>
      <c r="S940">
        <v>137</v>
      </c>
      <c r="T940">
        <v>45</v>
      </c>
      <c r="U940">
        <v>1198</v>
      </c>
      <c r="V940">
        <v>1</v>
      </c>
      <c r="W940">
        <v>3</v>
      </c>
      <c r="X940">
        <v>4</v>
      </c>
      <c r="Y940">
        <v>10</v>
      </c>
      <c r="Z940">
        <v>17</v>
      </c>
      <c r="AA940">
        <v>1</v>
      </c>
      <c r="AB940" t="str">
        <f t="shared" si="44"/>
        <v>Above average customer</v>
      </c>
    </row>
    <row r="941" spans="1:28" x14ac:dyDescent="0.35">
      <c r="A941">
        <v>1734</v>
      </c>
      <c r="B941">
        <v>1968</v>
      </c>
      <c r="C941" t="s">
        <v>28</v>
      </c>
      <c r="D941" t="s">
        <v>32</v>
      </c>
      <c r="E941" t="s">
        <v>29</v>
      </c>
      <c r="F941">
        <v>40706</v>
      </c>
      <c r="G941" t="str">
        <f t="shared" si="42"/>
        <v>Mid-low</v>
      </c>
      <c r="H941">
        <v>2</v>
      </c>
      <c r="I941">
        <v>1</v>
      </c>
      <c r="J941">
        <v>3</v>
      </c>
      <c r="K941" s="1">
        <v>41291</v>
      </c>
      <c r="L941">
        <v>37</v>
      </c>
      <c r="M941" t="str">
        <f t="shared" si="43"/>
        <v>Active</v>
      </c>
      <c r="N941">
        <v>0</v>
      </c>
      <c r="O941">
        <v>59</v>
      </c>
      <c r="P941">
        <v>0</v>
      </c>
      <c r="Q941">
        <v>11</v>
      </c>
      <c r="R941">
        <v>4</v>
      </c>
      <c r="S941">
        <v>2</v>
      </c>
      <c r="T941">
        <v>5</v>
      </c>
      <c r="U941">
        <v>81</v>
      </c>
      <c r="V941">
        <v>4</v>
      </c>
      <c r="W941">
        <v>3</v>
      </c>
      <c r="X941">
        <v>0</v>
      </c>
      <c r="Y941">
        <v>4</v>
      </c>
      <c r="Z941">
        <v>7</v>
      </c>
      <c r="AA941">
        <v>7</v>
      </c>
      <c r="AB941" t="str">
        <f t="shared" si="44"/>
        <v>Below average customer</v>
      </c>
    </row>
    <row r="942" spans="1:28" x14ac:dyDescent="0.35">
      <c r="A942">
        <v>10995</v>
      </c>
      <c r="B942">
        <v>1988</v>
      </c>
      <c r="C942" t="s">
        <v>30</v>
      </c>
      <c r="D942" t="s">
        <v>34</v>
      </c>
      <c r="E942" t="s">
        <v>33</v>
      </c>
      <c r="F942">
        <v>15716</v>
      </c>
      <c r="G942" t="str">
        <f t="shared" si="42"/>
        <v>Low</v>
      </c>
      <c r="H942">
        <v>1</v>
      </c>
      <c r="I942">
        <v>0</v>
      </c>
      <c r="J942">
        <v>1</v>
      </c>
      <c r="K942" s="1">
        <v>41225</v>
      </c>
      <c r="L942">
        <v>8</v>
      </c>
      <c r="M942" t="str">
        <f t="shared" si="43"/>
        <v>Active</v>
      </c>
      <c r="N942">
        <v>1</v>
      </c>
      <c r="O942">
        <v>16</v>
      </c>
      <c r="P942">
        <v>5</v>
      </c>
      <c r="Q942">
        <v>30</v>
      </c>
      <c r="R942">
        <v>8</v>
      </c>
      <c r="S942">
        <v>7</v>
      </c>
      <c r="T942">
        <v>26</v>
      </c>
      <c r="U942">
        <v>92</v>
      </c>
      <c r="V942">
        <v>3</v>
      </c>
      <c r="W942">
        <v>3</v>
      </c>
      <c r="X942">
        <v>0</v>
      </c>
      <c r="Y942">
        <v>4</v>
      </c>
      <c r="Z942">
        <v>7</v>
      </c>
      <c r="AA942">
        <v>8</v>
      </c>
      <c r="AB942" t="str">
        <f t="shared" si="44"/>
        <v>Below average customer</v>
      </c>
    </row>
    <row r="943" spans="1:28" x14ac:dyDescent="0.35">
      <c r="A943">
        <v>6357</v>
      </c>
      <c r="B943">
        <v>1959</v>
      </c>
      <c r="C943" t="s">
        <v>25</v>
      </c>
      <c r="D943" t="s">
        <v>34</v>
      </c>
      <c r="E943" t="s">
        <v>35</v>
      </c>
      <c r="F943">
        <v>59052</v>
      </c>
      <c r="G943" t="str">
        <f t="shared" si="42"/>
        <v>Mid-high</v>
      </c>
      <c r="H943">
        <v>0</v>
      </c>
      <c r="I943">
        <v>1</v>
      </c>
      <c r="J943">
        <v>1</v>
      </c>
      <c r="K943" s="1">
        <v>41595</v>
      </c>
      <c r="L943">
        <v>29</v>
      </c>
      <c r="M943" t="str">
        <f t="shared" si="43"/>
        <v>Active</v>
      </c>
      <c r="N943">
        <v>0</v>
      </c>
      <c r="O943">
        <v>230</v>
      </c>
      <c r="P943">
        <v>35</v>
      </c>
      <c r="Q943">
        <v>75</v>
      </c>
      <c r="R943">
        <v>63</v>
      </c>
      <c r="S943">
        <v>57</v>
      </c>
      <c r="T943">
        <v>31</v>
      </c>
      <c r="U943">
        <v>491</v>
      </c>
      <c r="V943">
        <v>3</v>
      </c>
      <c r="W943">
        <v>7</v>
      </c>
      <c r="X943">
        <v>1</v>
      </c>
      <c r="Y943">
        <v>7</v>
      </c>
      <c r="Z943">
        <v>15</v>
      </c>
      <c r="AA943">
        <v>5</v>
      </c>
      <c r="AB943" t="str">
        <f t="shared" si="44"/>
        <v>Below average customer</v>
      </c>
    </row>
    <row r="944" spans="1:28" x14ac:dyDescent="0.35">
      <c r="A944">
        <v>9209</v>
      </c>
      <c r="B944">
        <v>1971</v>
      </c>
      <c r="C944" t="s">
        <v>28</v>
      </c>
      <c r="D944" t="s">
        <v>34</v>
      </c>
      <c r="E944" t="s">
        <v>29</v>
      </c>
      <c r="F944">
        <v>80573</v>
      </c>
      <c r="G944" t="str">
        <f t="shared" si="42"/>
        <v>High</v>
      </c>
      <c r="H944">
        <v>0</v>
      </c>
      <c r="I944">
        <v>0</v>
      </c>
      <c r="J944">
        <v>0</v>
      </c>
      <c r="K944" s="1">
        <v>41196</v>
      </c>
      <c r="L944">
        <v>85</v>
      </c>
      <c r="M944" t="str">
        <f t="shared" si="43"/>
        <v>Inactive</v>
      </c>
      <c r="N944">
        <v>0</v>
      </c>
      <c r="O944">
        <v>829</v>
      </c>
      <c r="P944">
        <v>138</v>
      </c>
      <c r="Q944">
        <v>430</v>
      </c>
      <c r="R944">
        <v>60</v>
      </c>
      <c r="S944">
        <v>92</v>
      </c>
      <c r="T944">
        <v>15</v>
      </c>
      <c r="U944">
        <v>1564</v>
      </c>
      <c r="V944">
        <v>1</v>
      </c>
      <c r="W944">
        <v>4</v>
      </c>
      <c r="X944">
        <v>6</v>
      </c>
      <c r="Y944">
        <v>13</v>
      </c>
      <c r="Z944">
        <v>23</v>
      </c>
      <c r="AA944">
        <v>2</v>
      </c>
      <c r="AB944" t="str">
        <f t="shared" si="44"/>
        <v>Below average customer</v>
      </c>
    </row>
    <row r="945" spans="1:28" x14ac:dyDescent="0.35">
      <c r="A945">
        <v>10286</v>
      </c>
      <c r="B945">
        <v>1962</v>
      </c>
      <c r="C945" t="s">
        <v>25</v>
      </c>
      <c r="D945" t="s">
        <v>26</v>
      </c>
      <c r="E945" t="s">
        <v>33</v>
      </c>
      <c r="F945">
        <v>83715</v>
      </c>
      <c r="G945" t="str">
        <f t="shared" si="42"/>
        <v>High</v>
      </c>
      <c r="H945">
        <v>0</v>
      </c>
      <c r="I945">
        <v>0</v>
      </c>
      <c r="J945">
        <v>0</v>
      </c>
      <c r="K945" s="1">
        <v>41673</v>
      </c>
      <c r="L945">
        <v>2</v>
      </c>
      <c r="M945" t="str">
        <f t="shared" si="43"/>
        <v>Active</v>
      </c>
      <c r="N945">
        <v>0</v>
      </c>
      <c r="O945">
        <v>318</v>
      </c>
      <c r="P945">
        <v>8</v>
      </c>
      <c r="Q945">
        <v>407</v>
      </c>
      <c r="R945">
        <v>150</v>
      </c>
      <c r="S945">
        <v>35</v>
      </c>
      <c r="T945">
        <v>8</v>
      </c>
      <c r="U945">
        <v>926</v>
      </c>
      <c r="V945">
        <v>1</v>
      </c>
      <c r="W945">
        <v>2</v>
      </c>
      <c r="X945">
        <v>8</v>
      </c>
      <c r="Y945">
        <v>13</v>
      </c>
      <c r="Z945">
        <v>23</v>
      </c>
      <c r="AA945">
        <v>0</v>
      </c>
      <c r="AB945" t="str">
        <f t="shared" si="44"/>
        <v>Above average customer</v>
      </c>
    </row>
    <row r="946" spans="1:28" x14ac:dyDescent="0.35">
      <c r="A946">
        <v>2611</v>
      </c>
      <c r="B946">
        <v>1959</v>
      </c>
      <c r="C946" t="s">
        <v>25</v>
      </c>
      <c r="D946" t="s">
        <v>34</v>
      </c>
      <c r="E946" t="s">
        <v>29</v>
      </c>
      <c r="F946">
        <v>82576</v>
      </c>
      <c r="G946" t="str">
        <f t="shared" si="42"/>
        <v>High</v>
      </c>
      <c r="H946">
        <v>0</v>
      </c>
      <c r="I946">
        <v>0</v>
      </c>
      <c r="J946">
        <v>0</v>
      </c>
      <c r="K946" s="1">
        <v>41122</v>
      </c>
      <c r="L946">
        <v>66</v>
      </c>
      <c r="M946" t="str">
        <f t="shared" si="43"/>
        <v>Inactive</v>
      </c>
      <c r="N946">
        <v>0</v>
      </c>
      <c r="O946">
        <v>1206</v>
      </c>
      <c r="P946">
        <v>55</v>
      </c>
      <c r="Q946">
        <v>445</v>
      </c>
      <c r="R946">
        <v>168</v>
      </c>
      <c r="S946">
        <v>18</v>
      </c>
      <c r="T946">
        <v>18</v>
      </c>
      <c r="U946">
        <v>1910</v>
      </c>
      <c r="V946">
        <v>1</v>
      </c>
      <c r="W946">
        <v>2</v>
      </c>
      <c r="X946">
        <v>4</v>
      </c>
      <c r="Y946">
        <v>12</v>
      </c>
      <c r="Z946">
        <v>18</v>
      </c>
      <c r="AA946">
        <v>1</v>
      </c>
      <c r="AB946" t="str">
        <f t="shared" si="44"/>
        <v>Below average customer</v>
      </c>
    </row>
    <row r="947" spans="1:28" x14ac:dyDescent="0.35">
      <c r="A947">
        <v>3308</v>
      </c>
      <c r="B947">
        <v>1952</v>
      </c>
      <c r="C947" t="s">
        <v>36</v>
      </c>
      <c r="D947" t="s">
        <v>26</v>
      </c>
      <c r="E947" t="s">
        <v>33</v>
      </c>
      <c r="F947">
        <v>35704</v>
      </c>
      <c r="G947" t="str">
        <f t="shared" si="42"/>
        <v>Mid-low</v>
      </c>
      <c r="H947">
        <v>1</v>
      </c>
      <c r="I947">
        <v>1</v>
      </c>
      <c r="J947">
        <v>2</v>
      </c>
      <c r="K947" s="1">
        <v>41642</v>
      </c>
      <c r="L947">
        <v>54</v>
      </c>
      <c r="M947" t="str">
        <f t="shared" si="43"/>
        <v>Inactive</v>
      </c>
      <c r="N947">
        <v>0</v>
      </c>
      <c r="O947">
        <v>30</v>
      </c>
      <c r="P947">
        <v>9</v>
      </c>
      <c r="Q947">
        <v>12</v>
      </c>
      <c r="R947">
        <v>2</v>
      </c>
      <c r="S947">
        <v>11</v>
      </c>
      <c r="T947">
        <v>30</v>
      </c>
      <c r="U947">
        <v>94</v>
      </c>
      <c r="V947">
        <v>3</v>
      </c>
      <c r="W947">
        <v>2</v>
      </c>
      <c r="X947">
        <v>0</v>
      </c>
      <c r="Y947">
        <v>4</v>
      </c>
      <c r="Z947">
        <v>6</v>
      </c>
      <c r="AA947">
        <v>4</v>
      </c>
      <c r="AB947" t="str">
        <f t="shared" si="44"/>
        <v>Below average customer</v>
      </c>
    </row>
    <row r="948" spans="1:28" x14ac:dyDescent="0.35">
      <c r="A948">
        <v>5407</v>
      </c>
      <c r="B948">
        <v>1954</v>
      </c>
      <c r="C948" t="s">
        <v>25</v>
      </c>
      <c r="D948" t="s">
        <v>26</v>
      </c>
      <c r="E948" t="s">
        <v>29</v>
      </c>
      <c r="F948">
        <v>53103</v>
      </c>
      <c r="G948" t="str">
        <f t="shared" si="42"/>
        <v>Mid-high</v>
      </c>
      <c r="H948">
        <v>0</v>
      </c>
      <c r="I948">
        <v>1</v>
      </c>
      <c r="J948">
        <v>1</v>
      </c>
      <c r="K948" s="1">
        <v>41529</v>
      </c>
      <c r="L948">
        <v>70</v>
      </c>
      <c r="M948" t="str">
        <f t="shared" si="43"/>
        <v>Inactive</v>
      </c>
      <c r="N948">
        <v>0</v>
      </c>
      <c r="O948">
        <v>729</v>
      </c>
      <c r="P948">
        <v>17</v>
      </c>
      <c r="Q948">
        <v>133</v>
      </c>
      <c r="R948">
        <v>11</v>
      </c>
      <c r="S948">
        <v>0</v>
      </c>
      <c r="T948">
        <v>195</v>
      </c>
      <c r="U948">
        <v>1085</v>
      </c>
      <c r="V948">
        <v>5</v>
      </c>
      <c r="W948">
        <v>10</v>
      </c>
      <c r="X948">
        <v>6</v>
      </c>
      <c r="Y948">
        <v>7</v>
      </c>
      <c r="Z948">
        <v>23</v>
      </c>
      <c r="AA948">
        <v>7</v>
      </c>
      <c r="AB948" t="str">
        <f t="shared" si="44"/>
        <v>Below average customer</v>
      </c>
    </row>
    <row r="949" spans="1:28" x14ac:dyDescent="0.35">
      <c r="A949">
        <v>2166</v>
      </c>
      <c r="B949">
        <v>1960</v>
      </c>
      <c r="C949" t="s">
        <v>25</v>
      </c>
      <c r="D949" t="s">
        <v>34</v>
      </c>
      <c r="E949" t="s">
        <v>38</v>
      </c>
      <c r="F949">
        <v>46779</v>
      </c>
      <c r="G949" t="str">
        <f t="shared" si="42"/>
        <v>Mid-low</v>
      </c>
      <c r="H949">
        <v>1</v>
      </c>
      <c r="I949">
        <v>1</v>
      </c>
      <c r="J949">
        <v>2</v>
      </c>
      <c r="K949" s="1">
        <v>41467</v>
      </c>
      <c r="L949">
        <v>55</v>
      </c>
      <c r="M949" t="str">
        <f t="shared" si="43"/>
        <v>Inactive</v>
      </c>
      <c r="N949">
        <v>0</v>
      </c>
      <c r="O949">
        <v>12</v>
      </c>
      <c r="P949">
        <v>1</v>
      </c>
      <c r="Q949">
        <v>3</v>
      </c>
      <c r="R949">
        <v>0</v>
      </c>
      <c r="S949">
        <v>0</v>
      </c>
      <c r="T949">
        <v>7</v>
      </c>
      <c r="U949">
        <v>23</v>
      </c>
      <c r="V949">
        <v>1</v>
      </c>
      <c r="W949">
        <v>0</v>
      </c>
      <c r="X949">
        <v>1</v>
      </c>
      <c r="Y949">
        <v>2</v>
      </c>
      <c r="Z949">
        <v>3</v>
      </c>
      <c r="AA949">
        <v>4</v>
      </c>
      <c r="AB949" t="str">
        <f t="shared" si="44"/>
        <v>Below average customer</v>
      </c>
    </row>
    <row r="950" spans="1:28" x14ac:dyDescent="0.35">
      <c r="A950">
        <v>3955</v>
      </c>
      <c r="B950">
        <v>1965</v>
      </c>
      <c r="C950" t="s">
        <v>28</v>
      </c>
      <c r="D950" t="s">
        <v>26</v>
      </c>
      <c r="E950" t="s">
        <v>35</v>
      </c>
      <c r="F950">
        <v>4861</v>
      </c>
      <c r="G950" t="str">
        <f t="shared" si="42"/>
        <v>Low</v>
      </c>
      <c r="H950">
        <v>0</v>
      </c>
      <c r="I950">
        <v>0</v>
      </c>
      <c r="J950">
        <v>0</v>
      </c>
      <c r="K950" s="1">
        <v>41812</v>
      </c>
      <c r="L950">
        <v>20</v>
      </c>
      <c r="M950" t="str">
        <f t="shared" si="43"/>
        <v>Active</v>
      </c>
      <c r="N950">
        <v>0</v>
      </c>
      <c r="O950">
        <v>2</v>
      </c>
      <c r="P950">
        <v>1</v>
      </c>
      <c r="Q950">
        <v>1</v>
      </c>
      <c r="R950">
        <v>1</v>
      </c>
      <c r="S950">
        <v>0</v>
      </c>
      <c r="T950">
        <v>1</v>
      </c>
      <c r="U950">
        <v>6</v>
      </c>
      <c r="V950">
        <v>0</v>
      </c>
      <c r="W950">
        <v>0</v>
      </c>
      <c r="X950">
        <v>0</v>
      </c>
      <c r="Y950">
        <v>0</v>
      </c>
      <c r="Z950">
        <v>0</v>
      </c>
      <c r="AA950">
        <v>14</v>
      </c>
      <c r="AB950" t="str">
        <f t="shared" si="44"/>
        <v>Below average customer</v>
      </c>
    </row>
    <row r="951" spans="1:28" x14ac:dyDescent="0.35">
      <c r="A951">
        <v>6634</v>
      </c>
      <c r="B951">
        <v>1979</v>
      </c>
      <c r="C951" t="s">
        <v>31</v>
      </c>
      <c r="D951" t="s">
        <v>34</v>
      </c>
      <c r="E951" t="s">
        <v>35</v>
      </c>
      <c r="F951">
        <v>33462</v>
      </c>
      <c r="G951" t="str">
        <f t="shared" si="42"/>
        <v>Low</v>
      </c>
      <c r="H951">
        <v>1</v>
      </c>
      <c r="I951">
        <v>0</v>
      </c>
      <c r="J951">
        <v>1</v>
      </c>
      <c r="K951" s="1">
        <v>41493</v>
      </c>
      <c r="L951">
        <v>78</v>
      </c>
      <c r="M951" t="str">
        <f t="shared" si="43"/>
        <v>Inactive</v>
      </c>
      <c r="N951">
        <v>0</v>
      </c>
      <c r="O951">
        <v>22</v>
      </c>
      <c r="P951">
        <v>3</v>
      </c>
      <c r="Q951">
        <v>18</v>
      </c>
      <c r="R951">
        <v>0</v>
      </c>
      <c r="S951">
        <v>0</v>
      </c>
      <c r="T951">
        <v>11</v>
      </c>
      <c r="U951">
        <v>54</v>
      </c>
      <c r="V951">
        <v>1</v>
      </c>
      <c r="W951">
        <v>2</v>
      </c>
      <c r="X951">
        <v>0</v>
      </c>
      <c r="Y951">
        <v>3</v>
      </c>
      <c r="Z951">
        <v>5</v>
      </c>
      <c r="AA951">
        <v>7</v>
      </c>
      <c r="AB951" t="str">
        <f t="shared" si="44"/>
        <v>Below average customer</v>
      </c>
    </row>
    <row r="952" spans="1:28" x14ac:dyDescent="0.35">
      <c r="A952">
        <v>5718</v>
      </c>
      <c r="B952">
        <v>1950</v>
      </c>
      <c r="C952" t="s">
        <v>36</v>
      </c>
      <c r="D952" t="s">
        <v>26</v>
      </c>
      <c r="E952" t="s">
        <v>33</v>
      </c>
      <c r="F952">
        <v>80763</v>
      </c>
      <c r="G952" t="str">
        <f t="shared" si="42"/>
        <v>High</v>
      </c>
      <c r="H952">
        <v>0</v>
      </c>
      <c r="I952">
        <v>0</v>
      </c>
      <c r="J952">
        <v>0</v>
      </c>
      <c r="K952" s="1">
        <v>41501</v>
      </c>
      <c r="L952">
        <v>17</v>
      </c>
      <c r="M952" t="str">
        <f t="shared" si="43"/>
        <v>Active</v>
      </c>
      <c r="N952">
        <v>0</v>
      </c>
      <c r="O952">
        <v>674</v>
      </c>
      <c r="P952">
        <v>168</v>
      </c>
      <c r="Q952">
        <v>108</v>
      </c>
      <c r="R952">
        <v>192</v>
      </c>
      <c r="S952">
        <v>42</v>
      </c>
      <c r="T952">
        <v>231</v>
      </c>
      <c r="U952">
        <v>1415</v>
      </c>
      <c r="V952">
        <v>1</v>
      </c>
      <c r="W952">
        <v>5</v>
      </c>
      <c r="X952">
        <v>11</v>
      </c>
      <c r="Y952">
        <v>6</v>
      </c>
      <c r="Z952">
        <v>22</v>
      </c>
      <c r="AA952">
        <v>3</v>
      </c>
      <c r="AB952" t="str">
        <f t="shared" si="44"/>
        <v>Above average customer</v>
      </c>
    </row>
    <row r="953" spans="1:28" x14ac:dyDescent="0.35">
      <c r="A953">
        <v>6872</v>
      </c>
      <c r="B953">
        <v>1974</v>
      </c>
      <c r="C953" t="s">
        <v>31</v>
      </c>
      <c r="D953" t="s">
        <v>32</v>
      </c>
      <c r="E953" t="s">
        <v>33</v>
      </c>
      <c r="F953">
        <v>65352</v>
      </c>
      <c r="G953" t="str">
        <f t="shared" si="42"/>
        <v>Mid-high</v>
      </c>
      <c r="H953">
        <v>0</v>
      </c>
      <c r="I953">
        <v>1</v>
      </c>
      <c r="J953">
        <v>1</v>
      </c>
      <c r="K953" s="1">
        <v>41507</v>
      </c>
      <c r="L953">
        <v>43</v>
      </c>
      <c r="M953" t="str">
        <f t="shared" si="43"/>
        <v>Active</v>
      </c>
      <c r="N953">
        <v>0</v>
      </c>
      <c r="O953">
        <v>284</v>
      </c>
      <c r="P953">
        <v>3</v>
      </c>
      <c r="Q953">
        <v>84</v>
      </c>
      <c r="R953">
        <v>4</v>
      </c>
      <c r="S953">
        <v>7</v>
      </c>
      <c r="T953">
        <v>23</v>
      </c>
      <c r="U953">
        <v>405</v>
      </c>
      <c r="V953">
        <v>2</v>
      </c>
      <c r="W953">
        <v>4</v>
      </c>
      <c r="X953">
        <v>2</v>
      </c>
      <c r="Y953">
        <v>8</v>
      </c>
      <c r="Z953">
        <v>14</v>
      </c>
      <c r="AA953">
        <v>4</v>
      </c>
      <c r="AB953" t="str">
        <f t="shared" si="44"/>
        <v>Below average customer</v>
      </c>
    </row>
    <row r="954" spans="1:28" x14ac:dyDescent="0.35">
      <c r="A954">
        <v>8164</v>
      </c>
      <c r="B954">
        <v>1978</v>
      </c>
      <c r="C954" t="s">
        <v>31</v>
      </c>
      <c r="D954" t="s">
        <v>32</v>
      </c>
      <c r="E954" t="s">
        <v>33</v>
      </c>
      <c r="F954">
        <v>82170</v>
      </c>
      <c r="G954" t="str">
        <f t="shared" si="42"/>
        <v>High</v>
      </c>
      <c r="H954">
        <v>0</v>
      </c>
      <c r="I954">
        <v>0</v>
      </c>
      <c r="J954">
        <v>0</v>
      </c>
      <c r="K954" s="1">
        <v>41603</v>
      </c>
      <c r="L954">
        <v>13</v>
      </c>
      <c r="M954" t="str">
        <f t="shared" si="43"/>
        <v>Active</v>
      </c>
      <c r="N954">
        <v>0</v>
      </c>
      <c r="O954">
        <v>1023</v>
      </c>
      <c r="P954">
        <v>93</v>
      </c>
      <c r="Q954">
        <v>651</v>
      </c>
      <c r="R954">
        <v>49</v>
      </c>
      <c r="S954">
        <v>55</v>
      </c>
      <c r="T954">
        <v>37</v>
      </c>
      <c r="U954">
        <v>1908</v>
      </c>
      <c r="V954">
        <v>1</v>
      </c>
      <c r="W954">
        <v>5</v>
      </c>
      <c r="X954">
        <v>6</v>
      </c>
      <c r="Y954">
        <v>7</v>
      </c>
      <c r="Z954">
        <v>18</v>
      </c>
      <c r="AA954">
        <v>2</v>
      </c>
      <c r="AB954" t="str">
        <f t="shared" si="44"/>
        <v>Above average customer</v>
      </c>
    </row>
    <row r="955" spans="1:28" x14ac:dyDescent="0.35">
      <c r="A955">
        <v>4580</v>
      </c>
      <c r="B955">
        <v>1969</v>
      </c>
      <c r="C955" t="s">
        <v>28</v>
      </c>
      <c r="D955" t="s">
        <v>26</v>
      </c>
      <c r="E955" t="s">
        <v>33</v>
      </c>
      <c r="F955">
        <v>75759</v>
      </c>
      <c r="G955" t="str">
        <f t="shared" si="42"/>
        <v>High</v>
      </c>
      <c r="H955">
        <v>0</v>
      </c>
      <c r="I955">
        <v>0</v>
      </c>
      <c r="J955">
        <v>0</v>
      </c>
      <c r="K955" s="1">
        <v>41572</v>
      </c>
      <c r="L955">
        <v>46</v>
      </c>
      <c r="M955" t="str">
        <f t="shared" si="43"/>
        <v>Active</v>
      </c>
      <c r="N955">
        <v>0</v>
      </c>
      <c r="O955">
        <v>1394</v>
      </c>
      <c r="P955">
        <v>22</v>
      </c>
      <c r="Q955">
        <v>708</v>
      </c>
      <c r="R955">
        <v>89</v>
      </c>
      <c r="S955">
        <v>91</v>
      </c>
      <c r="T955">
        <v>182</v>
      </c>
      <c r="U955">
        <v>2486</v>
      </c>
      <c r="V955">
        <v>1</v>
      </c>
      <c r="W955">
        <v>9</v>
      </c>
      <c r="X955">
        <v>7</v>
      </c>
      <c r="Y955">
        <v>9</v>
      </c>
      <c r="Z955">
        <v>25</v>
      </c>
      <c r="AA955">
        <v>5</v>
      </c>
      <c r="AB955" t="str">
        <f t="shared" si="44"/>
        <v>Above average customer</v>
      </c>
    </row>
    <row r="956" spans="1:28" x14ac:dyDescent="0.35">
      <c r="A956">
        <v>9305</v>
      </c>
      <c r="B956">
        <v>1976</v>
      </c>
      <c r="C956" t="s">
        <v>31</v>
      </c>
      <c r="D956" t="s">
        <v>34</v>
      </c>
      <c r="E956" t="s">
        <v>27</v>
      </c>
      <c r="F956">
        <v>79689</v>
      </c>
      <c r="G956" t="str">
        <f t="shared" si="42"/>
        <v>High</v>
      </c>
      <c r="H956">
        <v>0</v>
      </c>
      <c r="I956">
        <v>0</v>
      </c>
      <c r="J956">
        <v>0</v>
      </c>
      <c r="K956" s="1">
        <v>41406</v>
      </c>
      <c r="L956">
        <v>65</v>
      </c>
      <c r="M956" t="str">
        <f t="shared" si="43"/>
        <v>Inactive</v>
      </c>
      <c r="N956">
        <v>0</v>
      </c>
      <c r="O956">
        <v>311</v>
      </c>
      <c r="P956">
        <v>26</v>
      </c>
      <c r="Q956">
        <v>640</v>
      </c>
      <c r="R956">
        <v>180</v>
      </c>
      <c r="S956">
        <v>37</v>
      </c>
      <c r="T956">
        <v>121</v>
      </c>
      <c r="U956">
        <v>1315</v>
      </c>
      <c r="V956">
        <v>1</v>
      </c>
      <c r="W956">
        <v>4</v>
      </c>
      <c r="X956">
        <v>9</v>
      </c>
      <c r="Y956">
        <v>13</v>
      </c>
      <c r="Z956">
        <v>26</v>
      </c>
      <c r="AA956">
        <v>2</v>
      </c>
      <c r="AB956" t="str">
        <f t="shared" si="44"/>
        <v>Below average customer</v>
      </c>
    </row>
    <row r="957" spans="1:28" x14ac:dyDescent="0.35">
      <c r="A957">
        <v>453</v>
      </c>
      <c r="B957">
        <v>1956</v>
      </c>
      <c r="C957" t="s">
        <v>25</v>
      </c>
      <c r="D957" t="s">
        <v>32</v>
      </c>
      <c r="E957" t="s">
        <v>38</v>
      </c>
      <c r="F957">
        <v>35340</v>
      </c>
      <c r="G957" t="str">
        <f t="shared" si="42"/>
        <v>Low</v>
      </c>
      <c r="H957">
        <v>1</v>
      </c>
      <c r="I957">
        <v>1</v>
      </c>
      <c r="J957">
        <v>2</v>
      </c>
      <c r="K957" s="1">
        <v>41819</v>
      </c>
      <c r="L957">
        <v>1</v>
      </c>
      <c r="M957" t="str">
        <f t="shared" si="43"/>
        <v>Active</v>
      </c>
      <c r="N957">
        <v>0</v>
      </c>
      <c r="O957">
        <v>27</v>
      </c>
      <c r="P957">
        <v>0</v>
      </c>
      <c r="Q957">
        <v>12</v>
      </c>
      <c r="R957">
        <v>0</v>
      </c>
      <c r="S957">
        <v>1</v>
      </c>
      <c r="T957">
        <v>5</v>
      </c>
      <c r="U957">
        <v>45</v>
      </c>
      <c r="V957">
        <v>2</v>
      </c>
      <c r="W957">
        <v>2</v>
      </c>
      <c r="X957">
        <v>0</v>
      </c>
      <c r="Y957">
        <v>3</v>
      </c>
      <c r="Z957">
        <v>5</v>
      </c>
      <c r="AA957">
        <v>5</v>
      </c>
      <c r="AB957" t="str">
        <f t="shared" si="44"/>
        <v>Below average customer</v>
      </c>
    </row>
    <row r="958" spans="1:28" x14ac:dyDescent="0.35">
      <c r="A958">
        <v>8545</v>
      </c>
      <c r="B958">
        <v>1954</v>
      </c>
      <c r="C958" t="s">
        <v>25</v>
      </c>
      <c r="D958" t="s">
        <v>26</v>
      </c>
      <c r="E958" t="s">
        <v>35</v>
      </c>
      <c r="F958">
        <v>85683</v>
      </c>
      <c r="G958" t="str">
        <f t="shared" si="42"/>
        <v>High</v>
      </c>
      <c r="H958">
        <v>0</v>
      </c>
      <c r="I958">
        <v>0</v>
      </c>
      <c r="J958">
        <v>0</v>
      </c>
      <c r="K958" s="1">
        <v>41719</v>
      </c>
      <c r="L958">
        <v>6</v>
      </c>
      <c r="M958" t="str">
        <f t="shared" si="43"/>
        <v>Active</v>
      </c>
      <c r="N958">
        <v>0</v>
      </c>
      <c r="O958">
        <v>1296</v>
      </c>
      <c r="P958">
        <v>17</v>
      </c>
      <c r="Q958">
        <v>311</v>
      </c>
      <c r="R958">
        <v>45</v>
      </c>
      <c r="S958">
        <v>69</v>
      </c>
      <c r="T958">
        <v>51</v>
      </c>
      <c r="U958">
        <v>1789</v>
      </c>
      <c r="V958">
        <v>1</v>
      </c>
      <c r="W958">
        <v>2</v>
      </c>
      <c r="X958">
        <v>4</v>
      </c>
      <c r="Y958">
        <v>10</v>
      </c>
      <c r="Z958">
        <v>16</v>
      </c>
      <c r="AA958">
        <v>1</v>
      </c>
      <c r="AB958" t="str">
        <f t="shared" si="44"/>
        <v>Above average customer</v>
      </c>
    </row>
    <row r="959" spans="1:28" x14ac:dyDescent="0.35">
      <c r="A959">
        <v>9850</v>
      </c>
      <c r="B959">
        <v>1972</v>
      </c>
      <c r="C959" t="s">
        <v>28</v>
      </c>
      <c r="D959" t="s">
        <v>34</v>
      </c>
      <c r="E959" t="s">
        <v>33</v>
      </c>
      <c r="F959">
        <v>24884</v>
      </c>
      <c r="G959" t="str">
        <f t="shared" si="42"/>
        <v>Low</v>
      </c>
      <c r="H959">
        <v>1</v>
      </c>
      <c r="I959">
        <v>0</v>
      </c>
      <c r="J959">
        <v>1</v>
      </c>
      <c r="K959" s="1">
        <v>41242</v>
      </c>
      <c r="L959">
        <v>32</v>
      </c>
      <c r="M959" t="str">
        <f t="shared" si="43"/>
        <v>Active</v>
      </c>
      <c r="N959">
        <v>0</v>
      </c>
      <c r="O959">
        <v>3</v>
      </c>
      <c r="P959">
        <v>6</v>
      </c>
      <c r="Q959">
        <v>7</v>
      </c>
      <c r="R959">
        <v>0</v>
      </c>
      <c r="S959">
        <v>0</v>
      </c>
      <c r="T959">
        <v>3</v>
      </c>
      <c r="U959">
        <v>19</v>
      </c>
      <c r="V959">
        <v>1</v>
      </c>
      <c r="W959">
        <v>0</v>
      </c>
      <c r="X959">
        <v>0</v>
      </c>
      <c r="Y959">
        <v>3</v>
      </c>
      <c r="Z959">
        <v>3</v>
      </c>
      <c r="AA959">
        <v>7</v>
      </c>
      <c r="AB959" t="str">
        <f t="shared" si="44"/>
        <v>Below average customer</v>
      </c>
    </row>
    <row r="960" spans="1:28" x14ac:dyDescent="0.35">
      <c r="A960">
        <v>7378</v>
      </c>
      <c r="B960">
        <v>1981</v>
      </c>
      <c r="C960" t="s">
        <v>31</v>
      </c>
      <c r="D960" t="s">
        <v>34</v>
      </c>
      <c r="E960" t="s">
        <v>29</v>
      </c>
      <c r="F960">
        <v>42021</v>
      </c>
      <c r="G960" t="str">
        <f t="shared" si="42"/>
        <v>Mid-low</v>
      </c>
      <c r="H960">
        <v>1</v>
      </c>
      <c r="I960">
        <v>0</v>
      </c>
      <c r="J960">
        <v>1</v>
      </c>
      <c r="K960" s="1">
        <v>41152</v>
      </c>
      <c r="L960">
        <v>34</v>
      </c>
      <c r="M960" t="str">
        <f t="shared" si="43"/>
        <v>Active</v>
      </c>
      <c r="N960">
        <v>0</v>
      </c>
      <c r="O960">
        <v>393</v>
      </c>
      <c r="P960">
        <v>5</v>
      </c>
      <c r="Q960">
        <v>136</v>
      </c>
      <c r="R960">
        <v>7</v>
      </c>
      <c r="S960">
        <v>5</v>
      </c>
      <c r="T960">
        <v>27</v>
      </c>
      <c r="U960">
        <v>573</v>
      </c>
      <c r="V960">
        <v>5</v>
      </c>
      <c r="W960">
        <v>10</v>
      </c>
      <c r="X960">
        <v>1</v>
      </c>
      <c r="Y960">
        <v>6</v>
      </c>
      <c r="Z960">
        <v>17</v>
      </c>
      <c r="AA960">
        <v>9</v>
      </c>
      <c r="AB960" t="str">
        <f t="shared" si="44"/>
        <v>Below average customer</v>
      </c>
    </row>
    <row r="961" spans="1:28" x14ac:dyDescent="0.35">
      <c r="A961">
        <v>7646</v>
      </c>
      <c r="B961">
        <v>1989</v>
      </c>
      <c r="C961" t="s">
        <v>30</v>
      </c>
      <c r="D961" t="s">
        <v>26</v>
      </c>
      <c r="E961" t="s">
        <v>27</v>
      </c>
      <c r="F961">
        <v>64449</v>
      </c>
      <c r="G961" t="str">
        <f t="shared" si="42"/>
        <v>Mid-high</v>
      </c>
      <c r="H961">
        <v>1</v>
      </c>
      <c r="I961">
        <v>0</v>
      </c>
      <c r="J961">
        <v>1</v>
      </c>
      <c r="K961" s="1">
        <v>41688</v>
      </c>
      <c r="L961">
        <v>70</v>
      </c>
      <c r="M961" t="str">
        <f t="shared" si="43"/>
        <v>Inactive</v>
      </c>
      <c r="N961">
        <v>0</v>
      </c>
      <c r="O961">
        <v>218</v>
      </c>
      <c r="P961">
        <v>63</v>
      </c>
      <c r="Q961">
        <v>282</v>
      </c>
      <c r="R961">
        <v>137</v>
      </c>
      <c r="S961">
        <v>35</v>
      </c>
      <c r="T961">
        <v>70</v>
      </c>
      <c r="U961">
        <v>805</v>
      </c>
      <c r="V961">
        <v>4</v>
      </c>
      <c r="W961">
        <v>5</v>
      </c>
      <c r="X961">
        <v>3</v>
      </c>
      <c r="Y961">
        <v>12</v>
      </c>
      <c r="Z961">
        <v>20</v>
      </c>
      <c r="AA961">
        <v>4</v>
      </c>
      <c r="AB961" t="str">
        <f t="shared" si="44"/>
        <v>Below average customer</v>
      </c>
    </row>
    <row r="962" spans="1:28" x14ac:dyDescent="0.35">
      <c r="A962">
        <v>1640</v>
      </c>
      <c r="B962">
        <v>1954</v>
      </c>
      <c r="C962" t="s">
        <v>25</v>
      </c>
      <c r="D962" t="s">
        <v>26</v>
      </c>
      <c r="E962" t="s">
        <v>35</v>
      </c>
      <c r="F962">
        <v>64587</v>
      </c>
      <c r="G962" t="str">
        <f t="shared" ref="G962:G1025" si="45">IF(F962&lt;=_xlfn.PERCENTILE.INC($F$2:$F$2056,0.25),"Low",IF(F962&lt;=_xlfn.PERCENTILE.INC($F$2:$F$2056,0.5),"Mid-low",IF(F962&lt;=_xlfn.PERCENTILE.INC($F$2:$F$2056,0.75),"Mid-high","High")))</f>
        <v>Mid-high</v>
      </c>
      <c r="H962">
        <v>1</v>
      </c>
      <c r="I962">
        <v>1</v>
      </c>
      <c r="J962">
        <v>2</v>
      </c>
      <c r="K962" s="1">
        <v>41812</v>
      </c>
      <c r="L962">
        <v>49</v>
      </c>
      <c r="M962" t="str">
        <f t="shared" ref="M962:M1025" si="46">IF(L962&gt;AVERAGE($L$2:$L$2056),"Inactive","Active")</f>
        <v>Inactive</v>
      </c>
      <c r="N962">
        <v>0</v>
      </c>
      <c r="O962">
        <v>66</v>
      </c>
      <c r="P962">
        <v>0</v>
      </c>
      <c r="Q962">
        <v>16</v>
      </c>
      <c r="R962">
        <v>0</v>
      </c>
      <c r="S962">
        <v>6</v>
      </c>
      <c r="T962">
        <v>20</v>
      </c>
      <c r="U962">
        <v>108</v>
      </c>
      <c r="V962">
        <v>2</v>
      </c>
      <c r="W962">
        <v>1</v>
      </c>
      <c r="X962">
        <v>1</v>
      </c>
      <c r="Y962">
        <v>4</v>
      </c>
      <c r="Z962">
        <v>6</v>
      </c>
      <c r="AA962">
        <v>3</v>
      </c>
      <c r="AB962" t="str">
        <f t="shared" ref="AB962:AB1025" si="47">IF(AND(Z962&gt;AVERAGE($Z$2:$Z$2056),U962&gt;AVERAGE($U$2:$U$2056),N962=0,L962&lt;AVERAGE($L$2:$L$2056),F962&gt;AVERAGE($F$2:$F$2240)),"Above average customer","Below average customer")</f>
        <v>Below average customer</v>
      </c>
    </row>
    <row r="963" spans="1:28" x14ac:dyDescent="0.35">
      <c r="A963">
        <v>8492</v>
      </c>
      <c r="B963">
        <v>1978</v>
      </c>
      <c r="C963" t="s">
        <v>31</v>
      </c>
      <c r="D963" t="s">
        <v>26</v>
      </c>
      <c r="E963" t="s">
        <v>29</v>
      </c>
      <c r="F963">
        <v>75437</v>
      </c>
      <c r="G963" t="str">
        <f t="shared" si="45"/>
        <v>High</v>
      </c>
      <c r="H963">
        <v>0</v>
      </c>
      <c r="I963">
        <v>0</v>
      </c>
      <c r="J963">
        <v>0</v>
      </c>
      <c r="K963" s="1">
        <v>41587</v>
      </c>
      <c r="L963">
        <v>25</v>
      </c>
      <c r="M963" t="str">
        <f t="shared" si="46"/>
        <v>Active</v>
      </c>
      <c r="N963">
        <v>0</v>
      </c>
      <c r="O963">
        <v>795</v>
      </c>
      <c r="P963">
        <v>0</v>
      </c>
      <c r="Q963">
        <v>545</v>
      </c>
      <c r="R963">
        <v>95</v>
      </c>
      <c r="S963">
        <v>58</v>
      </c>
      <c r="T963">
        <v>0</v>
      </c>
      <c r="U963">
        <v>1493</v>
      </c>
      <c r="V963">
        <v>1</v>
      </c>
      <c r="W963">
        <v>8</v>
      </c>
      <c r="X963">
        <v>4</v>
      </c>
      <c r="Y963">
        <v>10</v>
      </c>
      <c r="Z963">
        <v>22</v>
      </c>
      <c r="AA963">
        <v>6</v>
      </c>
      <c r="AB963" t="str">
        <f t="shared" si="47"/>
        <v>Above average customer</v>
      </c>
    </row>
    <row r="964" spans="1:28" x14ac:dyDescent="0.35">
      <c r="A964">
        <v>1212</v>
      </c>
      <c r="B964">
        <v>1973</v>
      </c>
      <c r="C964" t="s">
        <v>31</v>
      </c>
      <c r="D964" t="s">
        <v>26</v>
      </c>
      <c r="E964" t="s">
        <v>33</v>
      </c>
      <c r="F964">
        <v>52845</v>
      </c>
      <c r="G964" t="str">
        <f t="shared" si="45"/>
        <v>Mid-high</v>
      </c>
      <c r="H964">
        <v>1</v>
      </c>
      <c r="I964">
        <v>0</v>
      </c>
      <c r="J964">
        <v>1</v>
      </c>
      <c r="K964" s="1">
        <v>41499</v>
      </c>
      <c r="L964">
        <v>7</v>
      </c>
      <c r="M964" t="str">
        <f t="shared" si="46"/>
        <v>Active</v>
      </c>
      <c r="N964">
        <v>0</v>
      </c>
      <c r="O964">
        <v>384</v>
      </c>
      <c r="P964">
        <v>25</v>
      </c>
      <c r="Q964">
        <v>292</v>
      </c>
      <c r="R964">
        <v>130</v>
      </c>
      <c r="S964">
        <v>41</v>
      </c>
      <c r="T964">
        <v>64</v>
      </c>
      <c r="U964">
        <v>936</v>
      </c>
      <c r="V964">
        <v>3</v>
      </c>
      <c r="W964">
        <v>8</v>
      </c>
      <c r="X964">
        <v>8</v>
      </c>
      <c r="Y964">
        <v>6</v>
      </c>
      <c r="Z964">
        <v>22</v>
      </c>
      <c r="AA964">
        <v>6</v>
      </c>
      <c r="AB964" t="str">
        <f t="shared" si="47"/>
        <v>Above average customer</v>
      </c>
    </row>
    <row r="965" spans="1:28" x14ac:dyDescent="0.35">
      <c r="A965">
        <v>9097</v>
      </c>
      <c r="B965">
        <v>1956</v>
      </c>
      <c r="C965" t="s">
        <v>25</v>
      </c>
      <c r="D965" t="s">
        <v>26</v>
      </c>
      <c r="E965" t="s">
        <v>35</v>
      </c>
      <c r="F965">
        <v>46086</v>
      </c>
      <c r="G965" t="str">
        <f t="shared" si="45"/>
        <v>Mid-low</v>
      </c>
      <c r="H965">
        <v>0</v>
      </c>
      <c r="I965">
        <v>1</v>
      </c>
      <c r="J965">
        <v>1</v>
      </c>
      <c r="K965" s="1">
        <v>41581</v>
      </c>
      <c r="L965">
        <v>34</v>
      </c>
      <c r="M965" t="str">
        <f t="shared" si="46"/>
        <v>Active</v>
      </c>
      <c r="N965">
        <v>0</v>
      </c>
      <c r="O965">
        <v>244</v>
      </c>
      <c r="P965">
        <v>8</v>
      </c>
      <c r="Q965">
        <v>32</v>
      </c>
      <c r="R965">
        <v>7</v>
      </c>
      <c r="S965">
        <v>2</v>
      </c>
      <c r="T965">
        <v>50</v>
      </c>
      <c r="U965">
        <v>343</v>
      </c>
      <c r="V965">
        <v>4</v>
      </c>
      <c r="W965">
        <v>3</v>
      </c>
      <c r="X965">
        <v>1</v>
      </c>
      <c r="Y965">
        <v>8</v>
      </c>
      <c r="Z965">
        <v>12</v>
      </c>
      <c r="AA965">
        <v>4</v>
      </c>
      <c r="AB965" t="str">
        <f t="shared" si="47"/>
        <v>Below average customer</v>
      </c>
    </row>
    <row r="966" spans="1:28" x14ac:dyDescent="0.35">
      <c r="A966">
        <v>10473</v>
      </c>
      <c r="B966">
        <v>1956</v>
      </c>
      <c r="C966" t="s">
        <v>25</v>
      </c>
      <c r="D966" t="s">
        <v>32</v>
      </c>
      <c r="E966" t="s">
        <v>38</v>
      </c>
      <c r="F966">
        <v>78028</v>
      </c>
      <c r="G966" t="str">
        <f t="shared" si="45"/>
        <v>High</v>
      </c>
      <c r="H966">
        <v>0</v>
      </c>
      <c r="I966">
        <v>1</v>
      </c>
      <c r="J966">
        <v>1</v>
      </c>
      <c r="K966" s="1">
        <v>41162</v>
      </c>
      <c r="L966">
        <v>38</v>
      </c>
      <c r="M966" t="str">
        <f t="shared" si="46"/>
        <v>Active</v>
      </c>
      <c r="N966">
        <v>0</v>
      </c>
      <c r="O966">
        <v>158</v>
      </c>
      <c r="P966">
        <v>19</v>
      </c>
      <c r="Q966">
        <v>288</v>
      </c>
      <c r="R966">
        <v>25</v>
      </c>
      <c r="S966">
        <v>0</v>
      </c>
      <c r="T966">
        <v>38</v>
      </c>
      <c r="U966">
        <v>528</v>
      </c>
      <c r="V966">
        <v>1</v>
      </c>
      <c r="W966">
        <v>6</v>
      </c>
      <c r="X966">
        <v>4</v>
      </c>
      <c r="Y966">
        <v>9</v>
      </c>
      <c r="Z966">
        <v>19</v>
      </c>
      <c r="AA966">
        <v>7</v>
      </c>
      <c r="AB966" t="str">
        <f t="shared" si="47"/>
        <v>Below average customer</v>
      </c>
    </row>
    <row r="967" spans="1:28" x14ac:dyDescent="0.35">
      <c r="A967">
        <v>7962</v>
      </c>
      <c r="B967">
        <v>1987</v>
      </c>
      <c r="C967" t="s">
        <v>30</v>
      </c>
      <c r="D967" t="s">
        <v>32</v>
      </c>
      <c r="E967" t="s">
        <v>27</v>
      </c>
      <c r="F967">
        <v>95169</v>
      </c>
      <c r="G967" t="str">
        <f t="shared" si="45"/>
        <v>High</v>
      </c>
      <c r="H967">
        <v>0</v>
      </c>
      <c r="I967">
        <v>0</v>
      </c>
      <c r="J967">
        <v>0</v>
      </c>
      <c r="K967" s="1">
        <v>41556</v>
      </c>
      <c r="L967">
        <v>1</v>
      </c>
      <c r="M967" t="str">
        <f t="shared" si="46"/>
        <v>Active</v>
      </c>
      <c r="N967">
        <v>0</v>
      </c>
      <c r="O967">
        <v>1285</v>
      </c>
      <c r="P967">
        <v>21</v>
      </c>
      <c r="Q967">
        <v>449</v>
      </c>
      <c r="R967">
        <v>106</v>
      </c>
      <c r="S967">
        <v>20</v>
      </c>
      <c r="T967">
        <v>20</v>
      </c>
      <c r="U967">
        <v>1901</v>
      </c>
      <c r="V967">
        <v>1</v>
      </c>
      <c r="W967">
        <v>4</v>
      </c>
      <c r="X967">
        <v>3</v>
      </c>
      <c r="Y967">
        <v>4</v>
      </c>
      <c r="Z967">
        <v>11</v>
      </c>
      <c r="AA967">
        <v>1</v>
      </c>
      <c r="AB967" t="str">
        <f t="shared" si="47"/>
        <v>Below average customer</v>
      </c>
    </row>
    <row r="968" spans="1:28" x14ac:dyDescent="0.35">
      <c r="A968">
        <v>9984</v>
      </c>
      <c r="B968">
        <v>1981</v>
      </c>
      <c r="C968" t="s">
        <v>31</v>
      </c>
      <c r="D968" t="s">
        <v>34</v>
      </c>
      <c r="E968" t="s">
        <v>33</v>
      </c>
      <c r="F968">
        <v>56337</v>
      </c>
      <c r="G968" t="str">
        <f t="shared" si="45"/>
        <v>Mid-high</v>
      </c>
      <c r="H968">
        <v>1</v>
      </c>
      <c r="I968">
        <v>1</v>
      </c>
      <c r="J968">
        <v>2</v>
      </c>
      <c r="K968" s="1">
        <v>41360</v>
      </c>
      <c r="L968">
        <v>25</v>
      </c>
      <c r="M968" t="str">
        <f t="shared" si="46"/>
        <v>Active</v>
      </c>
      <c r="N968">
        <v>0</v>
      </c>
      <c r="O968">
        <v>349</v>
      </c>
      <c r="P968">
        <v>16</v>
      </c>
      <c r="Q968">
        <v>144</v>
      </c>
      <c r="R968">
        <v>28</v>
      </c>
      <c r="S968">
        <v>5</v>
      </c>
      <c r="T968">
        <v>182</v>
      </c>
      <c r="U968">
        <v>724</v>
      </c>
      <c r="V968">
        <v>5</v>
      </c>
      <c r="W968">
        <v>8</v>
      </c>
      <c r="X968">
        <v>5</v>
      </c>
      <c r="Y968">
        <v>4</v>
      </c>
      <c r="Z968">
        <v>17</v>
      </c>
      <c r="AA968">
        <v>8</v>
      </c>
      <c r="AB968" t="str">
        <f t="shared" si="47"/>
        <v>Above average customer</v>
      </c>
    </row>
    <row r="969" spans="1:28" x14ac:dyDescent="0.35">
      <c r="A969">
        <v>5527</v>
      </c>
      <c r="B969">
        <v>1987</v>
      </c>
      <c r="C969" t="s">
        <v>30</v>
      </c>
      <c r="D969" t="s">
        <v>26</v>
      </c>
      <c r="E969" t="s">
        <v>29</v>
      </c>
      <c r="F969">
        <v>22434</v>
      </c>
      <c r="G969" t="str">
        <f t="shared" si="45"/>
        <v>Low</v>
      </c>
      <c r="H969">
        <v>1</v>
      </c>
      <c r="I969">
        <v>0</v>
      </c>
      <c r="J969">
        <v>1</v>
      </c>
      <c r="K969" s="1">
        <v>41318</v>
      </c>
      <c r="L969">
        <v>25</v>
      </c>
      <c r="M969" t="str">
        <f t="shared" si="46"/>
        <v>Active</v>
      </c>
      <c r="N969">
        <v>0</v>
      </c>
      <c r="O969">
        <v>4</v>
      </c>
      <c r="P969">
        <v>12</v>
      </c>
      <c r="Q969">
        <v>11</v>
      </c>
      <c r="R969">
        <v>3</v>
      </c>
      <c r="S969">
        <v>13</v>
      </c>
      <c r="T969">
        <v>15</v>
      </c>
      <c r="U969">
        <v>58</v>
      </c>
      <c r="V969">
        <v>2</v>
      </c>
      <c r="W969">
        <v>2</v>
      </c>
      <c r="X969">
        <v>0</v>
      </c>
      <c r="Y969">
        <v>3</v>
      </c>
      <c r="Z969">
        <v>5</v>
      </c>
      <c r="AA969">
        <v>8</v>
      </c>
      <c r="AB969" t="str">
        <f t="shared" si="47"/>
        <v>Below average customer</v>
      </c>
    </row>
    <row r="970" spans="1:28" x14ac:dyDescent="0.35">
      <c r="A970">
        <v>6374</v>
      </c>
      <c r="B970">
        <v>1954</v>
      </c>
      <c r="C970" t="s">
        <v>25</v>
      </c>
      <c r="D970" t="s">
        <v>32</v>
      </c>
      <c r="E970" t="s">
        <v>33</v>
      </c>
      <c r="F970">
        <v>36930</v>
      </c>
      <c r="G970" t="str">
        <f t="shared" si="45"/>
        <v>Mid-low</v>
      </c>
      <c r="H970">
        <v>0</v>
      </c>
      <c r="I970">
        <v>1</v>
      </c>
      <c r="J970">
        <v>1</v>
      </c>
      <c r="K970" s="1">
        <v>41411</v>
      </c>
      <c r="L970">
        <v>50</v>
      </c>
      <c r="M970" t="str">
        <f t="shared" si="46"/>
        <v>Inactive</v>
      </c>
      <c r="N970">
        <v>0</v>
      </c>
      <c r="O970">
        <v>223</v>
      </c>
      <c r="P970">
        <v>2</v>
      </c>
      <c r="Q970">
        <v>31</v>
      </c>
      <c r="R970">
        <v>0</v>
      </c>
      <c r="S970">
        <v>2</v>
      </c>
      <c r="T970">
        <v>39</v>
      </c>
      <c r="U970">
        <v>297</v>
      </c>
      <c r="V970">
        <v>5</v>
      </c>
      <c r="W970">
        <v>5</v>
      </c>
      <c r="X970">
        <v>2</v>
      </c>
      <c r="Y970">
        <v>4</v>
      </c>
      <c r="Z970">
        <v>11</v>
      </c>
      <c r="AA970">
        <v>8</v>
      </c>
      <c r="AB970" t="str">
        <f t="shared" si="47"/>
        <v>Below average customer</v>
      </c>
    </row>
    <row r="971" spans="1:28" x14ac:dyDescent="0.35">
      <c r="A971">
        <v>7453</v>
      </c>
      <c r="B971">
        <v>1954</v>
      </c>
      <c r="C971" t="s">
        <v>25</v>
      </c>
      <c r="D971" t="s">
        <v>26</v>
      </c>
      <c r="E971" t="s">
        <v>27</v>
      </c>
      <c r="F971">
        <v>36130</v>
      </c>
      <c r="G971" t="str">
        <f t="shared" si="45"/>
        <v>Mid-low</v>
      </c>
      <c r="H971">
        <v>0</v>
      </c>
      <c r="I971">
        <v>1</v>
      </c>
      <c r="J971">
        <v>1</v>
      </c>
      <c r="K971" s="1">
        <v>41307</v>
      </c>
      <c r="L971">
        <v>46</v>
      </c>
      <c r="M971" t="str">
        <f t="shared" si="46"/>
        <v>Active</v>
      </c>
      <c r="N971">
        <v>0</v>
      </c>
      <c r="O971">
        <v>157</v>
      </c>
      <c r="P971">
        <v>43</v>
      </c>
      <c r="Q971">
        <v>127</v>
      </c>
      <c r="R971">
        <v>68</v>
      </c>
      <c r="S971">
        <v>56</v>
      </c>
      <c r="T971">
        <v>37</v>
      </c>
      <c r="U971">
        <v>488</v>
      </c>
      <c r="V971">
        <v>6</v>
      </c>
      <c r="W971">
        <v>3</v>
      </c>
      <c r="X971">
        <v>8</v>
      </c>
      <c r="Y971">
        <v>4</v>
      </c>
      <c r="Z971">
        <v>15</v>
      </c>
      <c r="AA971">
        <v>4</v>
      </c>
      <c r="AB971" t="str">
        <f t="shared" si="47"/>
        <v>Below average customer</v>
      </c>
    </row>
    <row r="972" spans="1:28" x14ac:dyDescent="0.35">
      <c r="A972">
        <v>8952</v>
      </c>
      <c r="B972">
        <v>1953</v>
      </c>
      <c r="C972" t="s">
        <v>25</v>
      </c>
      <c r="D972" t="s">
        <v>34</v>
      </c>
      <c r="E972" t="s">
        <v>33</v>
      </c>
      <c r="F972">
        <v>65569</v>
      </c>
      <c r="G972" t="str">
        <f t="shared" si="45"/>
        <v>Mid-high</v>
      </c>
      <c r="H972">
        <v>0</v>
      </c>
      <c r="I972">
        <v>1</v>
      </c>
      <c r="J972">
        <v>1</v>
      </c>
      <c r="K972" s="1">
        <v>41218</v>
      </c>
      <c r="L972">
        <v>96</v>
      </c>
      <c r="M972" t="str">
        <f t="shared" si="46"/>
        <v>Inactive</v>
      </c>
      <c r="N972">
        <v>0</v>
      </c>
      <c r="O972">
        <v>397</v>
      </c>
      <c r="P972">
        <v>46</v>
      </c>
      <c r="Q972">
        <v>288</v>
      </c>
      <c r="R972">
        <v>20</v>
      </c>
      <c r="S972">
        <v>38</v>
      </c>
      <c r="T972">
        <v>70</v>
      </c>
      <c r="U972">
        <v>859</v>
      </c>
      <c r="V972">
        <v>2</v>
      </c>
      <c r="W972">
        <v>6</v>
      </c>
      <c r="X972">
        <v>5</v>
      </c>
      <c r="Y972">
        <v>10</v>
      </c>
      <c r="Z972">
        <v>21</v>
      </c>
      <c r="AA972">
        <v>3</v>
      </c>
      <c r="AB972" t="str">
        <f t="shared" si="47"/>
        <v>Below average customer</v>
      </c>
    </row>
    <row r="973" spans="1:28" x14ac:dyDescent="0.35">
      <c r="A973">
        <v>8975</v>
      </c>
      <c r="B973">
        <v>1968</v>
      </c>
      <c r="C973" t="s">
        <v>28</v>
      </c>
      <c r="D973" t="s">
        <v>26</v>
      </c>
      <c r="E973" t="s">
        <v>33</v>
      </c>
      <c r="F973">
        <v>19514</v>
      </c>
      <c r="G973" t="str">
        <f t="shared" si="45"/>
        <v>Low</v>
      </c>
      <c r="H973">
        <v>1</v>
      </c>
      <c r="I973">
        <v>1</v>
      </c>
      <c r="J973">
        <v>2</v>
      </c>
      <c r="K973" s="1">
        <v>41665</v>
      </c>
      <c r="L973">
        <v>47</v>
      </c>
      <c r="M973" t="str">
        <f t="shared" si="46"/>
        <v>Active</v>
      </c>
      <c r="N973">
        <v>0</v>
      </c>
      <c r="O973">
        <v>14</v>
      </c>
      <c r="P973">
        <v>3</v>
      </c>
      <c r="Q973">
        <v>21</v>
      </c>
      <c r="R973">
        <v>2</v>
      </c>
      <c r="S973">
        <v>1</v>
      </c>
      <c r="T973">
        <v>28</v>
      </c>
      <c r="U973">
        <v>69</v>
      </c>
      <c r="V973">
        <v>4</v>
      </c>
      <c r="W973">
        <v>3</v>
      </c>
      <c r="X973">
        <v>1</v>
      </c>
      <c r="Y973">
        <v>2</v>
      </c>
      <c r="Z973">
        <v>6</v>
      </c>
      <c r="AA973">
        <v>8</v>
      </c>
      <c r="AB973" t="str">
        <f t="shared" si="47"/>
        <v>Below average customer</v>
      </c>
    </row>
    <row r="974" spans="1:28" x14ac:dyDescent="0.35">
      <c r="A974">
        <v>6119</v>
      </c>
      <c r="B974">
        <v>1963</v>
      </c>
      <c r="C974" t="s">
        <v>28</v>
      </c>
      <c r="D974" t="s">
        <v>32</v>
      </c>
      <c r="E974" t="s">
        <v>27</v>
      </c>
      <c r="F974">
        <v>36736</v>
      </c>
      <c r="G974" t="str">
        <f t="shared" si="45"/>
        <v>Mid-low</v>
      </c>
      <c r="H974">
        <v>1</v>
      </c>
      <c r="I974">
        <v>1</v>
      </c>
      <c r="J974">
        <v>2</v>
      </c>
      <c r="K974" s="1">
        <v>41404</v>
      </c>
      <c r="L974">
        <v>52</v>
      </c>
      <c r="M974" t="str">
        <f t="shared" si="46"/>
        <v>Inactive</v>
      </c>
      <c r="N974">
        <v>0</v>
      </c>
      <c r="O974">
        <v>10</v>
      </c>
      <c r="P974">
        <v>0</v>
      </c>
      <c r="Q974">
        <v>3</v>
      </c>
      <c r="R974">
        <v>0</v>
      </c>
      <c r="S974">
        <v>0</v>
      </c>
      <c r="T974">
        <v>4</v>
      </c>
      <c r="U974">
        <v>17</v>
      </c>
      <c r="V974">
        <v>1</v>
      </c>
      <c r="W974">
        <v>1</v>
      </c>
      <c r="X974">
        <v>0</v>
      </c>
      <c r="Y974">
        <v>2</v>
      </c>
      <c r="Z974">
        <v>3</v>
      </c>
      <c r="AA974">
        <v>6</v>
      </c>
      <c r="AB974" t="str">
        <f t="shared" si="47"/>
        <v>Below average customer</v>
      </c>
    </row>
    <row r="975" spans="1:28" x14ac:dyDescent="0.35">
      <c r="A975">
        <v>5236</v>
      </c>
      <c r="B975">
        <v>1979</v>
      </c>
      <c r="C975" t="s">
        <v>31</v>
      </c>
      <c r="D975" t="s">
        <v>26</v>
      </c>
      <c r="E975" t="s">
        <v>29</v>
      </c>
      <c r="F975">
        <v>77568</v>
      </c>
      <c r="G975" t="str">
        <f t="shared" si="45"/>
        <v>High</v>
      </c>
      <c r="H975">
        <v>0</v>
      </c>
      <c r="I975">
        <v>1</v>
      </c>
      <c r="J975">
        <v>1</v>
      </c>
      <c r="K975" s="1">
        <v>41146</v>
      </c>
      <c r="L975">
        <v>30</v>
      </c>
      <c r="M975" t="str">
        <f t="shared" si="46"/>
        <v>Active</v>
      </c>
      <c r="N975">
        <v>0</v>
      </c>
      <c r="O975">
        <v>1230</v>
      </c>
      <c r="P975">
        <v>0</v>
      </c>
      <c r="Q975">
        <v>396</v>
      </c>
      <c r="R975">
        <v>232</v>
      </c>
      <c r="S975">
        <v>178</v>
      </c>
      <c r="T975">
        <v>158</v>
      </c>
      <c r="U975">
        <v>2194</v>
      </c>
      <c r="V975">
        <v>1</v>
      </c>
      <c r="W975">
        <v>10</v>
      </c>
      <c r="X975">
        <v>2</v>
      </c>
      <c r="Y975">
        <v>8</v>
      </c>
      <c r="Z975">
        <v>20</v>
      </c>
      <c r="AA975">
        <v>5</v>
      </c>
      <c r="AB975" t="str">
        <f t="shared" si="47"/>
        <v>Above average customer</v>
      </c>
    </row>
    <row r="976" spans="1:28" x14ac:dyDescent="0.35">
      <c r="A976">
        <v>5723</v>
      </c>
      <c r="B976">
        <v>1976</v>
      </c>
      <c r="C976" t="s">
        <v>31</v>
      </c>
      <c r="D976" t="s">
        <v>32</v>
      </c>
      <c r="E976" t="s">
        <v>29</v>
      </c>
      <c r="F976">
        <v>49187</v>
      </c>
      <c r="G976" t="str">
        <f t="shared" si="45"/>
        <v>Mid-low</v>
      </c>
      <c r="H976">
        <v>0</v>
      </c>
      <c r="I976">
        <v>1</v>
      </c>
      <c r="J976">
        <v>1</v>
      </c>
      <c r="K976" s="1">
        <v>41650</v>
      </c>
      <c r="L976">
        <v>63</v>
      </c>
      <c r="M976" t="str">
        <f t="shared" si="46"/>
        <v>Inactive</v>
      </c>
      <c r="N976">
        <v>0</v>
      </c>
      <c r="O976">
        <v>81</v>
      </c>
      <c r="P976">
        <v>1</v>
      </c>
      <c r="Q976">
        <v>31</v>
      </c>
      <c r="R976">
        <v>2</v>
      </c>
      <c r="S976">
        <v>1</v>
      </c>
      <c r="T976">
        <v>0</v>
      </c>
      <c r="U976">
        <v>116</v>
      </c>
      <c r="V976">
        <v>1</v>
      </c>
      <c r="W976">
        <v>1</v>
      </c>
      <c r="X976">
        <v>1</v>
      </c>
      <c r="Y976">
        <v>5</v>
      </c>
      <c r="Z976">
        <v>7</v>
      </c>
      <c r="AA976">
        <v>2</v>
      </c>
      <c r="AB976" t="str">
        <f t="shared" si="47"/>
        <v>Below average customer</v>
      </c>
    </row>
    <row r="977" spans="1:28" x14ac:dyDescent="0.35">
      <c r="A977">
        <v>1710</v>
      </c>
      <c r="B977">
        <v>1978</v>
      </c>
      <c r="C977" t="s">
        <v>31</v>
      </c>
      <c r="D977" t="s">
        <v>26</v>
      </c>
      <c r="E977" t="s">
        <v>27</v>
      </c>
      <c r="F977">
        <v>30168</v>
      </c>
      <c r="G977" t="str">
        <f t="shared" si="45"/>
        <v>Low</v>
      </c>
      <c r="H977">
        <v>1</v>
      </c>
      <c r="I977">
        <v>0</v>
      </c>
      <c r="J977">
        <v>1</v>
      </c>
      <c r="K977" s="1">
        <v>41340</v>
      </c>
      <c r="L977">
        <v>51</v>
      </c>
      <c r="M977" t="str">
        <f t="shared" si="46"/>
        <v>Inactive</v>
      </c>
      <c r="N977">
        <v>0</v>
      </c>
      <c r="O977">
        <v>154</v>
      </c>
      <c r="P977">
        <v>20</v>
      </c>
      <c r="Q977">
        <v>66</v>
      </c>
      <c r="R977">
        <v>0</v>
      </c>
      <c r="S977">
        <v>12</v>
      </c>
      <c r="T977">
        <v>27</v>
      </c>
      <c r="U977">
        <v>279</v>
      </c>
      <c r="V977">
        <v>7</v>
      </c>
      <c r="W977">
        <v>6</v>
      </c>
      <c r="X977">
        <v>1</v>
      </c>
      <c r="Y977">
        <v>4</v>
      </c>
      <c r="Z977">
        <v>11</v>
      </c>
      <c r="AA977">
        <v>9</v>
      </c>
      <c r="AB977" t="str">
        <f t="shared" si="47"/>
        <v>Below average customer</v>
      </c>
    </row>
    <row r="978" spans="1:28" x14ac:dyDescent="0.35">
      <c r="A978">
        <v>1970</v>
      </c>
      <c r="B978">
        <v>1968</v>
      </c>
      <c r="C978" t="s">
        <v>28</v>
      </c>
      <c r="D978" t="s">
        <v>34</v>
      </c>
      <c r="E978" t="s">
        <v>29</v>
      </c>
      <c r="F978">
        <v>34053</v>
      </c>
      <c r="G978" t="str">
        <f t="shared" si="45"/>
        <v>Low</v>
      </c>
      <c r="H978">
        <v>0</v>
      </c>
      <c r="I978">
        <v>1</v>
      </c>
      <c r="J978">
        <v>1</v>
      </c>
      <c r="K978" s="1">
        <v>41162</v>
      </c>
      <c r="L978">
        <v>14</v>
      </c>
      <c r="M978" t="str">
        <f t="shared" si="46"/>
        <v>Active</v>
      </c>
      <c r="N978">
        <v>0</v>
      </c>
      <c r="O978">
        <v>63</v>
      </c>
      <c r="P978">
        <v>0</v>
      </c>
      <c r="Q978">
        <v>21</v>
      </c>
      <c r="R978">
        <v>7</v>
      </c>
      <c r="S978">
        <v>0</v>
      </c>
      <c r="T978">
        <v>12</v>
      </c>
      <c r="U978">
        <v>103</v>
      </c>
      <c r="V978">
        <v>1</v>
      </c>
      <c r="W978">
        <v>3</v>
      </c>
      <c r="X978">
        <v>0</v>
      </c>
      <c r="Y978">
        <v>3</v>
      </c>
      <c r="Z978">
        <v>6</v>
      </c>
      <c r="AA978">
        <v>8</v>
      </c>
      <c r="AB978" t="str">
        <f t="shared" si="47"/>
        <v>Below average customer</v>
      </c>
    </row>
    <row r="979" spans="1:28" x14ac:dyDescent="0.35">
      <c r="A979">
        <v>5313</v>
      </c>
      <c r="B979">
        <v>1971</v>
      </c>
      <c r="C979" t="s">
        <v>28</v>
      </c>
      <c r="D979" t="s">
        <v>34</v>
      </c>
      <c r="E979" t="s">
        <v>33</v>
      </c>
      <c r="F979">
        <v>38196</v>
      </c>
      <c r="G979" t="str">
        <f t="shared" si="45"/>
        <v>Mid-low</v>
      </c>
      <c r="H979">
        <v>1</v>
      </c>
      <c r="I979">
        <v>1</v>
      </c>
      <c r="J979">
        <v>2</v>
      </c>
      <c r="K979" s="1">
        <v>41747</v>
      </c>
      <c r="L979">
        <v>20</v>
      </c>
      <c r="M979" t="str">
        <f t="shared" si="46"/>
        <v>Active</v>
      </c>
      <c r="N979">
        <v>0</v>
      </c>
      <c r="O979">
        <v>30</v>
      </c>
      <c r="P979">
        <v>0</v>
      </c>
      <c r="Q979">
        <v>11</v>
      </c>
      <c r="R979">
        <v>0</v>
      </c>
      <c r="S979">
        <v>0</v>
      </c>
      <c r="T979">
        <v>3</v>
      </c>
      <c r="U979">
        <v>44</v>
      </c>
      <c r="V979">
        <v>3</v>
      </c>
      <c r="W979">
        <v>2</v>
      </c>
      <c r="X979">
        <v>0</v>
      </c>
      <c r="Y979">
        <v>4</v>
      </c>
      <c r="Z979">
        <v>6</v>
      </c>
      <c r="AA979">
        <v>5</v>
      </c>
      <c r="AB979" t="str">
        <f t="shared" si="47"/>
        <v>Below average customer</v>
      </c>
    </row>
    <row r="980" spans="1:28" x14ac:dyDescent="0.35">
      <c r="A980">
        <v>10634</v>
      </c>
      <c r="B980">
        <v>1951</v>
      </c>
      <c r="C980" t="s">
        <v>36</v>
      </c>
      <c r="D980" t="s">
        <v>34</v>
      </c>
      <c r="E980" t="s">
        <v>33</v>
      </c>
      <c r="F980">
        <v>59412</v>
      </c>
      <c r="G980" t="str">
        <f t="shared" si="45"/>
        <v>Mid-high</v>
      </c>
      <c r="H980">
        <v>0</v>
      </c>
      <c r="I980">
        <v>0</v>
      </c>
      <c r="J980">
        <v>0</v>
      </c>
      <c r="K980" s="1">
        <v>41748</v>
      </c>
      <c r="L980">
        <v>56</v>
      </c>
      <c r="M980" t="str">
        <f t="shared" si="46"/>
        <v>Inactive</v>
      </c>
      <c r="N980">
        <v>0</v>
      </c>
      <c r="O980">
        <v>90</v>
      </c>
      <c r="P980">
        <v>67</v>
      </c>
      <c r="Q980">
        <v>165</v>
      </c>
      <c r="R980">
        <v>30</v>
      </c>
      <c r="S980">
        <v>43</v>
      </c>
      <c r="T980">
        <v>11</v>
      </c>
      <c r="U980">
        <v>406</v>
      </c>
      <c r="V980">
        <v>1</v>
      </c>
      <c r="W980">
        <v>4</v>
      </c>
      <c r="X980">
        <v>2</v>
      </c>
      <c r="Y980">
        <v>8</v>
      </c>
      <c r="Z980">
        <v>14</v>
      </c>
      <c r="AA980">
        <v>3</v>
      </c>
      <c r="AB980" t="str">
        <f t="shared" si="47"/>
        <v>Below average customer</v>
      </c>
    </row>
    <row r="981" spans="1:28" x14ac:dyDescent="0.35">
      <c r="A981">
        <v>7010</v>
      </c>
      <c r="B981">
        <v>1965</v>
      </c>
      <c r="C981" t="s">
        <v>28</v>
      </c>
      <c r="D981" t="s">
        <v>34</v>
      </c>
      <c r="E981" t="s">
        <v>33</v>
      </c>
      <c r="F981">
        <v>70924</v>
      </c>
      <c r="G981" t="str">
        <f t="shared" si="45"/>
        <v>High</v>
      </c>
      <c r="H981">
        <v>0</v>
      </c>
      <c r="I981">
        <v>0</v>
      </c>
      <c r="J981">
        <v>0</v>
      </c>
      <c r="K981" s="1">
        <v>41736</v>
      </c>
      <c r="L981">
        <v>41</v>
      </c>
      <c r="M981" t="str">
        <f t="shared" si="46"/>
        <v>Active</v>
      </c>
      <c r="N981">
        <v>0</v>
      </c>
      <c r="O981">
        <v>635</v>
      </c>
      <c r="P981">
        <v>114</v>
      </c>
      <c r="Q981">
        <v>254</v>
      </c>
      <c r="R981">
        <v>132</v>
      </c>
      <c r="S981">
        <v>152</v>
      </c>
      <c r="T981">
        <v>76</v>
      </c>
      <c r="U981">
        <v>1363</v>
      </c>
      <c r="V981">
        <v>1</v>
      </c>
      <c r="W981">
        <v>6</v>
      </c>
      <c r="X981">
        <v>6</v>
      </c>
      <c r="Y981">
        <v>7</v>
      </c>
      <c r="Z981">
        <v>19</v>
      </c>
      <c r="AA981">
        <v>3</v>
      </c>
      <c r="AB981" t="str">
        <f t="shared" si="47"/>
        <v>Above average customer</v>
      </c>
    </row>
    <row r="982" spans="1:28" x14ac:dyDescent="0.35">
      <c r="A982">
        <v>8562</v>
      </c>
      <c r="B982">
        <v>1969</v>
      </c>
      <c r="C982" t="s">
        <v>28</v>
      </c>
      <c r="D982" t="s">
        <v>26</v>
      </c>
      <c r="E982" t="s">
        <v>29</v>
      </c>
      <c r="F982">
        <v>54165</v>
      </c>
      <c r="G982" t="str">
        <f t="shared" si="45"/>
        <v>Mid-high</v>
      </c>
      <c r="H982">
        <v>0</v>
      </c>
      <c r="I982">
        <v>0</v>
      </c>
      <c r="J982">
        <v>0</v>
      </c>
      <c r="K982" s="1">
        <v>41422</v>
      </c>
      <c r="L982">
        <v>72</v>
      </c>
      <c r="M982" t="str">
        <f t="shared" si="46"/>
        <v>Inactive</v>
      </c>
      <c r="N982">
        <v>0</v>
      </c>
      <c r="O982">
        <v>127</v>
      </c>
      <c r="P982">
        <v>4</v>
      </c>
      <c r="Q982">
        <v>73</v>
      </c>
      <c r="R982">
        <v>15</v>
      </c>
      <c r="S982">
        <v>6</v>
      </c>
      <c r="T982">
        <v>11</v>
      </c>
      <c r="U982">
        <v>236</v>
      </c>
      <c r="V982">
        <v>1</v>
      </c>
      <c r="W982">
        <v>2</v>
      </c>
      <c r="X982">
        <v>1</v>
      </c>
      <c r="Y982">
        <v>7</v>
      </c>
      <c r="Z982">
        <v>10</v>
      </c>
      <c r="AA982">
        <v>2</v>
      </c>
      <c r="AB982" t="str">
        <f t="shared" si="47"/>
        <v>Below average customer</v>
      </c>
    </row>
    <row r="983" spans="1:28" x14ac:dyDescent="0.35">
      <c r="A983">
        <v>3158</v>
      </c>
      <c r="B983">
        <v>1973</v>
      </c>
      <c r="C983" t="s">
        <v>31</v>
      </c>
      <c r="D983" t="s">
        <v>26</v>
      </c>
      <c r="E983" t="s">
        <v>33</v>
      </c>
      <c r="F983">
        <v>32300</v>
      </c>
      <c r="G983" t="str">
        <f t="shared" si="45"/>
        <v>Low</v>
      </c>
      <c r="H983">
        <v>1</v>
      </c>
      <c r="I983">
        <v>0</v>
      </c>
      <c r="J983">
        <v>1</v>
      </c>
      <c r="K983" s="1">
        <v>41277</v>
      </c>
      <c r="L983">
        <v>1</v>
      </c>
      <c r="M983" t="str">
        <f t="shared" si="46"/>
        <v>Active</v>
      </c>
      <c r="N983">
        <v>0</v>
      </c>
      <c r="O983">
        <v>13</v>
      </c>
      <c r="P983">
        <v>3</v>
      </c>
      <c r="Q983">
        <v>6</v>
      </c>
      <c r="R983">
        <v>6</v>
      </c>
      <c r="S983">
        <v>5</v>
      </c>
      <c r="T983">
        <v>6</v>
      </c>
      <c r="U983">
        <v>39</v>
      </c>
      <c r="V983">
        <v>1</v>
      </c>
      <c r="W983">
        <v>1</v>
      </c>
      <c r="X983">
        <v>0</v>
      </c>
      <c r="Y983">
        <v>3</v>
      </c>
      <c r="Z983">
        <v>4</v>
      </c>
      <c r="AA983">
        <v>8</v>
      </c>
      <c r="AB983" t="str">
        <f t="shared" si="47"/>
        <v>Below average customer</v>
      </c>
    </row>
    <row r="984" spans="1:28" x14ac:dyDescent="0.35">
      <c r="A984">
        <v>4436</v>
      </c>
      <c r="B984">
        <v>1976</v>
      </c>
      <c r="C984" t="s">
        <v>31</v>
      </c>
      <c r="D984" t="s">
        <v>26</v>
      </c>
      <c r="E984" t="s">
        <v>27</v>
      </c>
      <c r="F984">
        <v>20180</v>
      </c>
      <c r="G984" t="str">
        <f t="shared" si="45"/>
        <v>Low</v>
      </c>
      <c r="H984">
        <v>0</v>
      </c>
      <c r="I984">
        <v>0</v>
      </c>
      <c r="J984">
        <v>0</v>
      </c>
      <c r="K984" s="1">
        <v>41325</v>
      </c>
      <c r="L984">
        <v>27</v>
      </c>
      <c r="M984" t="str">
        <f t="shared" si="46"/>
        <v>Active</v>
      </c>
      <c r="N984">
        <v>0</v>
      </c>
      <c r="O984">
        <v>18</v>
      </c>
      <c r="P984">
        <v>42</v>
      </c>
      <c r="Q984">
        <v>24</v>
      </c>
      <c r="R984">
        <v>15</v>
      </c>
      <c r="S984">
        <v>20</v>
      </c>
      <c r="T984">
        <v>18</v>
      </c>
      <c r="U984">
        <v>137</v>
      </c>
      <c r="V984">
        <v>1</v>
      </c>
      <c r="W984">
        <v>2</v>
      </c>
      <c r="X984">
        <v>1</v>
      </c>
      <c r="Y984">
        <v>4</v>
      </c>
      <c r="Z984">
        <v>7</v>
      </c>
      <c r="AA984">
        <v>7</v>
      </c>
      <c r="AB984" t="str">
        <f t="shared" si="47"/>
        <v>Below average customer</v>
      </c>
    </row>
    <row r="985" spans="1:28" x14ac:dyDescent="0.35">
      <c r="A985">
        <v>5287</v>
      </c>
      <c r="B985">
        <v>1973</v>
      </c>
      <c r="C985" t="s">
        <v>31</v>
      </c>
      <c r="D985" t="s">
        <v>26</v>
      </c>
      <c r="E985" t="s">
        <v>33</v>
      </c>
      <c r="F985">
        <v>34961</v>
      </c>
      <c r="G985" t="str">
        <f t="shared" si="45"/>
        <v>Low</v>
      </c>
      <c r="H985">
        <v>1</v>
      </c>
      <c r="I985">
        <v>0</v>
      </c>
      <c r="J985">
        <v>1</v>
      </c>
      <c r="K985" s="1">
        <v>41809</v>
      </c>
      <c r="L985">
        <v>77</v>
      </c>
      <c r="M985" t="str">
        <f t="shared" si="46"/>
        <v>Inactive</v>
      </c>
      <c r="N985">
        <v>0</v>
      </c>
      <c r="O985">
        <v>45</v>
      </c>
      <c r="P985">
        <v>2</v>
      </c>
      <c r="Q985">
        <v>26</v>
      </c>
      <c r="R985">
        <v>4</v>
      </c>
      <c r="S985">
        <v>1</v>
      </c>
      <c r="T985">
        <v>1</v>
      </c>
      <c r="U985">
        <v>79</v>
      </c>
      <c r="V985">
        <v>3</v>
      </c>
      <c r="W985">
        <v>3</v>
      </c>
      <c r="X985">
        <v>1</v>
      </c>
      <c r="Y985">
        <v>3</v>
      </c>
      <c r="Z985">
        <v>7</v>
      </c>
      <c r="AA985">
        <v>7</v>
      </c>
      <c r="AB985" t="str">
        <f t="shared" si="47"/>
        <v>Below average customer</v>
      </c>
    </row>
    <row r="986" spans="1:28" x14ac:dyDescent="0.35">
      <c r="A986">
        <v>2445</v>
      </c>
      <c r="B986">
        <v>1974</v>
      </c>
      <c r="C986" t="s">
        <v>31</v>
      </c>
      <c r="D986" t="s">
        <v>32</v>
      </c>
      <c r="E986" t="s">
        <v>29</v>
      </c>
      <c r="F986">
        <v>28440</v>
      </c>
      <c r="G986" t="str">
        <f t="shared" si="45"/>
        <v>Low</v>
      </c>
      <c r="H986">
        <v>1</v>
      </c>
      <c r="I986">
        <v>0</v>
      </c>
      <c r="J986">
        <v>1</v>
      </c>
      <c r="K986" s="1">
        <v>41462</v>
      </c>
      <c r="L986">
        <v>87</v>
      </c>
      <c r="M986" t="str">
        <f t="shared" si="46"/>
        <v>Inactive</v>
      </c>
      <c r="N986">
        <v>0</v>
      </c>
      <c r="O986">
        <v>38</v>
      </c>
      <c r="P986">
        <v>1</v>
      </c>
      <c r="Q986">
        <v>24</v>
      </c>
      <c r="R986">
        <v>0</v>
      </c>
      <c r="S986">
        <v>0</v>
      </c>
      <c r="T986">
        <v>0</v>
      </c>
      <c r="U986">
        <v>63</v>
      </c>
      <c r="V986">
        <v>1</v>
      </c>
      <c r="W986">
        <v>2</v>
      </c>
      <c r="X986">
        <v>0</v>
      </c>
      <c r="Y986">
        <v>3</v>
      </c>
      <c r="Z986">
        <v>5</v>
      </c>
      <c r="AA986">
        <v>8</v>
      </c>
      <c r="AB986" t="str">
        <f t="shared" si="47"/>
        <v>Below average customer</v>
      </c>
    </row>
    <row r="987" spans="1:28" x14ac:dyDescent="0.35">
      <c r="A987">
        <v>6059</v>
      </c>
      <c r="B987">
        <v>1953</v>
      </c>
      <c r="C987" t="s">
        <v>25</v>
      </c>
      <c r="D987" t="s">
        <v>32</v>
      </c>
      <c r="E987" t="s">
        <v>29</v>
      </c>
      <c r="F987">
        <v>64504</v>
      </c>
      <c r="G987" t="str">
        <f t="shared" si="45"/>
        <v>Mid-high</v>
      </c>
      <c r="H987">
        <v>1</v>
      </c>
      <c r="I987">
        <v>2</v>
      </c>
      <c r="J987">
        <v>3</v>
      </c>
      <c r="K987" s="1">
        <v>41337</v>
      </c>
      <c r="L987">
        <v>81</v>
      </c>
      <c r="M987" t="str">
        <f t="shared" si="46"/>
        <v>Inactive</v>
      </c>
      <c r="N987">
        <v>0</v>
      </c>
      <c r="O987">
        <v>986</v>
      </c>
      <c r="P987">
        <v>36</v>
      </c>
      <c r="Q987">
        <v>168</v>
      </c>
      <c r="R987">
        <v>16</v>
      </c>
      <c r="S987">
        <v>0</v>
      </c>
      <c r="T987">
        <v>108</v>
      </c>
      <c r="U987">
        <v>1314</v>
      </c>
      <c r="V987">
        <v>7</v>
      </c>
      <c r="W987">
        <v>11</v>
      </c>
      <c r="X987">
        <v>3</v>
      </c>
      <c r="Y987">
        <v>4</v>
      </c>
      <c r="Z987">
        <v>18</v>
      </c>
      <c r="AA987">
        <v>7</v>
      </c>
      <c r="AB987" t="str">
        <f t="shared" si="47"/>
        <v>Below average customer</v>
      </c>
    </row>
    <row r="988" spans="1:28" x14ac:dyDescent="0.35">
      <c r="A988">
        <v>4550</v>
      </c>
      <c r="B988">
        <v>1966</v>
      </c>
      <c r="C988" t="s">
        <v>28</v>
      </c>
      <c r="D988" t="s">
        <v>34</v>
      </c>
      <c r="E988" t="s">
        <v>29</v>
      </c>
      <c r="F988">
        <v>33564</v>
      </c>
      <c r="G988" t="str">
        <f t="shared" si="45"/>
        <v>Low</v>
      </c>
      <c r="H988">
        <v>0</v>
      </c>
      <c r="I988">
        <v>1</v>
      </c>
      <c r="J988">
        <v>1</v>
      </c>
      <c r="K988" s="1">
        <v>41814</v>
      </c>
      <c r="L988">
        <v>51</v>
      </c>
      <c r="M988" t="str">
        <f t="shared" si="46"/>
        <v>Inactive</v>
      </c>
      <c r="N988">
        <v>0</v>
      </c>
      <c r="O988">
        <v>61</v>
      </c>
      <c r="P988">
        <v>0</v>
      </c>
      <c r="Q988">
        <v>3</v>
      </c>
      <c r="R988">
        <v>0</v>
      </c>
      <c r="S988">
        <v>0</v>
      </c>
      <c r="T988">
        <v>7</v>
      </c>
      <c r="U988">
        <v>71</v>
      </c>
      <c r="V988">
        <v>1</v>
      </c>
      <c r="W988">
        <v>1</v>
      </c>
      <c r="X988">
        <v>1</v>
      </c>
      <c r="Y988">
        <v>3</v>
      </c>
      <c r="Z988">
        <v>5</v>
      </c>
      <c r="AA988">
        <v>5</v>
      </c>
      <c r="AB988" t="str">
        <f t="shared" si="47"/>
        <v>Below average customer</v>
      </c>
    </row>
    <row r="989" spans="1:28" x14ac:dyDescent="0.35">
      <c r="A989">
        <v>4240</v>
      </c>
      <c r="B989">
        <v>1978</v>
      </c>
      <c r="C989" t="s">
        <v>31</v>
      </c>
      <c r="D989" t="s">
        <v>26</v>
      </c>
      <c r="E989" t="s">
        <v>33</v>
      </c>
      <c r="F989">
        <v>17345</v>
      </c>
      <c r="G989" t="str">
        <f t="shared" si="45"/>
        <v>Low</v>
      </c>
      <c r="H989">
        <v>1</v>
      </c>
      <c r="I989">
        <v>0</v>
      </c>
      <c r="J989">
        <v>1</v>
      </c>
      <c r="K989" s="1">
        <v>41216</v>
      </c>
      <c r="L989">
        <v>79</v>
      </c>
      <c r="M989" t="str">
        <f t="shared" si="46"/>
        <v>Inactive</v>
      </c>
      <c r="N989">
        <v>0</v>
      </c>
      <c r="O989">
        <v>4</v>
      </c>
      <c r="P989">
        <v>9</v>
      </c>
      <c r="Q989">
        <v>16</v>
      </c>
      <c r="R989">
        <v>17</v>
      </c>
      <c r="S989">
        <v>0</v>
      </c>
      <c r="T989">
        <v>12</v>
      </c>
      <c r="U989">
        <v>58</v>
      </c>
      <c r="V989">
        <v>2</v>
      </c>
      <c r="W989">
        <v>2</v>
      </c>
      <c r="X989">
        <v>1</v>
      </c>
      <c r="Y989">
        <v>2</v>
      </c>
      <c r="Z989">
        <v>5</v>
      </c>
      <c r="AA989">
        <v>8</v>
      </c>
      <c r="AB989" t="str">
        <f t="shared" si="47"/>
        <v>Below average customer</v>
      </c>
    </row>
    <row r="990" spans="1:28" x14ac:dyDescent="0.35">
      <c r="A990">
        <v>8911</v>
      </c>
      <c r="B990">
        <v>1967</v>
      </c>
      <c r="C990" t="s">
        <v>28</v>
      </c>
      <c r="D990" t="s">
        <v>32</v>
      </c>
      <c r="E990" t="s">
        <v>33</v>
      </c>
      <c r="F990">
        <v>56320</v>
      </c>
      <c r="G990" t="str">
        <f t="shared" si="45"/>
        <v>Mid-high</v>
      </c>
      <c r="H990">
        <v>0</v>
      </c>
      <c r="I990">
        <v>1</v>
      </c>
      <c r="J990">
        <v>1</v>
      </c>
      <c r="K990" s="1">
        <v>41372</v>
      </c>
      <c r="L990">
        <v>11</v>
      </c>
      <c r="M990" t="str">
        <f t="shared" si="46"/>
        <v>Active</v>
      </c>
      <c r="N990">
        <v>0</v>
      </c>
      <c r="O990">
        <v>201</v>
      </c>
      <c r="P990">
        <v>53</v>
      </c>
      <c r="Q990">
        <v>172</v>
      </c>
      <c r="R990">
        <v>116</v>
      </c>
      <c r="S990">
        <v>77</v>
      </c>
      <c r="T990">
        <v>83</v>
      </c>
      <c r="U990">
        <v>702</v>
      </c>
      <c r="V990">
        <v>3</v>
      </c>
      <c r="W990">
        <v>5</v>
      </c>
      <c r="X990">
        <v>4</v>
      </c>
      <c r="Y990">
        <v>9</v>
      </c>
      <c r="Z990">
        <v>18</v>
      </c>
      <c r="AA990">
        <v>4</v>
      </c>
      <c r="AB990" t="str">
        <f t="shared" si="47"/>
        <v>Above average customer</v>
      </c>
    </row>
    <row r="991" spans="1:28" x14ac:dyDescent="0.35">
      <c r="A991">
        <v>3706</v>
      </c>
      <c r="B991">
        <v>1978</v>
      </c>
      <c r="C991" t="s">
        <v>31</v>
      </c>
      <c r="D991" t="s">
        <v>26</v>
      </c>
      <c r="E991" t="s">
        <v>27</v>
      </c>
      <c r="F991">
        <v>28647</v>
      </c>
      <c r="G991" t="str">
        <f t="shared" si="45"/>
        <v>Low</v>
      </c>
      <c r="H991">
        <v>1</v>
      </c>
      <c r="I991">
        <v>0</v>
      </c>
      <c r="J991">
        <v>1</v>
      </c>
      <c r="K991" s="1">
        <v>41507</v>
      </c>
      <c r="L991">
        <v>54</v>
      </c>
      <c r="M991" t="str">
        <f t="shared" si="46"/>
        <v>Inactive</v>
      </c>
      <c r="N991">
        <v>0</v>
      </c>
      <c r="O991">
        <v>19</v>
      </c>
      <c r="P991">
        <v>8</v>
      </c>
      <c r="Q991">
        <v>29</v>
      </c>
      <c r="R991">
        <v>0</v>
      </c>
      <c r="S991">
        <v>12</v>
      </c>
      <c r="T991">
        <v>26</v>
      </c>
      <c r="U991">
        <v>94</v>
      </c>
      <c r="V991">
        <v>1</v>
      </c>
      <c r="W991">
        <v>2</v>
      </c>
      <c r="X991">
        <v>2</v>
      </c>
      <c r="Y991">
        <v>2</v>
      </c>
      <c r="Z991">
        <v>6</v>
      </c>
      <c r="AA991">
        <v>7</v>
      </c>
      <c r="AB991" t="str">
        <f t="shared" si="47"/>
        <v>Below average customer</v>
      </c>
    </row>
    <row r="992" spans="1:28" x14ac:dyDescent="0.35">
      <c r="A992">
        <v>3628</v>
      </c>
      <c r="B992">
        <v>1987</v>
      </c>
      <c r="C992" t="s">
        <v>30</v>
      </c>
      <c r="D992" t="s">
        <v>37</v>
      </c>
      <c r="E992" t="s">
        <v>27</v>
      </c>
      <c r="F992">
        <v>15038</v>
      </c>
      <c r="G992" t="str">
        <f t="shared" si="45"/>
        <v>Low</v>
      </c>
      <c r="H992">
        <v>1</v>
      </c>
      <c r="I992">
        <v>0</v>
      </c>
      <c r="J992">
        <v>1</v>
      </c>
      <c r="K992" s="1">
        <v>41303</v>
      </c>
      <c r="L992">
        <v>93</v>
      </c>
      <c r="M992" t="str">
        <f t="shared" si="46"/>
        <v>Inactive</v>
      </c>
      <c r="N992">
        <v>0</v>
      </c>
      <c r="O992">
        <v>4</v>
      </c>
      <c r="P992">
        <v>8</v>
      </c>
      <c r="Q992">
        <v>11</v>
      </c>
      <c r="R992">
        <v>19</v>
      </c>
      <c r="S992">
        <v>12</v>
      </c>
      <c r="T992">
        <v>26</v>
      </c>
      <c r="U992">
        <v>80</v>
      </c>
      <c r="V992">
        <v>2</v>
      </c>
      <c r="W992">
        <v>2</v>
      </c>
      <c r="X992">
        <v>1</v>
      </c>
      <c r="Y992">
        <v>2</v>
      </c>
      <c r="Z992">
        <v>5</v>
      </c>
      <c r="AA992">
        <v>9</v>
      </c>
      <c r="AB992" t="str">
        <f t="shared" si="47"/>
        <v>Below average customer</v>
      </c>
    </row>
    <row r="993" spans="1:28" x14ac:dyDescent="0.35">
      <c r="A993">
        <v>10175</v>
      </c>
      <c r="B993">
        <v>1958</v>
      </c>
      <c r="C993" t="s">
        <v>25</v>
      </c>
      <c r="D993" t="s">
        <v>32</v>
      </c>
      <c r="E993" t="s">
        <v>35</v>
      </c>
      <c r="F993">
        <v>32173</v>
      </c>
      <c r="G993" t="str">
        <f t="shared" si="45"/>
        <v>Low</v>
      </c>
      <c r="H993">
        <v>0</v>
      </c>
      <c r="I993">
        <v>1</v>
      </c>
      <c r="J993">
        <v>1</v>
      </c>
      <c r="K993" s="1">
        <v>41487</v>
      </c>
      <c r="L993">
        <v>0</v>
      </c>
      <c r="M993" t="str">
        <f t="shared" si="46"/>
        <v>Active</v>
      </c>
      <c r="N993">
        <v>0</v>
      </c>
      <c r="O993">
        <v>18</v>
      </c>
      <c r="P993">
        <v>0</v>
      </c>
      <c r="Q993">
        <v>2</v>
      </c>
      <c r="R993">
        <v>0</v>
      </c>
      <c r="S993">
        <v>0</v>
      </c>
      <c r="T993">
        <v>2</v>
      </c>
      <c r="U993">
        <v>22</v>
      </c>
      <c r="V993">
        <v>1</v>
      </c>
      <c r="W993">
        <v>1</v>
      </c>
      <c r="X993">
        <v>0</v>
      </c>
      <c r="Y993">
        <v>3</v>
      </c>
      <c r="Z993">
        <v>4</v>
      </c>
      <c r="AA993">
        <v>4</v>
      </c>
      <c r="AB993" t="str">
        <f t="shared" si="47"/>
        <v>Below average customer</v>
      </c>
    </row>
    <row r="994" spans="1:28" x14ac:dyDescent="0.35">
      <c r="A994">
        <v>8985</v>
      </c>
      <c r="B994">
        <v>1964</v>
      </c>
      <c r="C994" t="s">
        <v>28</v>
      </c>
      <c r="D994" t="s">
        <v>34</v>
      </c>
      <c r="E994" t="s">
        <v>29</v>
      </c>
      <c r="F994">
        <v>68316</v>
      </c>
      <c r="G994" t="str">
        <f t="shared" si="45"/>
        <v>Mid-high</v>
      </c>
      <c r="H994">
        <v>0</v>
      </c>
      <c r="I994">
        <v>1</v>
      </c>
      <c r="J994">
        <v>1</v>
      </c>
      <c r="K994" s="1">
        <v>41217</v>
      </c>
      <c r="L994">
        <v>54</v>
      </c>
      <c r="M994" t="str">
        <f t="shared" si="46"/>
        <v>Inactive</v>
      </c>
      <c r="N994">
        <v>0</v>
      </c>
      <c r="O994">
        <v>806</v>
      </c>
      <c r="P994">
        <v>80</v>
      </c>
      <c r="Q994">
        <v>161</v>
      </c>
      <c r="R994">
        <v>120</v>
      </c>
      <c r="S994">
        <v>11</v>
      </c>
      <c r="T994">
        <v>33</v>
      </c>
      <c r="U994">
        <v>1211</v>
      </c>
      <c r="V994">
        <v>5</v>
      </c>
      <c r="W994">
        <v>10</v>
      </c>
      <c r="X994">
        <v>7</v>
      </c>
      <c r="Y994">
        <v>10</v>
      </c>
      <c r="Z994">
        <v>27</v>
      </c>
      <c r="AA994">
        <v>6</v>
      </c>
      <c r="AB994" t="str">
        <f t="shared" si="47"/>
        <v>Below average customer</v>
      </c>
    </row>
    <row r="995" spans="1:28" x14ac:dyDescent="0.35">
      <c r="A995">
        <v>5204</v>
      </c>
      <c r="B995">
        <v>1971</v>
      </c>
      <c r="C995" t="s">
        <v>28</v>
      </c>
      <c r="D995" t="s">
        <v>26</v>
      </c>
      <c r="E995" t="s">
        <v>29</v>
      </c>
      <c r="F995">
        <v>74538</v>
      </c>
      <c r="G995" t="str">
        <f t="shared" si="45"/>
        <v>High</v>
      </c>
      <c r="H995">
        <v>0</v>
      </c>
      <c r="I995">
        <v>0</v>
      </c>
      <c r="J995">
        <v>0</v>
      </c>
      <c r="K995" s="1">
        <v>41454</v>
      </c>
      <c r="L995">
        <v>21</v>
      </c>
      <c r="M995" t="str">
        <f t="shared" si="46"/>
        <v>Active</v>
      </c>
      <c r="N995">
        <v>0</v>
      </c>
      <c r="O995">
        <v>380</v>
      </c>
      <c r="P995">
        <v>98</v>
      </c>
      <c r="Q995">
        <v>733</v>
      </c>
      <c r="R995">
        <v>110</v>
      </c>
      <c r="S995">
        <v>112</v>
      </c>
      <c r="T995">
        <v>28</v>
      </c>
      <c r="U995">
        <v>1461</v>
      </c>
      <c r="V995">
        <v>1</v>
      </c>
      <c r="W995">
        <v>8</v>
      </c>
      <c r="X995">
        <v>8</v>
      </c>
      <c r="Y995">
        <v>5</v>
      </c>
      <c r="Z995">
        <v>21</v>
      </c>
      <c r="AA995">
        <v>3</v>
      </c>
      <c r="AB995" t="str">
        <f t="shared" si="47"/>
        <v>Above average customer</v>
      </c>
    </row>
    <row r="996" spans="1:28" x14ac:dyDescent="0.35">
      <c r="A996">
        <v>9220</v>
      </c>
      <c r="B996">
        <v>1971</v>
      </c>
      <c r="C996" t="s">
        <v>28</v>
      </c>
      <c r="D996" t="s">
        <v>26</v>
      </c>
      <c r="E996" t="s">
        <v>27</v>
      </c>
      <c r="F996">
        <v>91700</v>
      </c>
      <c r="G996" t="str">
        <f t="shared" si="45"/>
        <v>High</v>
      </c>
      <c r="H996">
        <v>0</v>
      </c>
      <c r="I996">
        <v>0</v>
      </c>
      <c r="J996">
        <v>0</v>
      </c>
      <c r="K996" s="1">
        <v>41291</v>
      </c>
      <c r="L996">
        <v>58</v>
      </c>
      <c r="M996" t="str">
        <f t="shared" si="46"/>
        <v>Inactive</v>
      </c>
      <c r="N996">
        <v>0</v>
      </c>
      <c r="O996">
        <v>576</v>
      </c>
      <c r="P996">
        <v>172</v>
      </c>
      <c r="Q996">
        <v>961</v>
      </c>
      <c r="R996">
        <v>125</v>
      </c>
      <c r="S996">
        <v>115</v>
      </c>
      <c r="T996">
        <v>19</v>
      </c>
      <c r="U996">
        <v>1968</v>
      </c>
      <c r="V996">
        <v>1</v>
      </c>
      <c r="W996">
        <v>8</v>
      </c>
      <c r="X996">
        <v>6</v>
      </c>
      <c r="Y996">
        <v>5</v>
      </c>
      <c r="Z996">
        <v>19</v>
      </c>
      <c r="AA996">
        <v>3</v>
      </c>
      <c r="AB996" t="str">
        <f t="shared" si="47"/>
        <v>Below average customer</v>
      </c>
    </row>
    <row r="997" spans="1:28" x14ac:dyDescent="0.35">
      <c r="A997">
        <v>9888</v>
      </c>
      <c r="B997">
        <v>1969</v>
      </c>
      <c r="C997" t="s">
        <v>28</v>
      </c>
      <c r="D997" t="s">
        <v>26</v>
      </c>
      <c r="E997" t="s">
        <v>29</v>
      </c>
      <c r="F997">
        <v>68695</v>
      </c>
      <c r="G997" t="str">
        <f t="shared" si="45"/>
        <v>High</v>
      </c>
      <c r="H997">
        <v>0</v>
      </c>
      <c r="I997">
        <v>0</v>
      </c>
      <c r="J997">
        <v>0</v>
      </c>
      <c r="K997" s="1">
        <v>41815</v>
      </c>
      <c r="L997">
        <v>3</v>
      </c>
      <c r="M997" t="str">
        <f t="shared" si="46"/>
        <v>Active</v>
      </c>
      <c r="N997">
        <v>0</v>
      </c>
      <c r="O997">
        <v>458</v>
      </c>
      <c r="P997">
        <v>81</v>
      </c>
      <c r="Q997">
        <v>356</v>
      </c>
      <c r="R997">
        <v>106</v>
      </c>
      <c r="S997">
        <v>50</v>
      </c>
      <c r="T997">
        <v>40</v>
      </c>
      <c r="U997">
        <v>1091</v>
      </c>
      <c r="V997">
        <v>1</v>
      </c>
      <c r="W997">
        <v>4</v>
      </c>
      <c r="X997">
        <v>4</v>
      </c>
      <c r="Y997">
        <v>7</v>
      </c>
      <c r="Z997">
        <v>15</v>
      </c>
      <c r="AA997">
        <v>2</v>
      </c>
      <c r="AB997" t="str">
        <f t="shared" si="47"/>
        <v>Above average customer</v>
      </c>
    </row>
    <row r="998" spans="1:28" x14ac:dyDescent="0.35">
      <c r="A998">
        <v>5263</v>
      </c>
      <c r="B998">
        <v>1977</v>
      </c>
      <c r="C998" t="s">
        <v>31</v>
      </c>
      <c r="D998" t="s">
        <v>34</v>
      </c>
      <c r="E998" t="s">
        <v>33</v>
      </c>
      <c r="F998">
        <v>31056</v>
      </c>
      <c r="G998" t="str">
        <f t="shared" si="45"/>
        <v>Low</v>
      </c>
      <c r="H998">
        <v>1</v>
      </c>
      <c r="I998">
        <v>0</v>
      </c>
      <c r="J998">
        <v>1</v>
      </c>
      <c r="K998" s="1">
        <v>41296</v>
      </c>
      <c r="L998">
        <v>99</v>
      </c>
      <c r="M998" t="str">
        <f t="shared" si="46"/>
        <v>Inactive</v>
      </c>
      <c r="N998">
        <v>0</v>
      </c>
      <c r="O998">
        <v>5</v>
      </c>
      <c r="P998">
        <v>10</v>
      </c>
      <c r="Q998">
        <v>13</v>
      </c>
      <c r="R998">
        <v>3</v>
      </c>
      <c r="S998">
        <v>8</v>
      </c>
      <c r="T998">
        <v>16</v>
      </c>
      <c r="U998">
        <v>55</v>
      </c>
      <c r="V998">
        <v>1</v>
      </c>
      <c r="W998">
        <v>1</v>
      </c>
      <c r="X998">
        <v>0</v>
      </c>
      <c r="Y998">
        <v>3</v>
      </c>
      <c r="Z998">
        <v>4</v>
      </c>
      <c r="AA998">
        <v>8</v>
      </c>
      <c r="AB998" t="str">
        <f t="shared" si="47"/>
        <v>Below average customer</v>
      </c>
    </row>
    <row r="999" spans="1:28" x14ac:dyDescent="0.35">
      <c r="A999">
        <v>9503</v>
      </c>
      <c r="B999">
        <v>1980</v>
      </c>
      <c r="C999" t="s">
        <v>31</v>
      </c>
      <c r="D999" t="s">
        <v>26</v>
      </c>
      <c r="E999" t="s">
        <v>27</v>
      </c>
      <c r="F999">
        <v>28071</v>
      </c>
      <c r="G999" t="str">
        <f t="shared" si="45"/>
        <v>Low</v>
      </c>
      <c r="H999">
        <v>0</v>
      </c>
      <c r="I999">
        <v>0</v>
      </c>
      <c r="J999">
        <v>0</v>
      </c>
      <c r="K999" s="1">
        <v>41150</v>
      </c>
      <c r="L999">
        <v>65</v>
      </c>
      <c r="M999" t="str">
        <f t="shared" si="46"/>
        <v>Inactive</v>
      </c>
      <c r="N999">
        <v>0</v>
      </c>
      <c r="O999">
        <v>39</v>
      </c>
      <c r="P999">
        <v>33</v>
      </c>
      <c r="Q999">
        <v>130</v>
      </c>
      <c r="R999">
        <v>41</v>
      </c>
      <c r="S999">
        <v>26</v>
      </c>
      <c r="T999">
        <v>44</v>
      </c>
      <c r="U999">
        <v>313</v>
      </c>
      <c r="V999">
        <v>2</v>
      </c>
      <c r="W999">
        <v>5</v>
      </c>
      <c r="X999">
        <v>1</v>
      </c>
      <c r="Y999">
        <v>5</v>
      </c>
      <c r="Z999">
        <v>11</v>
      </c>
      <c r="AA999">
        <v>8</v>
      </c>
      <c r="AB999" t="str">
        <f t="shared" si="47"/>
        <v>Below average customer</v>
      </c>
    </row>
    <row r="1000" spans="1:28" x14ac:dyDescent="0.35">
      <c r="A1000">
        <v>10613</v>
      </c>
      <c r="B1000">
        <v>1958</v>
      </c>
      <c r="C1000" t="s">
        <v>25</v>
      </c>
      <c r="D1000" t="s">
        <v>32</v>
      </c>
      <c r="E1000" t="s">
        <v>29</v>
      </c>
      <c r="F1000">
        <v>37334</v>
      </c>
      <c r="G1000" t="str">
        <f t="shared" si="45"/>
        <v>Mid-low</v>
      </c>
      <c r="H1000">
        <v>1</v>
      </c>
      <c r="I1000">
        <v>1</v>
      </c>
      <c r="J1000">
        <v>2</v>
      </c>
      <c r="K1000" s="1">
        <v>41696</v>
      </c>
      <c r="L1000">
        <v>44</v>
      </c>
      <c r="M1000" t="str">
        <f t="shared" si="46"/>
        <v>Active</v>
      </c>
      <c r="N1000">
        <v>0</v>
      </c>
      <c r="O1000">
        <v>26</v>
      </c>
      <c r="P1000">
        <v>1</v>
      </c>
      <c r="Q1000">
        <v>16</v>
      </c>
      <c r="R1000">
        <v>2</v>
      </c>
      <c r="S1000">
        <v>2</v>
      </c>
      <c r="T1000">
        <v>15</v>
      </c>
      <c r="U1000">
        <v>62</v>
      </c>
      <c r="V1000">
        <v>4</v>
      </c>
      <c r="W1000">
        <v>3</v>
      </c>
      <c r="X1000">
        <v>0</v>
      </c>
      <c r="Y1000">
        <v>4</v>
      </c>
      <c r="Z1000">
        <v>7</v>
      </c>
      <c r="AA1000">
        <v>4</v>
      </c>
      <c r="AB1000" t="str">
        <f t="shared" si="47"/>
        <v>Below average customer</v>
      </c>
    </row>
    <row r="1001" spans="1:28" x14ac:dyDescent="0.35">
      <c r="A1001">
        <v>67</v>
      </c>
      <c r="B1001">
        <v>1972</v>
      </c>
      <c r="C1001" t="s">
        <v>28</v>
      </c>
      <c r="D1001" t="s">
        <v>34</v>
      </c>
      <c r="E1001" t="s">
        <v>27</v>
      </c>
      <c r="F1001">
        <v>46423</v>
      </c>
      <c r="G1001" t="str">
        <f t="shared" si="45"/>
        <v>Mid-low</v>
      </c>
      <c r="H1001">
        <v>1</v>
      </c>
      <c r="I1001">
        <v>1</v>
      </c>
      <c r="J1001">
        <v>2</v>
      </c>
      <c r="K1001" s="1">
        <v>41535</v>
      </c>
      <c r="L1001">
        <v>6</v>
      </c>
      <c r="M1001" t="str">
        <f t="shared" si="46"/>
        <v>Active</v>
      </c>
      <c r="N1001">
        <v>0</v>
      </c>
      <c r="O1001">
        <v>68</v>
      </c>
      <c r="P1001">
        <v>0</v>
      </c>
      <c r="Q1001">
        <v>16</v>
      </c>
      <c r="R1001">
        <v>0</v>
      </c>
      <c r="S1001">
        <v>0</v>
      </c>
      <c r="T1001">
        <v>8</v>
      </c>
      <c r="U1001">
        <v>92</v>
      </c>
      <c r="V1001">
        <v>3</v>
      </c>
      <c r="W1001">
        <v>2</v>
      </c>
      <c r="X1001">
        <v>0</v>
      </c>
      <c r="Y1001">
        <v>4</v>
      </c>
      <c r="Z1001">
        <v>6</v>
      </c>
      <c r="AA1001">
        <v>7</v>
      </c>
      <c r="AB1001" t="str">
        <f t="shared" si="47"/>
        <v>Below average customer</v>
      </c>
    </row>
    <row r="1002" spans="1:28" x14ac:dyDescent="0.35">
      <c r="A1002">
        <v>6019</v>
      </c>
      <c r="B1002">
        <v>1971</v>
      </c>
      <c r="C1002" t="s">
        <v>28</v>
      </c>
      <c r="D1002" t="s">
        <v>32</v>
      </c>
      <c r="E1002" t="s">
        <v>33</v>
      </c>
      <c r="F1002">
        <v>37126</v>
      </c>
      <c r="G1002" t="str">
        <f t="shared" si="45"/>
        <v>Mid-low</v>
      </c>
      <c r="H1002">
        <v>1</v>
      </c>
      <c r="I1002">
        <v>0</v>
      </c>
      <c r="J1002">
        <v>1</v>
      </c>
      <c r="K1002" s="1">
        <v>41728</v>
      </c>
      <c r="L1002">
        <v>9</v>
      </c>
      <c r="M1002" t="str">
        <f t="shared" si="46"/>
        <v>Active</v>
      </c>
      <c r="N1002">
        <v>0</v>
      </c>
      <c r="O1002">
        <v>45</v>
      </c>
      <c r="P1002">
        <v>3</v>
      </c>
      <c r="Q1002">
        <v>9</v>
      </c>
      <c r="R1002">
        <v>4</v>
      </c>
      <c r="S1002">
        <v>4</v>
      </c>
      <c r="T1002">
        <v>7</v>
      </c>
      <c r="U1002">
        <v>72</v>
      </c>
      <c r="V1002">
        <v>1</v>
      </c>
      <c r="W1002">
        <v>1</v>
      </c>
      <c r="X1002">
        <v>2</v>
      </c>
      <c r="Y1002">
        <v>2</v>
      </c>
      <c r="Z1002">
        <v>5</v>
      </c>
      <c r="AA1002">
        <v>6</v>
      </c>
      <c r="AB1002" t="str">
        <f t="shared" si="47"/>
        <v>Below average customer</v>
      </c>
    </row>
    <row r="1003" spans="1:28" x14ac:dyDescent="0.35">
      <c r="A1003">
        <v>5863</v>
      </c>
      <c r="B1003">
        <v>1953</v>
      </c>
      <c r="C1003" t="s">
        <v>25</v>
      </c>
      <c r="D1003" t="s">
        <v>26</v>
      </c>
      <c r="E1003" t="s">
        <v>33</v>
      </c>
      <c r="F1003">
        <v>47703</v>
      </c>
      <c r="G1003" t="str">
        <f t="shared" si="45"/>
        <v>Mid-low</v>
      </c>
      <c r="H1003">
        <v>0</v>
      </c>
      <c r="I1003">
        <v>1</v>
      </c>
      <c r="J1003">
        <v>1</v>
      </c>
      <c r="K1003" s="1">
        <v>41423</v>
      </c>
      <c r="L1003">
        <v>95</v>
      </c>
      <c r="M1003" t="str">
        <f t="shared" si="46"/>
        <v>Inactive</v>
      </c>
      <c r="N1003">
        <v>0</v>
      </c>
      <c r="O1003">
        <v>359</v>
      </c>
      <c r="P1003">
        <v>0</v>
      </c>
      <c r="Q1003">
        <v>134</v>
      </c>
      <c r="R1003">
        <v>13</v>
      </c>
      <c r="S1003">
        <v>26</v>
      </c>
      <c r="T1003">
        <v>123</v>
      </c>
      <c r="U1003">
        <v>655</v>
      </c>
      <c r="V1003">
        <v>4</v>
      </c>
      <c r="W1003">
        <v>6</v>
      </c>
      <c r="X1003">
        <v>3</v>
      </c>
      <c r="Y1003">
        <v>8</v>
      </c>
      <c r="Z1003">
        <v>17</v>
      </c>
      <c r="AA1003">
        <v>5</v>
      </c>
      <c r="AB1003" t="str">
        <f t="shared" si="47"/>
        <v>Below average customer</v>
      </c>
    </row>
    <row r="1004" spans="1:28" x14ac:dyDescent="0.35">
      <c r="A1004">
        <v>3717</v>
      </c>
      <c r="B1004">
        <v>1959</v>
      </c>
      <c r="C1004" t="s">
        <v>25</v>
      </c>
      <c r="D1004" t="s">
        <v>26</v>
      </c>
      <c r="E1004" t="s">
        <v>33</v>
      </c>
      <c r="F1004">
        <v>61180</v>
      </c>
      <c r="G1004" t="str">
        <f t="shared" si="45"/>
        <v>Mid-high</v>
      </c>
      <c r="H1004">
        <v>0</v>
      </c>
      <c r="I1004">
        <v>1</v>
      </c>
      <c r="J1004">
        <v>1</v>
      </c>
      <c r="K1004" s="1">
        <v>41752</v>
      </c>
      <c r="L1004">
        <v>70</v>
      </c>
      <c r="M1004" t="str">
        <f t="shared" si="46"/>
        <v>Inactive</v>
      </c>
      <c r="N1004">
        <v>0</v>
      </c>
      <c r="O1004">
        <v>403</v>
      </c>
      <c r="P1004">
        <v>24</v>
      </c>
      <c r="Q1004">
        <v>29</v>
      </c>
      <c r="R1004">
        <v>6</v>
      </c>
      <c r="S1004">
        <v>24</v>
      </c>
      <c r="T1004">
        <v>218</v>
      </c>
      <c r="U1004">
        <v>704</v>
      </c>
      <c r="V1004">
        <v>2</v>
      </c>
      <c r="W1004">
        <v>5</v>
      </c>
      <c r="X1004">
        <v>5</v>
      </c>
      <c r="Y1004">
        <v>6</v>
      </c>
      <c r="Z1004">
        <v>16</v>
      </c>
      <c r="AA1004">
        <v>3</v>
      </c>
      <c r="AB1004" t="str">
        <f t="shared" si="47"/>
        <v>Below average customer</v>
      </c>
    </row>
    <row r="1005" spans="1:28" x14ac:dyDescent="0.35">
      <c r="A1005">
        <v>6730</v>
      </c>
      <c r="B1005">
        <v>1954</v>
      </c>
      <c r="C1005" t="s">
        <v>25</v>
      </c>
      <c r="D1005" t="s">
        <v>26</v>
      </c>
      <c r="E1005" t="s">
        <v>33</v>
      </c>
      <c r="F1005">
        <v>38998</v>
      </c>
      <c r="G1005" t="str">
        <f t="shared" si="45"/>
        <v>Mid-low</v>
      </c>
      <c r="H1005">
        <v>1</v>
      </c>
      <c r="I1005">
        <v>1</v>
      </c>
      <c r="J1005">
        <v>2</v>
      </c>
      <c r="K1005" s="1">
        <v>41216</v>
      </c>
      <c r="L1005">
        <v>92</v>
      </c>
      <c r="M1005" t="str">
        <f t="shared" si="46"/>
        <v>Inactive</v>
      </c>
      <c r="N1005">
        <v>1</v>
      </c>
      <c r="O1005">
        <v>34</v>
      </c>
      <c r="P1005">
        <v>1</v>
      </c>
      <c r="Q1005">
        <v>14</v>
      </c>
      <c r="R1005">
        <v>0</v>
      </c>
      <c r="S1005">
        <v>0</v>
      </c>
      <c r="T1005">
        <v>5</v>
      </c>
      <c r="U1005">
        <v>54</v>
      </c>
      <c r="V1005">
        <v>3</v>
      </c>
      <c r="W1005">
        <v>2</v>
      </c>
      <c r="X1005">
        <v>0</v>
      </c>
      <c r="Y1005">
        <v>3</v>
      </c>
      <c r="Z1005">
        <v>5</v>
      </c>
      <c r="AA1005">
        <v>8</v>
      </c>
      <c r="AB1005" t="str">
        <f t="shared" si="47"/>
        <v>Below average customer</v>
      </c>
    </row>
    <row r="1006" spans="1:28" x14ac:dyDescent="0.35">
      <c r="A1006">
        <v>10749</v>
      </c>
      <c r="B1006">
        <v>1991</v>
      </c>
      <c r="C1006" t="s">
        <v>30</v>
      </c>
      <c r="D1006" t="s">
        <v>26</v>
      </c>
      <c r="E1006" t="s">
        <v>27</v>
      </c>
      <c r="F1006">
        <v>8028</v>
      </c>
      <c r="G1006" t="str">
        <f t="shared" si="45"/>
        <v>Low</v>
      </c>
      <c r="H1006">
        <v>0</v>
      </c>
      <c r="I1006">
        <v>0</v>
      </c>
      <c r="J1006">
        <v>0</v>
      </c>
      <c r="K1006" s="1">
        <v>41170</v>
      </c>
      <c r="L1006">
        <v>62</v>
      </c>
      <c r="M1006" t="str">
        <f t="shared" si="46"/>
        <v>Inactive</v>
      </c>
      <c r="N1006">
        <v>0</v>
      </c>
      <c r="O1006">
        <v>73</v>
      </c>
      <c r="P1006">
        <v>18</v>
      </c>
      <c r="Q1006">
        <v>66</v>
      </c>
      <c r="R1006">
        <v>7</v>
      </c>
      <c r="S1006">
        <v>12</v>
      </c>
      <c r="T1006">
        <v>2</v>
      </c>
      <c r="U1006">
        <v>178</v>
      </c>
      <c r="V1006">
        <v>15</v>
      </c>
      <c r="W1006">
        <v>0</v>
      </c>
      <c r="X1006">
        <v>1</v>
      </c>
      <c r="Y1006">
        <v>0</v>
      </c>
      <c r="Z1006">
        <v>1</v>
      </c>
      <c r="AA1006">
        <v>19</v>
      </c>
      <c r="AB1006" t="str">
        <f t="shared" si="47"/>
        <v>Below average customer</v>
      </c>
    </row>
    <row r="1007" spans="1:28" x14ac:dyDescent="0.35">
      <c r="A1007">
        <v>4998</v>
      </c>
      <c r="B1007">
        <v>1962</v>
      </c>
      <c r="C1007" t="s">
        <v>25</v>
      </c>
      <c r="D1007" t="s">
        <v>26</v>
      </c>
      <c r="E1007" t="s">
        <v>29</v>
      </c>
      <c r="F1007">
        <v>76081</v>
      </c>
      <c r="G1007" t="str">
        <f t="shared" si="45"/>
        <v>High</v>
      </c>
      <c r="H1007">
        <v>0</v>
      </c>
      <c r="I1007">
        <v>0</v>
      </c>
      <c r="J1007">
        <v>0</v>
      </c>
      <c r="K1007" s="1">
        <v>41782</v>
      </c>
      <c r="L1007">
        <v>85</v>
      </c>
      <c r="M1007" t="str">
        <f t="shared" si="46"/>
        <v>Inactive</v>
      </c>
      <c r="N1007">
        <v>0</v>
      </c>
      <c r="O1007">
        <v>292</v>
      </c>
      <c r="P1007">
        <v>30</v>
      </c>
      <c r="Q1007">
        <v>415</v>
      </c>
      <c r="R1007">
        <v>63</v>
      </c>
      <c r="S1007">
        <v>33</v>
      </c>
      <c r="T1007">
        <v>200</v>
      </c>
      <c r="U1007">
        <v>1033</v>
      </c>
      <c r="V1007">
        <v>1</v>
      </c>
      <c r="W1007">
        <v>4</v>
      </c>
      <c r="X1007">
        <v>5</v>
      </c>
      <c r="Y1007">
        <v>4</v>
      </c>
      <c r="Z1007">
        <v>13</v>
      </c>
      <c r="AA1007">
        <v>2</v>
      </c>
      <c r="AB1007" t="str">
        <f t="shared" si="47"/>
        <v>Below average customer</v>
      </c>
    </row>
    <row r="1008" spans="1:28" x14ac:dyDescent="0.35">
      <c r="A1008">
        <v>6287</v>
      </c>
      <c r="B1008">
        <v>1986</v>
      </c>
      <c r="C1008" t="s">
        <v>30</v>
      </c>
      <c r="D1008" t="s">
        <v>26</v>
      </c>
      <c r="E1008" t="s">
        <v>29</v>
      </c>
      <c r="F1008">
        <v>34728</v>
      </c>
      <c r="G1008" t="str">
        <f t="shared" si="45"/>
        <v>Low</v>
      </c>
      <c r="H1008">
        <v>1</v>
      </c>
      <c r="I1008">
        <v>0</v>
      </c>
      <c r="J1008">
        <v>1</v>
      </c>
      <c r="K1008" s="1">
        <v>41485</v>
      </c>
      <c r="L1008">
        <v>2</v>
      </c>
      <c r="M1008" t="str">
        <f t="shared" si="46"/>
        <v>Active</v>
      </c>
      <c r="N1008">
        <v>0</v>
      </c>
      <c r="O1008">
        <v>14</v>
      </c>
      <c r="P1008">
        <v>0</v>
      </c>
      <c r="Q1008">
        <v>16</v>
      </c>
      <c r="R1008">
        <v>0</v>
      </c>
      <c r="S1008">
        <v>0</v>
      </c>
      <c r="T1008">
        <v>6</v>
      </c>
      <c r="U1008">
        <v>36</v>
      </c>
      <c r="V1008">
        <v>1</v>
      </c>
      <c r="W1008">
        <v>1</v>
      </c>
      <c r="X1008">
        <v>1</v>
      </c>
      <c r="Y1008">
        <v>2</v>
      </c>
      <c r="Z1008">
        <v>4</v>
      </c>
      <c r="AA1008">
        <v>6</v>
      </c>
      <c r="AB1008" t="str">
        <f t="shared" si="47"/>
        <v>Below average customer</v>
      </c>
    </row>
    <row r="1009" spans="1:28" x14ac:dyDescent="0.35">
      <c r="A1009">
        <v>5985</v>
      </c>
      <c r="B1009">
        <v>1965</v>
      </c>
      <c r="C1009" t="s">
        <v>28</v>
      </c>
      <c r="D1009" t="s">
        <v>34</v>
      </c>
      <c r="E1009" t="s">
        <v>27</v>
      </c>
      <c r="F1009">
        <v>33168</v>
      </c>
      <c r="G1009" t="str">
        <f t="shared" si="45"/>
        <v>Low</v>
      </c>
      <c r="H1009">
        <v>0</v>
      </c>
      <c r="I1009">
        <v>1</v>
      </c>
      <c r="J1009">
        <v>1</v>
      </c>
      <c r="K1009" s="1">
        <v>41195</v>
      </c>
      <c r="L1009">
        <v>0</v>
      </c>
      <c r="M1009" t="str">
        <f t="shared" si="46"/>
        <v>Active</v>
      </c>
      <c r="N1009">
        <v>0</v>
      </c>
      <c r="O1009">
        <v>80</v>
      </c>
      <c r="P1009">
        <v>1</v>
      </c>
      <c r="Q1009">
        <v>37</v>
      </c>
      <c r="R1009">
        <v>0</v>
      </c>
      <c r="S1009">
        <v>1</v>
      </c>
      <c r="T1009">
        <v>3</v>
      </c>
      <c r="U1009">
        <v>122</v>
      </c>
      <c r="V1009">
        <v>3</v>
      </c>
      <c r="W1009">
        <v>2</v>
      </c>
      <c r="X1009">
        <v>1</v>
      </c>
      <c r="Y1009">
        <v>4</v>
      </c>
      <c r="Z1009">
        <v>7</v>
      </c>
      <c r="AA1009">
        <v>7</v>
      </c>
      <c r="AB1009" t="str">
        <f t="shared" si="47"/>
        <v>Below average customer</v>
      </c>
    </row>
    <row r="1010" spans="1:28" x14ac:dyDescent="0.35">
      <c r="A1010">
        <v>4754</v>
      </c>
      <c r="B1010">
        <v>1966</v>
      </c>
      <c r="C1010" t="s">
        <v>28</v>
      </c>
      <c r="D1010" t="s">
        <v>34</v>
      </c>
      <c r="E1010" t="s">
        <v>33</v>
      </c>
      <c r="F1010">
        <v>33585</v>
      </c>
      <c r="G1010" t="str">
        <f t="shared" si="45"/>
        <v>Low</v>
      </c>
      <c r="H1010">
        <v>0</v>
      </c>
      <c r="I1010">
        <v>1</v>
      </c>
      <c r="J1010">
        <v>1</v>
      </c>
      <c r="K1010" s="1">
        <v>41542</v>
      </c>
      <c r="L1010">
        <v>91</v>
      </c>
      <c r="M1010" t="str">
        <f t="shared" si="46"/>
        <v>Inactive</v>
      </c>
      <c r="N1010">
        <v>0</v>
      </c>
      <c r="O1010">
        <v>30</v>
      </c>
      <c r="P1010">
        <v>11</v>
      </c>
      <c r="Q1010">
        <v>33</v>
      </c>
      <c r="R1010">
        <v>13</v>
      </c>
      <c r="S1010">
        <v>6</v>
      </c>
      <c r="T1010">
        <v>29</v>
      </c>
      <c r="U1010">
        <v>122</v>
      </c>
      <c r="V1010">
        <v>1</v>
      </c>
      <c r="W1010">
        <v>2</v>
      </c>
      <c r="X1010">
        <v>0</v>
      </c>
      <c r="Y1010">
        <v>4</v>
      </c>
      <c r="Z1010">
        <v>6</v>
      </c>
      <c r="AA1010">
        <v>4</v>
      </c>
      <c r="AB1010" t="str">
        <f t="shared" si="47"/>
        <v>Below average customer</v>
      </c>
    </row>
    <row r="1011" spans="1:28" x14ac:dyDescent="0.35">
      <c r="A1011">
        <v>4002</v>
      </c>
      <c r="B1011">
        <v>1960</v>
      </c>
      <c r="C1011" t="s">
        <v>25</v>
      </c>
      <c r="D1011" t="s">
        <v>32</v>
      </c>
      <c r="E1011" t="s">
        <v>33</v>
      </c>
      <c r="F1011">
        <v>77037</v>
      </c>
      <c r="G1011" t="str">
        <f t="shared" si="45"/>
        <v>High</v>
      </c>
      <c r="H1011">
        <v>0</v>
      </c>
      <c r="I1011">
        <v>1</v>
      </c>
      <c r="J1011">
        <v>1</v>
      </c>
      <c r="K1011" s="1">
        <v>41560</v>
      </c>
      <c r="L1011">
        <v>3</v>
      </c>
      <c r="M1011" t="str">
        <f t="shared" si="46"/>
        <v>Active</v>
      </c>
      <c r="N1011">
        <v>0</v>
      </c>
      <c r="O1011">
        <v>463</v>
      </c>
      <c r="P1011">
        <v>96</v>
      </c>
      <c r="Q1011">
        <v>333</v>
      </c>
      <c r="R1011">
        <v>168</v>
      </c>
      <c r="S1011">
        <v>53</v>
      </c>
      <c r="T1011">
        <v>10</v>
      </c>
      <c r="U1011">
        <v>1123</v>
      </c>
      <c r="V1011">
        <v>1</v>
      </c>
      <c r="W1011">
        <v>7</v>
      </c>
      <c r="X1011">
        <v>7</v>
      </c>
      <c r="Y1011">
        <v>12</v>
      </c>
      <c r="Z1011">
        <v>26</v>
      </c>
      <c r="AA1011">
        <v>3</v>
      </c>
      <c r="AB1011" t="str">
        <f t="shared" si="47"/>
        <v>Above average customer</v>
      </c>
    </row>
    <row r="1012" spans="1:28" x14ac:dyDescent="0.35">
      <c r="A1012">
        <v>8870</v>
      </c>
      <c r="B1012">
        <v>1984</v>
      </c>
      <c r="C1012" t="s">
        <v>30</v>
      </c>
      <c r="D1012" t="s">
        <v>26</v>
      </c>
      <c r="E1012" t="s">
        <v>29</v>
      </c>
      <c r="F1012">
        <v>35196</v>
      </c>
      <c r="G1012" t="str">
        <f t="shared" si="45"/>
        <v>Low</v>
      </c>
      <c r="H1012">
        <v>1</v>
      </c>
      <c r="I1012">
        <v>0</v>
      </c>
      <c r="J1012">
        <v>1</v>
      </c>
      <c r="K1012" s="1">
        <v>41226</v>
      </c>
      <c r="L1012">
        <v>68</v>
      </c>
      <c r="M1012" t="str">
        <f t="shared" si="46"/>
        <v>Inactive</v>
      </c>
      <c r="N1012">
        <v>0</v>
      </c>
      <c r="O1012">
        <v>75</v>
      </c>
      <c r="P1012">
        <v>12</v>
      </c>
      <c r="Q1012">
        <v>141</v>
      </c>
      <c r="R1012">
        <v>43</v>
      </c>
      <c r="S1012">
        <v>39</v>
      </c>
      <c r="T1012">
        <v>187</v>
      </c>
      <c r="U1012">
        <v>497</v>
      </c>
      <c r="V1012">
        <v>6</v>
      </c>
      <c r="W1012">
        <v>6</v>
      </c>
      <c r="X1012">
        <v>1</v>
      </c>
      <c r="Y1012">
        <v>5</v>
      </c>
      <c r="Z1012">
        <v>12</v>
      </c>
      <c r="AA1012">
        <v>8</v>
      </c>
      <c r="AB1012" t="str">
        <f t="shared" si="47"/>
        <v>Below average customer</v>
      </c>
    </row>
    <row r="1013" spans="1:28" x14ac:dyDescent="0.35">
      <c r="A1013">
        <v>966</v>
      </c>
      <c r="B1013">
        <v>1966</v>
      </c>
      <c r="C1013" t="s">
        <v>28</v>
      </c>
      <c r="D1013" t="s">
        <v>26</v>
      </c>
      <c r="E1013" t="s">
        <v>33</v>
      </c>
      <c r="F1013">
        <v>44529</v>
      </c>
      <c r="G1013" t="str">
        <f t="shared" si="45"/>
        <v>Mid-low</v>
      </c>
      <c r="H1013">
        <v>0</v>
      </c>
      <c r="I1013">
        <v>1</v>
      </c>
      <c r="J1013">
        <v>1</v>
      </c>
      <c r="K1013" s="1">
        <v>41460</v>
      </c>
      <c r="L1013">
        <v>98</v>
      </c>
      <c r="M1013" t="str">
        <f t="shared" si="46"/>
        <v>Inactive</v>
      </c>
      <c r="N1013">
        <v>0</v>
      </c>
      <c r="O1013">
        <v>538</v>
      </c>
      <c r="P1013">
        <v>13</v>
      </c>
      <c r="Q1013">
        <v>91</v>
      </c>
      <c r="R1013">
        <v>17</v>
      </c>
      <c r="S1013">
        <v>6</v>
      </c>
      <c r="T1013">
        <v>26</v>
      </c>
      <c r="U1013">
        <v>691</v>
      </c>
      <c r="V1013">
        <v>6</v>
      </c>
      <c r="W1013">
        <v>6</v>
      </c>
      <c r="X1013">
        <v>2</v>
      </c>
      <c r="Y1013">
        <v>11</v>
      </c>
      <c r="Z1013">
        <v>19</v>
      </c>
      <c r="AA1013">
        <v>5</v>
      </c>
      <c r="AB1013" t="str">
        <f t="shared" si="47"/>
        <v>Below average customer</v>
      </c>
    </row>
    <row r="1014" spans="1:28" x14ac:dyDescent="0.35">
      <c r="A1014">
        <v>9725</v>
      </c>
      <c r="B1014">
        <v>1966</v>
      </c>
      <c r="C1014" t="s">
        <v>28</v>
      </c>
      <c r="D1014" t="s">
        <v>32</v>
      </c>
      <c r="E1014" t="s">
        <v>29</v>
      </c>
      <c r="F1014">
        <v>28764</v>
      </c>
      <c r="G1014" t="str">
        <f t="shared" si="45"/>
        <v>Low</v>
      </c>
      <c r="H1014">
        <v>1</v>
      </c>
      <c r="I1014">
        <v>1</v>
      </c>
      <c r="J1014">
        <v>2</v>
      </c>
      <c r="K1014" s="1">
        <v>41795</v>
      </c>
      <c r="L1014">
        <v>16</v>
      </c>
      <c r="M1014" t="str">
        <f t="shared" si="46"/>
        <v>Active</v>
      </c>
      <c r="N1014">
        <v>0</v>
      </c>
      <c r="O1014">
        <v>8</v>
      </c>
      <c r="P1014">
        <v>0</v>
      </c>
      <c r="Q1014">
        <v>3</v>
      </c>
      <c r="R1014">
        <v>0</v>
      </c>
      <c r="S1014">
        <v>0</v>
      </c>
      <c r="T1014">
        <v>1</v>
      </c>
      <c r="U1014">
        <v>12</v>
      </c>
      <c r="V1014">
        <v>1</v>
      </c>
      <c r="W1014">
        <v>1</v>
      </c>
      <c r="X1014">
        <v>0</v>
      </c>
      <c r="Y1014">
        <v>2</v>
      </c>
      <c r="Z1014">
        <v>3</v>
      </c>
      <c r="AA1014">
        <v>8</v>
      </c>
      <c r="AB1014" t="str">
        <f t="shared" si="47"/>
        <v>Below average customer</v>
      </c>
    </row>
    <row r="1015" spans="1:28" x14ac:dyDescent="0.35">
      <c r="A1015">
        <v>4475</v>
      </c>
      <c r="B1015">
        <v>1949</v>
      </c>
      <c r="C1015" t="s">
        <v>36</v>
      </c>
      <c r="D1015" t="s">
        <v>32</v>
      </c>
      <c r="E1015" t="s">
        <v>33</v>
      </c>
      <c r="F1015">
        <v>69098</v>
      </c>
      <c r="G1015" t="str">
        <f t="shared" si="45"/>
        <v>High</v>
      </c>
      <c r="H1015">
        <v>0</v>
      </c>
      <c r="I1015">
        <v>0</v>
      </c>
      <c r="J1015">
        <v>0</v>
      </c>
      <c r="K1015" s="1">
        <v>41321</v>
      </c>
      <c r="L1015">
        <v>82</v>
      </c>
      <c r="M1015" t="str">
        <f t="shared" si="46"/>
        <v>Inactive</v>
      </c>
      <c r="N1015">
        <v>0</v>
      </c>
      <c r="O1015">
        <v>1315</v>
      </c>
      <c r="P1015">
        <v>22</v>
      </c>
      <c r="Q1015">
        <v>780</v>
      </c>
      <c r="R1015">
        <v>145</v>
      </c>
      <c r="S1015">
        <v>0</v>
      </c>
      <c r="T1015">
        <v>178</v>
      </c>
      <c r="U1015">
        <v>2440</v>
      </c>
      <c r="V1015">
        <v>1</v>
      </c>
      <c r="W1015">
        <v>7</v>
      </c>
      <c r="X1015">
        <v>8</v>
      </c>
      <c r="Y1015">
        <v>9</v>
      </c>
      <c r="Z1015">
        <v>24</v>
      </c>
      <c r="AA1015">
        <v>5</v>
      </c>
      <c r="AB1015" t="str">
        <f t="shared" si="47"/>
        <v>Below average customer</v>
      </c>
    </row>
    <row r="1016" spans="1:28" x14ac:dyDescent="0.35">
      <c r="A1016">
        <v>5740</v>
      </c>
      <c r="B1016">
        <v>1970</v>
      </c>
      <c r="C1016" t="s">
        <v>28</v>
      </c>
      <c r="D1016" t="s">
        <v>34</v>
      </c>
      <c r="E1016" t="s">
        <v>35</v>
      </c>
      <c r="F1016">
        <v>25959</v>
      </c>
      <c r="G1016" t="str">
        <f t="shared" si="45"/>
        <v>Low</v>
      </c>
      <c r="H1016">
        <v>1</v>
      </c>
      <c r="I1016">
        <v>1</v>
      </c>
      <c r="J1016">
        <v>2</v>
      </c>
      <c r="K1016" s="1">
        <v>41319</v>
      </c>
      <c r="L1016">
        <v>1</v>
      </c>
      <c r="M1016" t="str">
        <f t="shared" si="46"/>
        <v>Active</v>
      </c>
      <c r="N1016">
        <v>0</v>
      </c>
      <c r="O1016">
        <v>4</v>
      </c>
      <c r="P1016">
        <v>2</v>
      </c>
      <c r="Q1016">
        <v>12</v>
      </c>
      <c r="R1016">
        <v>7</v>
      </c>
      <c r="S1016">
        <v>5</v>
      </c>
      <c r="T1016">
        <v>26</v>
      </c>
      <c r="U1016">
        <v>56</v>
      </c>
      <c r="V1016">
        <v>2</v>
      </c>
      <c r="W1016">
        <v>1</v>
      </c>
      <c r="X1016">
        <v>2</v>
      </c>
      <c r="Y1016">
        <v>2</v>
      </c>
      <c r="Z1016">
        <v>5</v>
      </c>
      <c r="AA1016">
        <v>6</v>
      </c>
      <c r="AB1016" t="str">
        <f t="shared" si="47"/>
        <v>Below average customer</v>
      </c>
    </row>
    <row r="1017" spans="1:28" x14ac:dyDescent="0.35">
      <c r="A1017">
        <v>5731</v>
      </c>
      <c r="B1017">
        <v>1983</v>
      </c>
      <c r="C1017" t="s">
        <v>30</v>
      </c>
      <c r="D1017" t="s">
        <v>34</v>
      </c>
      <c r="E1017" t="s">
        <v>33</v>
      </c>
      <c r="F1017">
        <v>27100</v>
      </c>
      <c r="G1017" t="str">
        <f t="shared" si="45"/>
        <v>Low</v>
      </c>
      <c r="H1017">
        <v>1</v>
      </c>
      <c r="I1017">
        <v>0</v>
      </c>
      <c r="J1017">
        <v>1</v>
      </c>
      <c r="K1017" s="1">
        <v>41369</v>
      </c>
      <c r="L1017">
        <v>64</v>
      </c>
      <c r="M1017" t="str">
        <f t="shared" si="46"/>
        <v>Inactive</v>
      </c>
      <c r="N1017">
        <v>0</v>
      </c>
      <c r="O1017">
        <v>12</v>
      </c>
      <c r="P1017">
        <v>0</v>
      </c>
      <c r="Q1017">
        <v>13</v>
      </c>
      <c r="R1017">
        <v>2</v>
      </c>
      <c r="S1017">
        <v>0</v>
      </c>
      <c r="T1017">
        <v>10</v>
      </c>
      <c r="U1017">
        <v>37</v>
      </c>
      <c r="V1017">
        <v>1</v>
      </c>
      <c r="W1017">
        <v>1</v>
      </c>
      <c r="X1017">
        <v>0</v>
      </c>
      <c r="Y1017">
        <v>3</v>
      </c>
      <c r="Z1017">
        <v>4</v>
      </c>
      <c r="AA1017">
        <v>7</v>
      </c>
      <c r="AB1017" t="str">
        <f t="shared" si="47"/>
        <v>Below average customer</v>
      </c>
    </row>
    <row r="1018" spans="1:28" x14ac:dyDescent="0.35">
      <c r="A1018">
        <v>7290</v>
      </c>
      <c r="B1018">
        <v>1985</v>
      </c>
      <c r="C1018" t="s">
        <v>30</v>
      </c>
      <c r="D1018" t="s">
        <v>26</v>
      </c>
      <c r="E1018" t="s">
        <v>27</v>
      </c>
      <c r="F1018">
        <v>70596</v>
      </c>
      <c r="G1018" t="str">
        <f t="shared" si="45"/>
        <v>High</v>
      </c>
      <c r="H1018">
        <v>0</v>
      </c>
      <c r="I1018">
        <v>0</v>
      </c>
      <c r="J1018">
        <v>0</v>
      </c>
      <c r="K1018" s="1">
        <v>41187</v>
      </c>
      <c r="L1018">
        <v>68</v>
      </c>
      <c r="M1018" t="str">
        <f t="shared" si="46"/>
        <v>Inactive</v>
      </c>
      <c r="N1018">
        <v>0</v>
      </c>
      <c r="O1018">
        <v>347</v>
      </c>
      <c r="P1018">
        <v>44</v>
      </c>
      <c r="Q1018">
        <v>534</v>
      </c>
      <c r="R1018">
        <v>17</v>
      </c>
      <c r="S1018">
        <v>0</v>
      </c>
      <c r="T1018">
        <v>26</v>
      </c>
      <c r="U1018">
        <v>968</v>
      </c>
      <c r="V1018">
        <v>1</v>
      </c>
      <c r="W1018">
        <v>3</v>
      </c>
      <c r="X1018">
        <v>5</v>
      </c>
      <c r="Y1018">
        <v>12</v>
      </c>
      <c r="Z1018">
        <v>20</v>
      </c>
      <c r="AA1018">
        <v>2</v>
      </c>
      <c r="AB1018" t="str">
        <f t="shared" si="47"/>
        <v>Below average customer</v>
      </c>
    </row>
    <row r="1019" spans="1:28" x14ac:dyDescent="0.35">
      <c r="A1019">
        <v>3846</v>
      </c>
      <c r="B1019">
        <v>1974</v>
      </c>
      <c r="C1019" t="s">
        <v>31</v>
      </c>
      <c r="D1019" t="s">
        <v>26</v>
      </c>
      <c r="E1019" t="s">
        <v>33</v>
      </c>
      <c r="F1019">
        <v>42557</v>
      </c>
      <c r="G1019" t="str">
        <f t="shared" si="45"/>
        <v>Mid-low</v>
      </c>
      <c r="H1019">
        <v>0</v>
      </c>
      <c r="I1019">
        <v>1</v>
      </c>
      <c r="J1019">
        <v>1</v>
      </c>
      <c r="K1019" s="1">
        <v>41150</v>
      </c>
      <c r="L1019">
        <v>98</v>
      </c>
      <c r="M1019" t="str">
        <f t="shared" si="46"/>
        <v>Inactive</v>
      </c>
      <c r="N1019">
        <v>0</v>
      </c>
      <c r="O1019">
        <v>192</v>
      </c>
      <c r="P1019">
        <v>5</v>
      </c>
      <c r="Q1019">
        <v>53</v>
      </c>
      <c r="R1019">
        <v>0</v>
      </c>
      <c r="S1019">
        <v>5</v>
      </c>
      <c r="T1019">
        <v>15</v>
      </c>
      <c r="U1019">
        <v>270</v>
      </c>
      <c r="V1019">
        <v>4</v>
      </c>
      <c r="W1019">
        <v>6</v>
      </c>
      <c r="X1019">
        <v>1</v>
      </c>
      <c r="Y1019">
        <v>4</v>
      </c>
      <c r="Z1019">
        <v>11</v>
      </c>
      <c r="AA1019">
        <v>8</v>
      </c>
      <c r="AB1019" t="str">
        <f t="shared" si="47"/>
        <v>Below average customer</v>
      </c>
    </row>
    <row r="1020" spans="1:28" x14ac:dyDescent="0.35">
      <c r="A1020">
        <v>8104</v>
      </c>
      <c r="B1020">
        <v>1951</v>
      </c>
      <c r="C1020" t="s">
        <v>36</v>
      </c>
      <c r="D1020" t="s">
        <v>32</v>
      </c>
      <c r="E1020" t="s">
        <v>33</v>
      </c>
      <c r="F1020">
        <v>53312</v>
      </c>
      <c r="G1020" t="str">
        <f t="shared" si="45"/>
        <v>Mid-high</v>
      </c>
      <c r="H1020">
        <v>0</v>
      </c>
      <c r="I1020">
        <v>0</v>
      </c>
      <c r="J1020">
        <v>0</v>
      </c>
      <c r="K1020" s="1">
        <v>41495</v>
      </c>
      <c r="L1020">
        <v>32</v>
      </c>
      <c r="M1020" t="str">
        <f t="shared" si="46"/>
        <v>Active</v>
      </c>
      <c r="N1020">
        <v>0</v>
      </c>
      <c r="O1020">
        <v>241</v>
      </c>
      <c r="P1020">
        <v>0</v>
      </c>
      <c r="Q1020">
        <v>12</v>
      </c>
      <c r="R1020">
        <v>0</v>
      </c>
      <c r="S1020">
        <v>0</v>
      </c>
      <c r="T1020">
        <v>25</v>
      </c>
      <c r="U1020">
        <v>278</v>
      </c>
      <c r="V1020">
        <v>1</v>
      </c>
      <c r="W1020">
        <v>5</v>
      </c>
      <c r="X1020">
        <v>1</v>
      </c>
      <c r="Y1020">
        <v>5</v>
      </c>
      <c r="Z1020">
        <v>11</v>
      </c>
      <c r="AA1020">
        <v>7</v>
      </c>
      <c r="AB1020" t="str">
        <f t="shared" si="47"/>
        <v>Below average customer</v>
      </c>
    </row>
    <row r="1021" spans="1:28" x14ac:dyDescent="0.35">
      <c r="A1021">
        <v>4507</v>
      </c>
      <c r="B1021">
        <v>1952</v>
      </c>
      <c r="C1021" t="s">
        <v>36</v>
      </c>
      <c r="D1021" t="s">
        <v>26</v>
      </c>
      <c r="E1021" t="s">
        <v>27</v>
      </c>
      <c r="F1021">
        <v>72228</v>
      </c>
      <c r="G1021" t="str">
        <f t="shared" si="45"/>
        <v>High</v>
      </c>
      <c r="H1021">
        <v>0</v>
      </c>
      <c r="I1021">
        <v>0</v>
      </c>
      <c r="J1021">
        <v>0</v>
      </c>
      <c r="K1021" s="1">
        <v>41240</v>
      </c>
      <c r="L1021">
        <v>87</v>
      </c>
      <c r="M1021" t="str">
        <f t="shared" si="46"/>
        <v>Inactive</v>
      </c>
      <c r="N1021">
        <v>0</v>
      </c>
      <c r="O1021">
        <v>631</v>
      </c>
      <c r="P1021">
        <v>28</v>
      </c>
      <c r="Q1021">
        <v>491</v>
      </c>
      <c r="R1021">
        <v>30</v>
      </c>
      <c r="S1021">
        <v>14</v>
      </c>
      <c r="T1021">
        <v>56</v>
      </c>
      <c r="U1021">
        <v>1250</v>
      </c>
      <c r="V1021">
        <v>1</v>
      </c>
      <c r="W1021">
        <v>6</v>
      </c>
      <c r="X1021">
        <v>7</v>
      </c>
      <c r="Y1021">
        <v>8</v>
      </c>
      <c r="Z1021">
        <v>21</v>
      </c>
      <c r="AA1021">
        <v>3</v>
      </c>
      <c r="AB1021" t="str">
        <f t="shared" si="47"/>
        <v>Below average customer</v>
      </c>
    </row>
    <row r="1022" spans="1:28" x14ac:dyDescent="0.35">
      <c r="A1022">
        <v>11013</v>
      </c>
      <c r="B1022">
        <v>1987</v>
      </c>
      <c r="C1022" t="s">
        <v>30</v>
      </c>
      <c r="D1022" t="s">
        <v>26</v>
      </c>
      <c r="E1022" t="s">
        <v>29</v>
      </c>
      <c r="F1022">
        <v>67605</v>
      </c>
      <c r="G1022" t="str">
        <f t="shared" si="45"/>
        <v>Mid-high</v>
      </c>
      <c r="H1022">
        <v>0</v>
      </c>
      <c r="I1022">
        <v>0</v>
      </c>
      <c r="J1022">
        <v>0</v>
      </c>
      <c r="K1022" s="1">
        <v>41364</v>
      </c>
      <c r="L1022">
        <v>84</v>
      </c>
      <c r="M1022" t="str">
        <f t="shared" si="46"/>
        <v>Inactive</v>
      </c>
      <c r="N1022">
        <v>0</v>
      </c>
      <c r="O1022">
        <v>336</v>
      </c>
      <c r="P1022">
        <v>28</v>
      </c>
      <c r="Q1022">
        <v>282</v>
      </c>
      <c r="R1022">
        <v>184</v>
      </c>
      <c r="S1022">
        <v>54</v>
      </c>
      <c r="T1022">
        <v>54</v>
      </c>
      <c r="U1022">
        <v>938</v>
      </c>
      <c r="V1022">
        <v>1</v>
      </c>
      <c r="W1022">
        <v>2</v>
      </c>
      <c r="X1022">
        <v>8</v>
      </c>
      <c r="Y1022">
        <v>6</v>
      </c>
      <c r="Z1022">
        <v>16</v>
      </c>
      <c r="AA1022">
        <v>1</v>
      </c>
      <c r="AB1022" t="str">
        <f t="shared" si="47"/>
        <v>Below average customer</v>
      </c>
    </row>
    <row r="1023" spans="1:28" x14ac:dyDescent="0.35">
      <c r="A1023">
        <v>4491</v>
      </c>
      <c r="B1023">
        <v>1949</v>
      </c>
      <c r="C1023" t="s">
        <v>36</v>
      </c>
      <c r="D1023" t="s">
        <v>34</v>
      </c>
      <c r="E1023" t="s">
        <v>33</v>
      </c>
      <c r="F1023">
        <v>62845</v>
      </c>
      <c r="G1023" t="str">
        <f t="shared" si="45"/>
        <v>Mid-high</v>
      </c>
      <c r="H1023">
        <v>1</v>
      </c>
      <c r="I1023">
        <v>1</v>
      </c>
      <c r="J1023">
        <v>2</v>
      </c>
      <c r="K1023" s="1">
        <v>41183</v>
      </c>
      <c r="L1023">
        <v>3</v>
      </c>
      <c r="M1023" t="str">
        <f t="shared" si="46"/>
        <v>Active</v>
      </c>
      <c r="N1023">
        <v>0</v>
      </c>
      <c r="O1023">
        <v>1099</v>
      </c>
      <c r="P1023">
        <v>0</v>
      </c>
      <c r="Q1023">
        <v>45</v>
      </c>
      <c r="R1023">
        <v>0</v>
      </c>
      <c r="S1023">
        <v>0</v>
      </c>
      <c r="T1023">
        <v>34</v>
      </c>
      <c r="U1023">
        <v>1178</v>
      </c>
      <c r="V1023">
        <v>11</v>
      </c>
      <c r="W1023">
        <v>3</v>
      </c>
      <c r="X1023">
        <v>4</v>
      </c>
      <c r="Y1023">
        <v>10</v>
      </c>
      <c r="Z1023">
        <v>17</v>
      </c>
      <c r="AA1023">
        <v>8</v>
      </c>
      <c r="AB1023" t="str">
        <f t="shared" si="47"/>
        <v>Above average customer</v>
      </c>
    </row>
    <row r="1024" spans="1:28" x14ac:dyDescent="0.35">
      <c r="A1024">
        <v>3759</v>
      </c>
      <c r="B1024">
        <v>1958</v>
      </c>
      <c r="C1024" t="s">
        <v>25</v>
      </c>
      <c r="D1024" t="s">
        <v>26</v>
      </c>
      <c r="E1024" t="s">
        <v>29</v>
      </c>
      <c r="F1024">
        <v>65196</v>
      </c>
      <c r="G1024" t="str">
        <f t="shared" si="45"/>
        <v>Mid-high</v>
      </c>
      <c r="H1024">
        <v>0</v>
      </c>
      <c r="I1024">
        <v>2</v>
      </c>
      <c r="J1024">
        <v>2</v>
      </c>
      <c r="K1024" s="1">
        <v>41480</v>
      </c>
      <c r="L1024">
        <v>34</v>
      </c>
      <c r="M1024" t="str">
        <f t="shared" si="46"/>
        <v>Active</v>
      </c>
      <c r="N1024">
        <v>0</v>
      </c>
      <c r="O1024">
        <v>743</v>
      </c>
      <c r="P1024">
        <v>19</v>
      </c>
      <c r="Q1024">
        <v>181</v>
      </c>
      <c r="R1024">
        <v>12</v>
      </c>
      <c r="S1024">
        <v>0</v>
      </c>
      <c r="T1024">
        <v>200</v>
      </c>
      <c r="U1024">
        <v>1155</v>
      </c>
      <c r="V1024">
        <v>2</v>
      </c>
      <c r="W1024">
        <v>7</v>
      </c>
      <c r="X1024">
        <v>6</v>
      </c>
      <c r="Y1024">
        <v>11</v>
      </c>
      <c r="Z1024">
        <v>24</v>
      </c>
      <c r="AA1024">
        <v>5</v>
      </c>
      <c r="AB1024" t="str">
        <f t="shared" si="47"/>
        <v>Above average customer</v>
      </c>
    </row>
    <row r="1025" spans="1:28" x14ac:dyDescent="0.35">
      <c r="A1025">
        <v>1162</v>
      </c>
      <c r="B1025">
        <v>1987</v>
      </c>
      <c r="C1025" t="s">
        <v>30</v>
      </c>
      <c r="D1025" t="s">
        <v>32</v>
      </c>
      <c r="E1025" t="s">
        <v>27</v>
      </c>
      <c r="F1025">
        <v>42000</v>
      </c>
      <c r="G1025" t="str">
        <f t="shared" si="45"/>
        <v>Mid-low</v>
      </c>
      <c r="H1025">
        <v>0</v>
      </c>
      <c r="I1025">
        <v>0</v>
      </c>
      <c r="J1025">
        <v>0</v>
      </c>
      <c r="K1025" s="1">
        <v>41284</v>
      </c>
      <c r="L1025">
        <v>23</v>
      </c>
      <c r="M1025" t="str">
        <f t="shared" si="46"/>
        <v>Active</v>
      </c>
      <c r="N1025">
        <v>0</v>
      </c>
      <c r="O1025">
        <v>124</v>
      </c>
      <c r="P1025">
        <v>83</v>
      </c>
      <c r="Q1025">
        <v>267</v>
      </c>
      <c r="R1025">
        <v>85</v>
      </c>
      <c r="S1025">
        <v>59</v>
      </c>
      <c r="T1025">
        <v>35</v>
      </c>
      <c r="U1025">
        <v>653</v>
      </c>
      <c r="V1025">
        <v>2</v>
      </c>
      <c r="W1025">
        <v>5</v>
      </c>
      <c r="X1025">
        <v>2</v>
      </c>
      <c r="Y1025">
        <v>11</v>
      </c>
      <c r="Z1025">
        <v>18</v>
      </c>
      <c r="AA1025">
        <v>5</v>
      </c>
      <c r="AB1025" t="str">
        <f t="shared" si="47"/>
        <v>Below average customer</v>
      </c>
    </row>
    <row r="1026" spans="1:28" x14ac:dyDescent="0.35">
      <c r="A1026">
        <v>2055</v>
      </c>
      <c r="B1026">
        <v>1973</v>
      </c>
      <c r="C1026" t="s">
        <v>31</v>
      </c>
      <c r="D1026" t="s">
        <v>32</v>
      </c>
      <c r="E1026" t="s">
        <v>35</v>
      </c>
      <c r="F1026">
        <v>35860</v>
      </c>
      <c r="G1026" t="str">
        <f t="shared" ref="G1026:G1089" si="48">IF(F1026&lt;=_xlfn.PERCENTILE.INC($F$2:$F$2056,0.25),"Low",IF(F1026&lt;=_xlfn.PERCENTILE.INC($F$2:$F$2056,0.5),"Mid-low",IF(F1026&lt;=_xlfn.PERCENTILE.INC($F$2:$F$2056,0.75),"Mid-high","High")))</f>
        <v>Mid-low</v>
      </c>
      <c r="H1026">
        <v>1</v>
      </c>
      <c r="I1026">
        <v>1</v>
      </c>
      <c r="J1026">
        <v>2</v>
      </c>
      <c r="K1026" s="1">
        <v>41778</v>
      </c>
      <c r="L1026">
        <v>37</v>
      </c>
      <c r="M1026" t="str">
        <f t="shared" ref="M1026:M1089" si="49">IF(L1026&gt;AVERAGE($L$2:$L$2056),"Inactive","Active")</f>
        <v>Active</v>
      </c>
      <c r="N1026">
        <v>0</v>
      </c>
      <c r="O1026">
        <v>15</v>
      </c>
      <c r="P1026">
        <v>0</v>
      </c>
      <c r="Q1026">
        <v>8</v>
      </c>
      <c r="R1026">
        <v>4</v>
      </c>
      <c r="S1026">
        <v>2</v>
      </c>
      <c r="T1026">
        <v>20</v>
      </c>
      <c r="U1026">
        <v>49</v>
      </c>
      <c r="V1026">
        <v>2</v>
      </c>
      <c r="W1026">
        <v>1</v>
      </c>
      <c r="X1026">
        <v>1</v>
      </c>
      <c r="Y1026">
        <v>2</v>
      </c>
      <c r="Z1026">
        <v>4</v>
      </c>
      <c r="AA1026">
        <v>5</v>
      </c>
      <c r="AB1026" t="str">
        <f t="shared" ref="AB1026:AB1089" si="50">IF(AND(Z1026&gt;AVERAGE($Z$2:$Z$2056),U1026&gt;AVERAGE($U$2:$U$2056),N1026=0,L1026&lt;AVERAGE($L$2:$L$2056),F1026&gt;AVERAGE($F$2:$F$2240)),"Above average customer","Below average customer")</f>
        <v>Below average customer</v>
      </c>
    </row>
    <row r="1027" spans="1:28" x14ac:dyDescent="0.35">
      <c r="A1027">
        <v>10766</v>
      </c>
      <c r="B1027">
        <v>1964</v>
      </c>
      <c r="C1027" t="s">
        <v>28</v>
      </c>
      <c r="D1027" t="s">
        <v>32</v>
      </c>
      <c r="E1027" t="s">
        <v>33</v>
      </c>
      <c r="F1027">
        <v>65526</v>
      </c>
      <c r="G1027" t="str">
        <f t="shared" si="48"/>
        <v>Mid-high</v>
      </c>
      <c r="H1027">
        <v>0</v>
      </c>
      <c r="I1027">
        <v>1</v>
      </c>
      <c r="J1027">
        <v>1</v>
      </c>
      <c r="K1027" s="1">
        <v>41740</v>
      </c>
      <c r="L1027">
        <v>22</v>
      </c>
      <c r="M1027" t="str">
        <f t="shared" si="49"/>
        <v>Active</v>
      </c>
      <c r="N1027">
        <v>0</v>
      </c>
      <c r="O1027">
        <v>397</v>
      </c>
      <c r="P1027">
        <v>19</v>
      </c>
      <c r="Q1027">
        <v>69</v>
      </c>
      <c r="R1027">
        <v>12</v>
      </c>
      <c r="S1027">
        <v>0</v>
      </c>
      <c r="T1027">
        <v>9</v>
      </c>
      <c r="U1027">
        <v>506</v>
      </c>
      <c r="V1027">
        <v>1</v>
      </c>
      <c r="W1027">
        <v>4</v>
      </c>
      <c r="X1027">
        <v>4</v>
      </c>
      <c r="Y1027">
        <v>8</v>
      </c>
      <c r="Z1027">
        <v>16</v>
      </c>
      <c r="AA1027">
        <v>2</v>
      </c>
      <c r="AB1027" t="str">
        <f t="shared" si="50"/>
        <v>Below average customer</v>
      </c>
    </row>
    <row r="1028" spans="1:28" x14ac:dyDescent="0.35">
      <c r="A1028">
        <v>4415</v>
      </c>
      <c r="B1028">
        <v>1961</v>
      </c>
      <c r="C1028" t="s">
        <v>25</v>
      </c>
      <c r="D1028" t="s">
        <v>26</v>
      </c>
      <c r="E1028" t="s">
        <v>33</v>
      </c>
      <c r="F1028">
        <v>16860</v>
      </c>
      <c r="G1028" t="str">
        <f t="shared" si="48"/>
        <v>Low</v>
      </c>
      <c r="H1028">
        <v>1</v>
      </c>
      <c r="I1028">
        <v>1</v>
      </c>
      <c r="J1028">
        <v>2</v>
      </c>
      <c r="K1028" s="1">
        <v>41164</v>
      </c>
      <c r="L1028">
        <v>19</v>
      </c>
      <c r="M1028" t="str">
        <f t="shared" si="49"/>
        <v>Active</v>
      </c>
      <c r="N1028">
        <v>0</v>
      </c>
      <c r="O1028">
        <v>10</v>
      </c>
      <c r="P1028">
        <v>4</v>
      </c>
      <c r="Q1028">
        <v>4</v>
      </c>
      <c r="R1028">
        <v>3</v>
      </c>
      <c r="S1028">
        <v>3</v>
      </c>
      <c r="T1028">
        <v>14</v>
      </c>
      <c r="U1028">
        <v>38</v>
      </c>
      <c r="V1028">
        <v>3</v>
      </c>
      <c r="W1028">
        <v>1</v>
      </c>
      <c r="X1028">
        <v>1</v>
      </c>
      <c r="Y1028">
        <v>3</v>
      </c>
      <c r="Z1028">
        <v>5</v>
      </c>
      <c r="AA1028">
        <v>7</v>
      </c>
      <c r="AB1028" t="str">
        <f t="shared" si="50"/>
        <v>Below average customer</v>
      </c>
    </row>
    <row r="1029" spans="1:28" x14ac:dyDescent="0.35">
      <c r="A1029">
        <v>3005</v>
      </c>
      <c r="B1029">
        <v>1992</v>
      </c>
      <c r="C1029" t="s">
        <v>30</v>
      </c>
      <c r="D1029" t="s">
        <v>26</v>
      </c>
      <c r="E1029" t="s">
        <v>27</v>
      </c>
      <c r="F1029">
        <v>83528</v>
      </c>
      <c r="G1029" t="str">
        <f t="shared" si="48"/>
        <v>High</v>
      </c>
      <c r="H1029">
        <v>0</v>
      </c>
      <c r="I1029">
        <v>0</v>
      </c>
      <c r="J1029">
        <v>0</v>
      </c>
      <c r="K1029" s="1">
        <v>41760</v>
      </c>
      <c r="L1029">
        <v>7</v>
      </c>
      <c r="M1029" t="str">
        <f t="shared" si="49"/>
        <v>Active</v>
      </c>
      <c r="N1029">
        <v>0</v>
      </c>
      <c r="O1029">
        <v>530</v>
      </c>
      <c r="P1029">
        <v>117</v>
      </c>
      <c r="Q1029">
        <v>678</v>
      </c>
      <c r="R1029">
        <v>134</v>
      </c>
      <c r="S1029">
        <v>44</v>
      </c>
      <c r="T1029">
        <v>147</v>
      </c>
      <c r="U1029">
        <v>1650</v>
      </c>
      <c r="V1029">
        <v>1</v>
      </c>
      <c r="W1029">
        <v>4</v>
      </c>
      <c r="X1029">
        <v>10</v>
      </c>
      <c r="Y1029">
        <v>8</v>
      </c>
      <c r="Z1029">
        <v>22</v>
      </c>
      <c r="AA1029">
        <v>1</v>
      </c>
      <c r="AB1029" t="str">
        <f t="shared" si="50"/>
        <v>Above average customer</v>
      </c>
    </row>
    <row r="1030" spans="1:28" x14ac:dyDescent="0.35">
      <c r="A1030">
        <v>2223</v>
      </c>
      <c r="B1030">
        <v>1965</v>
      </c>
      <c r="C1030" t="s">
        <v>28</v>
      </c>
      <c r="D1030" t="s">
        <v>34</v>
      </c>
      <c r="E1030" t="s">
        <v>35</v>
      </c>
      <c r="F1030">
        <v>64176</v>
      </c>
      <c r="G1030" t="str">
        <f t="shared" si="48"/>
        <v>Mid-high</v>
      </c>
      <c r="H1030">
        <v>0</v>
      </c>
      <c r="I1030">
        <v>1</v>
      </c>
      <c r="J1030">
        <v>1</v>
      </c>
      <c r="K1030" s="1">
        <v>41124</v>
      </c>
      <c r="L1030">
        <v>52</v>
      </c>
      <c r="M1030" t="str">
        <f t="shared" si="49"/>
        <v>Inactive</v>
      </c>
      <c r="N1030">
        <v>0</v>
      </c>
      <c r="O1030">
        <v>1215</v>
      </c>
      <c r="P1030">
        <v>33</v>
      </c>
      <c r="Q1030">
        <v>249</v>
      </c>
      <c r="R1030">
        <v>64</v>
      </c>
      <c r="S1030">
        <v>116</v>
      </c>
      <c r="T1030">
        <v>149</v>
      </c>
      <c r="U1030">
        <v>1826</v>
      </c>
      <c r="V1030">
        <v>8</v>
      </c>
      <c r="W1030">
        <v>8</v>
      </c>
      <c r="X1030">
        <v>9</v>
      </c>
      <c r="Y1030">
        <v>8</v>
      </c>
      <c r="Z1030">
        <v>25</v>
      </c>
      <c r="AA1030">
        <v>6</v>
      </c>
      <c r="AB1030" t="str">
        <f t="shared" si="50"/>
        <v>Below average customer</v>
      </c>
    </row>
    <row r="1031" spans="1:28" x14ac:dyDescent="0.35">
      <c r="A1031">
        <v>4817</v>
      </c>
      <c r="B1031">
        <v>1956</v>
      </c>
      <c r="C1031" t="s">
        <v>25</v>
      </c>
      <c r="D1031" t="s">
        <v>26</v>
      </c>
      <c r="E1031" t="s">
        <v>35</v>
      </c>
      <c r="F1031">
        <v>22304</v>
      </c>
      <c r="G1031" t="str">
        <f t="shared" si="48"/>
        <v>Low</v>
      </c>
      <c r="H1031">
        <v>0</v>
      </c>
      <c r="I1031">
        <v>0</v>
      </c>
      <c r="J1031">
        <v>0</v>
      </c>
      <c r="K1031" s="1">
        <v>41125</v>
      </c>
      <c r="L1031">
        <v>91</v>
      </c>
      <c r="M1031" t="str">
        <f t="shared" si="49"/>
        <v>Inactive</v>
      </c>
      <c r="N1031">
        <v>0</v>
      </c>
      <c r="O1031">
        <v>3</v>
      </c>
      <c r="P1031">
        <v>2</v>
      </c>
      <c r="Q1031">
        <v>7</v>
      </c>
      <c r="R1031">
        <v>0</v>
      </c>
      <c r="S1031">
        <v>4</v>
      </c>
      <c r="T1031">
        <v>2</v>
      </c>
      <c r="U1031">
        <v>18</v>
      </c>
      <c r="V1031">
        <v>1</v>
      </c>
      <c r="W1031">
        <v>1</v>
      </c>
      <c r="X1031">
        <v>0</v>
      </c>
      <c r="Y1031">
        <v>2</v>
      </c>
      <c r="Z1031">
        <v>3</v>
      </c>
      <c r="AA1031">
        <v>8</v>
      </c>
      <c r="AB1031" t="str">
        <f t="shared" si="50"/>
        <v>Below average customer</v>
      </c>
    </row>
    <row r="1032" spans="1:28" x14ac:dyDescent="0.35">
      <c r="A1032">
        <v>2875</v>
      </c>
      <c r="B1032">
        <v>1978</v>
      </c>
      <c r="C1032" t="s">
        <v>31</v>
      </c>
      <c r="D1032" t="s">
        <v>26</v>
      </c>
      <c r="E1032" t="s">
        <v>33</v>
      </c>
      <c r="F1032">
        <v>67023</v>
      </c>
      <c r="G1032" t="str">
        <f t="shared" si="48"/>
        <v>Mid-high</v>
      </c>
      <c r="H1032">
        <v>0</v>
      </c>
      <c r="I1032">
        <v>0</v>
      </c>
      <c r="J1032">
        <v>0</v>
      </c>
      <c r="K1032" s="1">
        <v>41702</v>
      </c>
      <c r="L1032">
        <v>93</v>
      </c>
      <c r="M1032" t="str">
        <f t="shared" si="49"/>
        <v>Inactive</v>
      </c>
      <c r="N1032">
        <v>1</v>
      </c>
      <c r="O1032">
        <v>444</v>
      </c>
      <c r="P1032">
        <v>44</v>
      </c>
      <c r="Q1032">
        <v>382</v>
      </c>
      <c r="R1032">
        <v>11</v>
      </c>
      <c r="S1032">
        <v>8</v>
      </c>
      <c r="T1032">
        <v>17</v>
      </c>
      <c r="U1032">
        <v>906</v>
      </c>
      <c r="V1032">
        <v>1</v>
      </c>
      <c r="W1032">
        <v>3</v>
      </c>
      <c r="X1032">
        <v>7</v>
      </c>
      <c r="Y1032">
        <v>13</v>
      </c>
      <c r="Z1032">
        <v>23</v>
      </c>
      <c r="AA1032">
        <v>2</v>
      </c>
      <c r="AB1032" t="str">
        <f t="shared" si="50"/>
        <v>Below average customer</v>
      </c>
    </row>
    <row r="1033" spans="1:28" x14ac:dyDescent="0.35">
      <c r="A1033">
        <v>11112</v>
      </c>
      <c r="B1033">
        <v>1966</v>
      </c>
      <c r="C1033" t="s">
        <v>28</v>
      </c>
      <c r="D1033" t="s">
        <v>26</v>
      </c>
      <c r="E1033" t="s">
        <v>29</v>
      </c>
      <c r="F1033">
        <v>70713</v>
      </c>
      <c r="G1033" t="str">
        <f t="shared" si="48"/>
        <v>High</v>
      </c>
      <c r="H1033">
        <v>0</v>
      </c>
      <c r="I1033">
        <v>1</v>
      </c>
      <c r="J1033">
        <v>1</v>
      </c>
      <c r="K1033" s="1">
        <v>41246</v>
      </c>
      <c r="L1033">
        <v>23</v>
      </c>
      <c r="M1033" t="str">
        <f t="shared" si="49"/>
        <v>Active</v>
      </c>
      <c r="N1033">
        <v>0</v>
      </c>
      <c r="O1033">
        <v>736</v>
      </c>
      <c r="P1033">
        <v>114</v>
      </c>
      <c r="Q1033">
        <v>279</v>
      </c>
      <c r="R1033">
        <v>82</v>
      </c>
      <c r="S1033">
        <v>76</v>
      </c>
      <c r="T1033">
        <v>190</v>
      </c>
      <c r="U1033">
        <v>1477</v>
      </c>
      <c r="V1033">
        <v>6</v>
      </c>
      <c r="W1033">
        <v>5</v>
      </c>
      <c r="X1033">
        <v>6</v>
      </c>
      <c r="Y1033">
        <v>8</v>
      </c>
      <c r="Z1033">
        <v>19</v>
      </c>
      <c r="AA1033">
        <v>3</v>
      </c>
      <c r="AB1033" t="str">
        <f t="shared" si="50"/>
        <v>Above average customer</v>
      </c>
    </row>
    <row r="1034" spans="1:28" x14ac:dyDescent="0.35">
      <c r="A1034">
        <v>3807</v>
      </c>
      <c r="B1034">
        <v>1955</v>
      </c>
      <c r="C1034" t="s">
        <v>25</v>
      </c>
      <c r="D1034" t="s">
        <v>26</v>
      </c>
      <c r="E1034" t="s">
        <v>29</v>
      </c>
      <c r="F1034">
        <v>59925</v>
      </c>
      <c r="G1034" t="str">
        <f t="shared" si="48"/>
        <v>Mid-high</v>
      </c>
      <c r="H1034">
        <v>0</v>
      </c>
      <c r="I1034">
        <v>1</v>
      </c>
      <c r="J1034">
        <v>1</v>
      </c>
      <c r="K1034" s="1">
        <v>41243</v>
      </c>
      <c r="L1034">
        <v>83</v>
      </c>
      <c r="M1034" t="str">
        <f t="shared" si="49"/>
        <v>Inactive</v>
      </c>
      <c r="N1034">
        <v>0</v>
      </c>
      <c r="O1034">
        <v>473</v>
      </c>
      <c r="P1034">
        <v>21</v>
      </c>
      <c r="Q1034">
        <v>176</v>
      </c>
      <c r="R1034">
        <v>19</v>
      </c>
      <c r="S1034">
        <v>21</v>
      </c>
      <c r="T1034">
        <v>56</v>
      </c>
      <c r="U1034">
        <v>766</v>
      </c>
      <c r="V1034">
        <v>3</v>
      </c>
      <c r="W1034">
        <v>9</v>
      </c>
      <c r="X1034">
        <v>2</v>
      </c>
      <c r="Y1034">
        <v>9</v>
      </c>
      <c r="Z1034">
        <v>20</v>
      </c>
      <c r="AA1034">
        <v>6</v>
      </c>
      <c r="AB1034" t="str">
        <f t="shared" si="50"/>
        <v>Below average customer</v>
      </c>
    </row>
    <row r="1035" spans="1:28" x14ac:dyDescent="0.35">
      <c r="A1035">
        <v>9197</v>
      </c>
      <c r="B1035">
        <v>1953</v>
      </c>
      <c r="C1035" t="s">
        <v>25</v>
      </c>
      <c r="D1035" t="s">
        <v>26</v>
      </c>
      <c r="E1035" t="s">
        <v>33</v>
      </c>
      <c r="F1035">
        <v>39722</v>
      </c>
      <c r="G1035" t="str">
        <f t="shared" si="48"/>
        <v>Mid-low</v>
      </c>
      <c r="H1035">
        <v>0</v>
      </c>
      <c r="I1035">
        <v>1</v>
      </c>
      <c r="J1035">
        <v>1</v>
      </c>
      <c r="K1035" s="1">
        <v>41694</v>
      </c>
      <c r="L1035">
        <v>92</v>
      </c>
      <c r="M1035" t="str">
        <f t="shared" si="49"/>
        <v>Inactive</v>
      </c>
      <c r="N1035">
        <v>0</v>
      </c>
      <c r="O1035">
        <v>32</v>
      </c>
      <c r="P1035">
        <v>0</v>
      </c>
      <c r="Q1035">
        <v>5</v>
      </c>
      <c r="R1035">
        <v>2</v>
      </c>
      <c r="S1035">
        <v>0</v>
      </c>
      <c r="T1035">
        <v>8</v>
      </c>
      <c r="U1035">
        <v>47</v>
      </c>
      <c r="V1035">
        <v>2</v>
      </c>
      <c r="W1035">
        <v>2</v>
      </c>
      <c r="X1035">
        <v>0</v>
      </c>
      <c r="Y1035">
        <v>3</v>
      </c>
      <c r="Z1035">
        <v>5</v>
      </c>
      <c r="AA1035">
        <v>5</v>
      </c>
      <c r="AB1035" t="str">
        <f t="shared" si="50"/>
        <v>Below average customer</v>
      </c>
    </row>
    <row r="1036" spans="1:28" x14ac:dyDescent="0.35">
      <c r="A1036">
        <v>10832</v>
      </c>
      <c r="B1036">
        <v>1958</v>
      </c>
      <c r="C1036" t="s">
        <v>25</v>
      </c>
      <c r="D1036" t="s">
        <v>26</v>
      </c>
      <c r="E1036" t="s">
        <v>29</v>
      </c>
      <c r="F1036">
        <v>46610</v>
      </c>
      <c r="G1036" t="str">
        <f t="shared" si="48"/>
        <v>Mid-low</v>
      </c>
      <c r="H1036">
        <v>0</v>
      </c>
      <c r="I1036">
        <v>0</v>
      </c>
      <c r="J1036">
        <v>0</v>
      </c>
      <c r="K1036" s="1">
        <v>41473</v>
      </c>
      <c r="L1036">
        <v>4</v>
      </c>
      <c r="M1036" t="str">
        <f t="shared" si="49"/>
        <v>Active</v>
      </c>
      <c r="N1036">
        <v>0</v>
      </c>
      <c r="O1036">
        <v>288</v>
      </c>
      <c r="P1036">
        <v>10</v>
      </c>
      <c r="Q1036">
        <v>30</v>
      </c>
      <c r="R1036">
        <v>4</v>
      </c>
      <c r="S1036">
        <v>10</v>
      </c>
      <c r="T1036">
        <v>125</v>
      </c>
      <c r="U1036">
        <v>467</v>
      </c>
      <c r="V1036">
        <v>1</v>
      </c>
      <c r="W1036">
        <v>6</v>
      </c>
      <c r="X1036">
        <v>1</v>
      </c>
      <c r="Y1036">
        <v>6</v>
      </c>
      <c r="Z1036">
        <v>13</v>
      </c>
      <c r="AA1036">
        <v>6</v>
      </c>
      <c r="AB1036" t="str">
        <f t="shared" si="50"/>
        <v>Below average customer</v>
      </c>
    </row>
    <row r="1037" spans="1:28" x14ac:dyDescent="0.35">
      <c r="A1037">
        <v>6421</v>
      </c>
      <c r="B1037">
        <v>1961</v>
      </c>
      <c r="C1037" t="s">
        <v>25</v>
      </c>
      <c r="D1037" t="s">
        <v>26</v>
      </c>
      <c r="E1037" t="s">
        <v>29</v>
      </c>
      <c r="F1037">
        <v>88347</v>
      </c>
      <c r="G1037" t="str">
        <f t="shared" si="48"/>
        <v>High</v>
      </c>
      <c r="H1037">
        <v>0</v>
      </c>
      <c r="I1037">
        <v>0</v>
      </c>
      <c r="J1037">
        <v>0</v>
      </c>
      <c r="K1037" s="1">
        <v>41458</v>
      </c>
      <c r="L1037">
        <v>32</v>
      </c>
      <c r="M1037" t="str">
        <f t="shared" si="49"/>
        <v>Active</v>
      </c>
      <c r="N1037">
        <v>0</v>
      </c>
      <c r="O1037">
        <v>1050</v>
      </c>
      <c r="P1037">
        <v>178</v>
      </c>
      <c r="Q1037">
        <v>555</v>
      </c>
      <c r="R1037">
        <v>77</v>
      </c>
      <c r="S1037">
        <v>138</v>
      </c>
      <c r="T1037">
        <v>118</v>
      </c>
      <c r="U1037">
        <v>2116</v>
      </c>
      <c r="V1037">
        <v>1</v>
      </c>
      <c r="W1037">
        <v>4</v>
      </c>
      <c r="X1037">
        <v>7</v>
      </c>
      <c r="Y1037">
        <v>9</v>
      </c>
      <c r="Z1037">
        <v>20</v>
      </c>
      <c r="AA1037">
        <v>1</v>
      </c>
      <c r="AB1037" t="str">
        <f t="shared" si="50"/>
        <v>Above average customer</v>
      </c>
    </row>
    <row r="1038" spans="1:28" x14ac:dyDescent="0.35">
      <c r="A1038">
        <v>4207</v>
      </c>
      <c r="B1038">
        <v>1981</v>
      </c>
      <c r="C1038" t="s">
        <v>31</v>
      </c>
      <c r="D1038" t="s">
        <v>32</v>
      </c>
      <c r="E1038" t="s">
        <v>33</v>
      </c>
      <c r="F1038">
        <v>87171</v>
      </c>
      <c r="G1038" t="str">
        <f t="shared" si="48"/>
        <v>High</v>
      </c>
      <c r="H1038">
        <v>0</v>
      </c>
      <c r="I1038">
        <v>0</v>
      </c>
      <c r="J1038">
        <v>0</v>
      </c>
      <c r="K1038" s="1">
        <v>41395</v>
      </c>
      <c r="L1038">
        <v>27</v>
      </c>
      <c r="M1038" t="str">
        <f t="shared" si="49"/>
        <v>Active</v>
      </c>
      <c r="N1038">
        <v>0</v>
      </c>
      <c r="O1038">
        <v>1001</v>
      </c>
      <c r="P1038">
        <v>44</v>
      </c>
      <c r="Q1038">
        <v>107</v>
      </c>
      <c r="R1038">
        <v>58</v>
      </c>
      <c r="S1038">
        <v>44</v>
      </c>
      <c r="T1038">
        <v>44</v>
      </c>
      <c r="U1038">
        <v>1298</v>
      </c>
      <c r="V1038">
        <v>1</v>
      </c>
      <c r="W1038">
        <v>6</v>
      </c>
      <c r="X1038">
        <v>7</v>
      </c>
      <c r="Y1038">
        <v>11</v>
      </c>
      <c r="Z1038">
        <v>24</v>
      </c>
      <c r="AA1038">
        <v>2</v>
      </c>
      <c r="AB1038" t="str">
        <f t="shared" si="50"/>
        <v>Above average customer</v>
      </c>
    </row>
    <row r="1039" spans="1:28" x14ac:dyDescent="0.35">
      <c r="A1039">
        <v>577</v>
      </c>
      <c r="B1039">
        <v>1976</v>
      </c>
      <c r="C1039" t="s">
        <v>31</v>
      </c>
      <c r="D1039" t="s">
        <v>34</v>
      </c>
      <c r="E1039" t="s">
        <v>29</v>
      </c>
      <c r="F1039">
        <v>26907</v>
      </c>
      <c r="G1039" t="str">
        <f t="shared" si="48"/>
        <v>Low</v>
      </c>
      <c r="H1039">
        <v>1</v>
      </c>
      <c r="I1039">
        <v>1</v>
      </c>
      <c r="J1039">
        <v>2</v>
      </c>
      <c r="K1039" s="1">
        <v>41506</v>
      </c>
      <c r="L1039">
        <v>10</v>
      </c>
      <c r="M1039" t="str">
        <f t="shared" si="49"/>
        <v>Active</v>
      </c>
      <c r="N1039">
        <v>0</v>
      </c>
      <c r="O1039">
        <v>9</v>
      </c>
      <c r="P1039">
        <v>1</v>
      </c>
      <c r="Q1039">
        <v>7</v>
      </c>
      <c r="R1039">
        <v>0</v>
      </c>
      <c r="S1039">
        <v>3</v>
      </c>
      <c r="T1039">
        <v>2</v>
      </c>
      <c r="U1039">
        <v>22</v>
      </c>
      <c r="V1039">
        <v>2</v>
      </c>
      <c r="W1039">
        <v>1</v>
      </c>
      <c r="X1039">
        <v>0</v>
      </c>
      <c r="Y1039">
        <v>3</v>
      </c>
      <c r="Z1039">
        <v>4</v>
      </c>
      <c r="AA1039">
        <v>7</v>
      </c>
      <c r="AB1039" t="str">
        <f t="shared" si="50"/>
        <v>Below average customer</v>
      </c>
    </row>
    <row r="1040" spans="1:28" x14ac:dyDescent="0.35">
      <c r="A1040">
        <v>10855</v>
      </c>
      <c r="B1040">
        <v>1968</v>
      </c>
      <c r="C1040" t="s">
        <v>28</v>
      </c>
      <c r="D1040" t="s">
        <v>34</v>
      </c>
      <c r="E1040" t="s">
        <v>27</v>
      </c>
      <c r="F1040">
        <v>50014</v>
      </c>
      <c r="G1040" t="str">
        <f t="shared" si="48"/>
        <v>Mid-low</v>
      </c>
      <c r="H1040">
        <v>1</v>
      </c>
      <c r="I1040">
        <v>0</v>
      </c>
      <c r="J1040">
        <v>1</v>
      </c>
      <c r="K1040" s="1">
        <v>41661</v>
      </c>
      <c r="L1040">
        <v>9</v>
      </c>
      <c r="M1040" t="str">
        <f t="shared" si="49"/>
        <v>Active</v>
      </c>
      <c r="N1040">
        <v>0</v>
      </c>
      <c r="O1040">
        <v>234</v>
      </c>
      <c r="P1040">
        <v>14</v>
      </c>
      <c r="Q1040">
        <v>77</v>
      </c>
      <c r="R1040">
        <v>19</v>
      </c>
      <c r="S1040">
        <v>10</v>
      </c>
      <c r="T1040">
        <v>42</v>
      </c>
      <c r="U1040">
        <v>396</v>
      </c>
      <c r="V1040">
        <v>2</v>
      </c>
      <c r="W1040">
        <v>4</v>
      </c>
      <c r="X1040">
        <v>1</v>
      </c>
      <c r="Y1040">
        <v>8</v>
      </c>
      <c r="Z1040">
        <v>13</v>
      </c>
      <c r="AA1040">
        <v>5</v>
      </c>
      <c r="AB1040" t="str">
        <f t="shared" si="50"/>
        <v>Below average customer</v>
      </c>
    </row>
    <row r="1041" spans="1:28" x14ac:dyDescent="0.35">
      <c r="A1041">
        <v>3081</v>
      </c>
      <c r="B1041">
        <v>1978</v>
      </c>
      <c r="C1041" t="s">
        <v>31</v>
      </c>
      <c r="D1041" t="s">
        <v>32</v>
      </c>
      <c r="E1041" t="s">
        <v>33</v>
      </c>
      <c r="F1041">
        <v>41014</v>
      </c>
      <c r="G1041" t="str">
        <f t="shared" si="48"/>
        <v>Mid-low</v>
      </c>
      <c r="H1041">
        <v>1</v>
      </c>
      <c r="I1041">
        <v>0</v>
      </c>
      <c r="J1041">
        <v>1</v>
      </c>
      <c r="K1041" s="1">
        <v>41386</v>
      </c>
      <c r="L1041">
        <v>65</v>
      </c>
      <c r="M1041" t="str">
        <f t="shared" si="49"/>
        <v>Inactive</v>
      </c>
      <c r="N1041">
        <v>0</v>
      </c>
      <c r="O1041">
        <v>7</v>
      </c>
      <c r="P1041">
        <v>2</v>
      </c>
      <c r="Q1041">
        <v>6</v>
      </c>
      <c r="R1041">
        <v>2</v>
      </c>
      <c r="S1041">
        <v>0</v>
      </c>
      <c r="T1041">
        <v>3</v>
      </c>
      <c r="U1041">
        <v>20</v>
      </c>
      <c r="V1041">
        <v>1</v>
      </c>
      <c r="W1041">
        <v>1</v>
      </c>
      <c r="X1041">
        <v>0</v>
      </c>
      <c r="Y1041">
        <v>2</v>
      </c>
      <c r="Z1041">
        <v>3</v>
      </c>
      <c r="AA1041">
        <v>7</v>
      </c>
      <c r="AB1041" t="str">
        <f t="shared" si="50"/>
        <v>Below average customer</v>
      </c>
    </row>
    <row r="1042" spans="1:28" x14ac:dyDescent="0.35">
      <c r="A1042">
        <v>3535</v>
      </c>
      <c r="B1042">
        <v>1965</v>
      </c>
      <c r="C1042" t="s">
        <v>28</v>
      </c>
      <c r="D1042" t="s">
        <v>26</v>
      </c>
      <c r="E1042" t="s">
        <v>27</v>
      </c>
      <c r="F1042">
        <v>66294</v>
      </c>
      <c r="G1042" t="str">
        <f t="shared" si="48"/>
        <v>Mid-high</v>
      </c>
      <c r="H1042">
        <v>0</v>
      </c>
      <c r="I1042">
        <v>0</v>
      </c>
      <c r="J1042">
        <v>0</v>
      </c>
      <c r="K1042" s="1">
        <v>41715</v>
      </c>
      <c r="L1042">
        <v>68</v>
      </c>
      <c r="M1042" t="str">
        <f t="shared" si="49"/>
        <v>Inactive</v>
      </c>
      <c r="N1042">
        <v>0</v>
      </c>
      <c r="O1042">
        <v>251</v>
      </c>
      <c r="P1042">
        <v>108</v>
      </c>
      <c r="Q1042">
        <v>334</v>
      </c>
      <c r="R1042">
        <v>65</v>
      </c>
      <c r="S1042">
        <v>92</v>
      </c>
      <c r="T1042">
        <v>117</v>
      </c>
      <c r="U1042">
        <v>967</v>
      </c>
      <c r="V1042">
        <v>1</v>
      </c>
      <c r="W1042">
        <v>4</v>
      </c>
      <c r="X1042">
        <v>3</v>
      </c>
      <c r="Y1042">
        <v>5</v>
      </c>
      <c r="Z1042">
        <v>12</v>
      </c>
      <c r="AA1042">
        <v>2</v>
      </c>
      <c r="AB1042" t="str">
        <f t="shared" si="50"/>
        <v>Below average customer</v>
      </c>
    </row>
    <row r="1043" spans="1:28" x14ac:dyDescent="0.35">
      <c r="A1043">
        <v>247</v>
      </c>
      <c r="B1043">
        <v>1971</v>
      </c>
      <c r="C1043" t="s">
        <v>28</v>
      </c>
      <c r="D1043" t="s">
        <v>26</v>
      </c>
      <c r="E1043" t="s">
        <v>33</v>
      </c>
      <c r="F1043">
        <v>36715</v>
      </c>
      <c r="G1043" t="str">
        <f t="shared" si="48"/>
        <v>Mid-low</v>
      </c>
      <c r="H1043">
        <v>1</v>
      </c>
      <c r="I1043">
        <v>0</v>
      </c>
      <c r="J1043">
        <v>1</v>
      </c>
      <c r="K1043" s="1">
        <v>41230</v>
      </c>
      <c r="L1043">
        <v>16</v>
      </c>
      <c r="M1043" t="str">
        <f t="shared" si="49"/>
        <v>Active</v>
      </c>
      <c r="N1043">
        <v>0</v>
      </c>
      <c r="O1043">
        <v>172</v>
      </c>
      <c r="P1043">
        <v>10</v>
      </c>
      <c r="Q1043">
        <v>125</v>
      </c>
      <c r="R1043">
        <v>21</v>
      </c>
      <c r="S1043">
        <v>13</v>
      </c>
      <c r="T1043">
        <v>16</v>
      </c>
      <c r="U1043">
        <v>357</v>
      </c>
      <c r="V1043">
        <v>6</v>
      </c>
      <c r="W1043">
        <v>7</v>
      </c>
      <c r="X1043">
        <v>2</v>
      </c>
      <c r="Y1043">
        <v>4</v>
      </c>
      <c r="Z1043">
        <v>13</v>
      </c>
      <c r="AA1043">
        <v>9</v>
      </c>
      <c r="AB1043" t="str">
        <f t="shared" si="50"/>
        <v>Below average customer</v>
      </c>
    </row>
    <row r="1044" spans="1:28" x14ac:dyDescent="0.35">
      <c r="A1044">
        <v>8707</v>
      </c>
      <c r="B1044">
        <v>1956</v>
      </c>
      <c r="C1044" t="s">
        <v>25</v>
      </c>
      <c r="D1044" t="s">
        <v>26</v>
      </c>
      <c r="E1044" t="s">
        <v>33</v>
      </c>
      <c r="F1044">
        <v>79456</v>
      </c>
      <c r="G1044" t="str">
        <f t="shared" si="48"/>
        <v>High</v>
      </c>
      <c r="H1044">
        <v>0</v>
      </c>
      <c r="I1044">
        <v>0</v>
      </c>
      <c r="J1044">
        <v>0</v>
      </c>
      <c r="K1044" s="1">
        <v>41143</v>
      </c>
      <c r="L1044">
        <v>12</v>
      </c>
      <c r="M1044" t="str">
        <f t="shared" si="49"/>
        <v>Active</v>
      </c>
      <c r="N1044">
        <v>0</v>
      </c>
      <c r="O1044">
        <v>565</v>
      </c>
      <c r="P1044">
        <v>42</v>
      </c>
      <c r="Q1044">
        <v>548</v>
      </c>
      <c r="R1044">
        <v>64</v>
      </c>
      <c r="S1044">
        <v>83</v>
      </c>
      <c r="T1044">
        <v>99</v>
      </c>
      <c r="U1044">
        <v>1401</v>
      </c>
      <c r="V1044">
        <v>1</v>
      </c>
      <c r="W1044">
        <v>5</v>
      </c>
      <c r="X1044">
        <v>6</v>
      </c>
      <c r="Y1044">
        <v>4</v>
      </c>
      <c r="Z1044">
        <v>15</v>
      </c>
      <c r="AA1044">
        <v>3</v>
      </c>
      <c r="AB1044" t="str">
        <f t="shared" si="50"/>
        <v>Above average customer</v>
      </c>
    </row>
    <row r="1045" spans="1:28" x14ac:dyDescent="0.35">
      <c r="A1045">
        <v>9523</v>
      </c>
      <c r="B1045">
        <v>1982</v>
      </c>
      <c r="C1045" t="s">
        <v>31</v>
      </c>
      <c r="D1045" t="s">
        <v>26</v>
      </c>
      <c r="E1045" t="s">
        <v>29</v>
      </c>
      <c r="F1045">
        <v>40479</v>
      </c>
      <c r="G1045" t="str">
        <f t="shared" si="48"/>
        <v>Mid-low</v>
      </c>
      <c r="H1045">
        <v>1</v>
      </c>
      <c r="I1045">
        <v>0</v>
      </c>
      <c r="J1045">
        <v>1</v>
      </c>
      <c r="K1045" s="1">
        <v>41503</v>
      </c>
      <c r="L1045">
        <v>95</v>
      </c>
      <c r="M1045" t="str">
        <f t="shared" si="49"/>
        <v>Inactive</v>
      </c>
      <c r="N1045">
        <v>0</v>
      </c>
      <c r="O1045">
        <v>5</v>
      </c>
      <c r="P1045">
        <v>0</v>
      </c>
      <c r="Q1045">
        <v>8</v>
      </c>
      <c r="R1045">
        <v>2</v>
      </c>
      <c r="S1045">
        <v>0</v>
      </c>
      <c r="T1045">
        <v>0</v>
      </c>
      <c r="U1045">
        <v>15</v>
      </c>
      <c r="V1045">
        <v>1</v>
      </c>
      <c r="W1045">
        <v>0</v>
      </c>
      <c r="X1045">
        <v>0</v>
      </c>
      <c r="Y1045">
        <v>3</v>
      </c>
      <c r="Z1045">
        <v>3</v>
      </c>
      <c r="AA1045">
        <v>4</v>
      </c>
      <c r="AB1045" t="str">
        <f t="shared" si="50"/>
        <v>Below average customer</v>
      </c>
    </row>
    <row r="1046" spans="1:28" x14ac:dyDescent="0.35">
      <c r="A1046">
        <v>6072</v>
      </c>
      <c r="B1046">
        <v>1970</v>
      </c>
      <c r="C1046" t="s">
        <v>28</v>
      </c>
      <c r="D1046" t="s">
        <v>34</v>
      </c>
      <c r="E1046" t="s">
        <v>27</v>
      </c>
      <c r="F1046">
        <v>75345</v>
      </c>
      <c r="G1046" t="str">
        <f t="shared" si="48"/>
        <v>High</v>
      </c>
      <c r="H1046">
        <v>0</v>
      </c>
      <c r="I1046">
        <v>0</v>
      </c>
      <c r="J1046">
        <v>0</v>
      </c>
      <c r="K1046" s="1">
        <v>41307</v>
      </c>
      <c r="L1046">
        <v>16</v>
      </c>
      <c r="M1046" t="str">
        <f t="shared" si="49"/>
        <v>Active</v>
      </c>
      <c r="N1046">
        <v>0</v>
      </c>
      <c r="O1046">
        <v>918</v>
      </c>
      <c r="P1046">
        <v>57</v>
      </c>
      <c r="Q1046">
        <v>842</v>
      </c>
      <c r="R1046">
        <v>99</v>
      </c>
      <c r="S1046">
        <v>38</v>
      </c>
      <c r="T1046">
        <v>133</v>
      </c>
      <c r="U1046">
        <v>2087</v>
      </c>
      <c r="V1046">
        <v>1</v>
      </c>
      <c r="W1046">
        <v>5</v>
      </c>
      <c r="X1046">
        <v>8</v>
      </c>
      <c r="Y1046">
        <v>6</v>
      </c>
      <c r="Z1046">
        <v>19</v>
      </c>
      <c r="AA1046">
        <v>3</v>
      </c>
      <c r="AB1046" t="str">
        <f t="shared" si="50"/>
        <v>Above average customer</v>
      </c>
    </row>
    <row r="1047" spans="1:28" x14ac:dyDescent="0.35">
      <c r="A1047">
        <v>6295</v>
      </c>
      <c r="B1047">
        <v>1977</v>
      </c>
      <c r="C1047" t="s">
        <v>31</v>
      </c>
      <c r="D1047" t="s">
        <v>26</v>
      </c>
      <c r="E1047" t="s">
        <v>33</v>
      </c>
      <c r="F1047">
        <v>54233</v>
      </c>
      <c r="G1047" t="str">
        <f t="shared" si="48"/>
        <v>Mid-high</v>
      </c>
      <c r="H1047">
        <v>0</v>
      </c>
      <c r="I1047">
        <v>1</v>
      </c>
      <c r="J1047">
        <v>1</v>
      </c>
      <c r="K1047" s="1">
        <v>41309</v>
      </c>
      <c r="L1047">
        <v>46</v>
      </c>
      <c r="M1047" t="str">
        <f t="shared" si="49"/>
        <v>Active</v>
      </c>
      <c r="N1047">
        <v>0</v>
      </c>
      <c r="O1047">
        <v>652</v>
      </c>
      <c r="P1047">
        <v>8</v>
      </c>
      <c r="Q1047">
        <v>158</v>
      </c>
      <c r="R1047">
        <v>21</v>
      </c>
      <c r="S1047">
        <v>0</v>
      </c>
      <c r="T1047">
        <v>142</v>
      </c>
      <c r="U1047">
        <v>981</v>
      </c>
      <c r="V1047">
        <v>4</v>
      </c>
      <c r="W1047">
        <v>11</v>
      </c>
      <c r="X1047">
        <v>6</v>
      </c>
      <c r="Y1047">
        <v>5</v>
      </c>
      <c r="Z1047">
        <v>22</v>
      </c>
      <c r="AA1047">
        <v>8</v>
      </c>
      <c r="AB1047" t="str">
        <f t="shared" si="50"/>
        <v>Above average customer</v>
      </c>
    </row>
    <row r="1048" spans="1:28" x14ac:dyDescent="0.35">
      <c r="A1048">
        <v>10914</v>
      </c>
      <c r="B1048">
        <v>1970</v>
      </c>
      <c r="C1048" t="s">
        <v>28</v>
      </c>
      <c r="D1048" t="s">
        <v>26</v>
      </c>
      <c r="E1048" t="s">
        <v>27</v>
      </c>
      <c r="F1048">
        <v>24163</v>
      </c>
      <c r="G1048" t="str">
        <f t="shared" si="48"/>
        <v>Low</v>
      </c>
      <c r="H1048">
        <v>1</v>
      </c>
      <c r="I1048">
        <v>1</v>
      </c>
      <c r="J1048">
        <v>2</v>
      </c>
      <c r="K1048" s="1">
        <v>41559</v>
      </c>
      <c r="L1048">
        <v>3</v>
      </c>
      <c r="M1048" t="str">
        <f t="shared" si="49"/>
        <v>Active</v>
      </c>
      <c r="N1048">
        <v>0</v>
      </c>
      <c r="O1048">
        <v>4</v>
      </c>
      <c r="P1048">
        <v>1</v>
      </c>
      <c r="Q1048">
        <v>7</v>
      </c>
      <c r="R1048">
        <v>2</v>
      </c>
      <c r="S1048">
        <v>1</v>
      </c>
      <c r="T1048">
        <v>2</v>
      </c>
      <c r="U1048">
        <v>17</v>
      </c>
      <c r="V1048">
        <v>2</v>
      </c>
      <c r="W1048">
        <v>1</v>
      </c>
      <c r="X1048">
        <v>0</v>
      </c>
      <c r="Y1048">
        <v>3</v>
      </c>
      <c r="Z1048">
        <v>4</v>
      </c>
      <c r="AA1048">
        <v>4</v>
      </c>
      <c r="AB1048" t="str">
        <f t="shared" si="50"/>
        <v>Below average customer</v>
      </c>
    </row>
    <row r="1049" spans="1:28" x14ac:dyDescent="0.35">
      <c r="A1049">
        <v>1509</v>
      </c>
      <c r="B1049">
        <v>1958</v>
      </c>
      <c r="C1049" t="s">
        <v>25</v>
      </c>
      <c r="D1049" t="s">
        <v>32</v>
      </c>
      <c r="E1049" t="s">
        <v>29</v>
      </c>
      <c r="F1049">
        <v>84460</v>
      </c>
      <c r="G1049" t="str">
        <f t="shared" si="48"/>
        <v>High</v>
      </c>
      <c r="H1049">
        <v>0</v>
      </c>
      <c r="I1049">
        <v>0</v>
      </c>
      <c r="J1049">
        <v>0</v>
      </c>
      <c r="K1049" s="1">
        <v>41278</v>
      </c>
      <c r="L1049">
        <v>80</v>
      </c>
      <c r="M1049" t="str">
        <f t="shared" si="49"/>
        <v>Inactive</v>
      </c>
      <c r="N1049">
        <v>0</v>
      </c>
      <c r="O1049">
        <v>152</v>
      </c>
      <c r="P1049">
        <v>27</v>
      </c>
      <c r="Q1049">
        <v>103</v>
      </c>
      <c r="R1049">
        <v>106</v>
      </c>
      <c r="S1049">
        <v>54</v>
      </c>
      <c r="T1049">
        <v>81</v>
      </c>
      <c r="U1049">
        <v>523</v>
      </c>
      <c r="V1049">
        <v>0</v>
      </c>
      <c r="W1049">
        <v>9</v>
      </c>
      <c r="X1049">
        <v>9</v>
      </c>
      <c r="Y1049">
        <v>4</v>
      </c>
      <c r="Z1049">
        <v>22</v>
      </c>
      <c r="AA1049">
        <v>5</v>
      </c>
      <c r="AB1049" t="str">
        <f t="shared" si="50"/>
        <v>Below average customer</v>
      </c>
    </row>
    <row r="1050" spans="1:28" x14ac:dyDescent="0.35">
      <c r="A1050">
        <v>5577</v>
      </c>
      <c r="B1050">
        <v>1983</v>
      </c>
      <c r="C1050" t="s">
        <v>30</v>
      </c>
      <c r="D1050" t="s">
        <v>26</v>
      </c>
      <c r="E1050" t="s">
        <v>29</v>
      </c>
      <c r="F1050">
        <v>43776</v>
      </c>
      <c r="G1050" t="str">
        <f t="shared" si="48"/>
        <v>Mid-low</v>
      </c>
      <c r="H1050">
        <v>1</v>
      </c>
      <c r="I1050">
        <v>0</v>
      </c>
      <c r="J1050">
        <v>1</v>
      </c>
      <c r="K1050" s="1">
        <v>41762</v>
      </c>
      <c r="L1050">
        <v>77</v>
      </c>
      <c r="M1050" t="str">
        <f t="shared" si="49"/>
        <v>Inactive</v>
      </c>
      <c r="N1050">
        <v>0</v>
      </c>
      <c r="O1050">
        <v>8</v>
      </c>
      <c r="P1050">
        <v>0</v>
      </c>
      <c r="Q1050">
        <v>9</v>
      </c>
      <c r="R1050">
        <v>2</v>
      </c>
      <c r="S1050">
        <v>1</v>
      </c>
      <c r="T1050">
        <v>3</v>
      </c>
      <c r="U1050">
        <v>23</v>
      </c>
      <c r="V1050">
        <v>1</v>
      </c>
      <c r="W1050">
        <v>1</v>
      </c>
      <c r="X1050">
        <v>0</v>
      </c>
      <c r="Y1050">
        <v>2</v>
      </c>
      <c r="Z1050">
        <v>3</v>
      </c>
      <c r="AA1050">
        <v>6</v>
      </c>
      <c r="AB1050" t="str">
        <f t="shared" si="50"/>
        <v>Below average customer</v>
      </c>
    </row>
    <row r="1051" spans="1:28" x14ac:dyDescent="0.35">
      <c r="A1051">
        <v>7348</v>
      </c>
      <c r="B1051">
        <v>1958</v>
      </c>
      <c r="C1051" t="s">
        <v>25</v>
      </c>
      <c r="D1051" t="s">
        <v>32</v>
      </c>
      <c r="E1051" t="s">
        <v>27</v>
      </c>
      <c r="F1051">
        <v>71691</v>
      </c>
      <c r="G1051" t="str">
        <f t="shared" si="48"/>
        <v>High</v>
      </c>
      <c r="H1051">
        <v>0</v>
      </c>
      <c r="I1051">
        <v>0</v>
      </c>
      <c r="J1051">
        <v>0</v>
      </c>
      <c r="K1051" s="1">
        <v>41715</v>
      </c>
      <c r="L1051">
        <v>0</v>
      </c>
      <c r="M1051" t="str">
        <f t="shared" si="49"/>
        <v>Active</v>
      </c>
      <c r="N1051">
        <v>0</v>
      </c>
      <c r="O1051">
        <v>336</v>
      </c>
      <c r="P1051">
        <v>130</v>
      </c>
      <c r="Q1051">
        <v>411</v>
      </c>
      <c r="R1051">
        <v>240</v>
      </c>
      <c r="S1051">
        <v>32</v>
      </c>
      <c r="T1051">
        <v>43</v>
      </c>
      <c r="U1051">
        <v>1192</v>
      </c>
      <c r="V1051">
        <v>1</v>
      </c>
      <c r="W1051">
        <v>4</v>
      </c>
      <c r="X1051">
        <v>7</v>
      </c>
      <c r="Y1051">
        <v>5</v>
      </c>
      <c r="Z1051">
        <v>16</v>
      </c>
      <c r="AA1051">
        <v>2</v>
      </c>
      <c r="AB1051" t="str">
        <f t="shared" si="50"/>
        <v>Above average customer</v>
      </c>
    </row>
    <row r="1052" spans="1:28" x14ac:dyDescent="0.35">
      <c r="A1052">
        <v>1127</v>
      </c>
      <c r="B1052">
        <v>1973</v>
      </c>
      <c r="C1052" t="s">
        <v>31</v>
      </c>
      <c r="D1052" t="s">
        <v>32</v>
      </c>
      <c r="E1052" t="s">
        <v>33</v>
      </c>
      <c r="F1052">
        <v>85844</v>
      </c>
      <c r="G1052" t="str">
        <f t="shared" si="48"/>
        <v>High</v>
      </c>
      <c r="H1052">
        <v>0</v>
      </c>
      <c r="I1052">
        <v>0</v>
      </c>
      <c r="J1052">
        <v>0</v>
      </c>
      <c r="K1052" s="1">
        <v>41788</v>
      </c>
      <c r="L1052">
        <v>62</v>
      </c>
      <c r="M1052" t="str">
        <f t="shared" si="49"/>
        <v>Inactive</v>
      </c>
      <c r="N1052">
        <v>0</v>
      </c>
      <c r="O1052">
        <v>938</v>
      </c>
      <c r="P1052">
        <v>19</v>
      </c>
      <c r="Q1052">
        <v>843</v>
      </c>
      <c r="R1052">
        <v>25</v>
      </c>
      <c r="S1052">
        <v>95</v>
      </c>
      <c r="T1052">
        <v>38</v>
      </c>
      <c r="U1052">
        <v>1958</v>
      </c>
      <c r="V1052">
        <v>1</v>
      </c>
      <c r="W1052">
        <v>6</v>
      </c>
      <c r="X1052">
        <v>6</v>
      </c>
      <c r="Y1052">
        <v>7</v>
      </c>
      <c r="Z1052">
        <v>19</v>
      </c>
      <c r="AA1052">
        <v>2</v>
      </c>
      <c r="AB1052" t="str">
        <f t="shared" si="50"/>
        <v>Below average customer</v>
      </c>
    </row>
    <row r="1053" spans="1:28" x14ac:dyDescent="0.35">
      <c r="A1053">
        <v>1833</v>
      </c>
      <c r="B1053">
        <v>1974</v>
      </c>
      <c r="C1053" t="s">
        <v>31</v>
      </c>
      <c r="D1053" t="s">
        <v>32</v>
      </c>
      <c r="E1053" t="s">
        <v>27</v>
      </c>
      <c r="F1053">
        <v>39190</v>
      </c>
      <c r="G1053" t="str">
        <f t="shared" si="48"/>
        <v>Mid-low</v>
      </c>
      <c r="H1053">
        <v>1</v>
      </c>
      <c r="I1053">
        <v>0</v>
      </c>
      <c r="J1053">
        <v>1</v>
      </c>
      <c r="K1053" s="1">
        <v>41755</v>
      </c>
      <c r="L1053">
        <v>91</v>
      </c>
      <c r="M1053" t="str">
        <f t="shared" si="49"/>
        <v>Inactive</v>
      </c>
      <c r="N1053">
        <v>0</v>
      </c>
      <c r="O1053">
        <v>68</v>
      </c>
      <c r="P1053">
        <v>8</v>
      </c>
      <c r="Q1053">
        <v>18</v>
      </c>
      <c r="R1053">
        <v>19</v>
      </c>
      <c r="S1053">
        <v>8</v>
      </c>
      <c r="T1053">
        <v>12</v>
      </c>
      <c r="U1053">
        <v>133</v>
      </c>
      <c r="V1053">
        <v>2</v>
      </c>
      <c r="W1053">
        <v>2</v>
      </c>
      <c r="X1053">
        <v>1</v>
      </c>
      <c r="Y1053">
        <v>4</v>
      </c>
      <c r="Z1053">
        <v>7</v>
      </c>
      <c r="AA1053">
        <v>5</v>
      </c>
      <c r="AB1053" t="str">
        <f t="shared" si="50"/>
        <v>Below average customer</v>
      </c>
    </row>
    <row r="1054" spans="1:28" x14ac:dyDescent="0.35">
      <c r="A1054">
        <v>9080</v>
      </c>
      <c r="B1054">
        <v>1972</v>
      </c>
      <c r="C1054" t="s">
        <v>28</v>
      </c>
      <c r="D1054" t="s">
        <v>32</v>
      </c>
      <c r="E1054" t="s">
        <v>27</v>
      </c>
      <c r="F1054">
        <v>38578</v>
      </c>
      <c r="G1054" t="str">
        <f t="shared" si="48"/>
        <v>Mid-low</v>
      </c>
      <c r="H1054">
        <v>1</v>
      </c>
      <c r="I1054">
        <v>1</v>
      </c>
      <c r="J1054">
        <v>2</v>
      </c>
      <c r="K1054" s="1">
        <v>41447</v>
      </c>
      <c r="L1054">
        <v>2</v>
      </c>
      <c r="M1054" t="str">
        <f t="shared" si="49"/>
        <v>Active</v>
      </c>
      <c r="N1054">
        <v>0</v>
      </c>
      <c r="O1054">
        <v>38</v>
      </c>
      <c r="P1054">
        <v>4</v>
      </c>
      <c r="Q1054">
        <v>22</v>
      </c>
      <c r="R1054">
        <v>3</v>
      </c>
      <c r="S1054">
        <v>3</v>
      </c>
      <c r="T1054">
        <v>3</v>
      </c>
      <c r="U1054">
        <v>73</v>
      </c>
      <c r="V1054">
        <v>3</v>
      </c>
      <c r="W1054">
        <v>3</v>
      </c>
      <c r="X1054">
        <v>0</v>
      </c>
      <c r="Y1054">
        <v>3</v>
      </c>
      <c r="Z1054">
        <v>6</v>
      </c>
      <c r="AA1054">
        <v>8</v>
      </c>
      <c r="AB1054" t="str">
        <f t="shared" si="50"/>
        <v>Below average customer</v>
      </c>
    </row>
    <row r="1055" spans="1:28" x14ac:dyDescent="0.35">
      <c r="A1055">
        <v>6466</v>
      </c>
      <c r="B1055">
        <v>1965</v>
      </c>
      <c r="C1055" t="s">
        <v>28</v>
      </c>
      <c r="D1055" t="s">
        <v>32</v>
      </c>
      <c r="E1055" t="s">
        <v>33</v>
      </c>
      <c r="F1055">
        <v>57236</v>
      </c>
      <c r="G1055" t="str">
        <f t="shared" si="48"/>
        <v>Mid-high</v>
      </c>
      <c r="H1055">
        <v>1</v>
      </c>
      <c r="I1055">
        <v>1</v>
      </c>
      <c r="J1055">
        <v>2</v>
      </c>
      <c r="K1055" s="1">
        <v>41710</v>
      </c>
      <c r="L1055">
        <v>22</v>
      </c>
      <c r="M1055" t="str">
        <f t="shared" si="49"/>
        <v>Active</v>
      </c>
      <c r="N1055">
        <v>0</v>
      </c>
      <c r="O1055">
        <v>105</v>
      </c>
      <c r="P1055">
        <v>0</v>
      </c>
      <c r="Q1055">
        <v>9</v>
      </c>
      <c r="R1055">
        <v>2</v>
      </c>
      <c r="S1055">
        <v>1</v>
      </c>
      <c r="T1055">
        <v>4</v>
      </c>
      <c r="U1055">
        <v>121</v>
      </c>
      <c r="V1055">
        <v>3</v>
      </c>
      <c r="W1055">
        <v>2</v>
      </c>
      <c r="X1055">
        <v>1</v>
      </c>
      <c r="Y1055">
        <v>4</v>
      </c>
      <c r="Z1055">
        <v>7</v>
      </c>
      <c r="AA1055">
        <v>3</v>
      </c>
      <c r="AB1055" t="str">
        <f t="shared" si="50"/>
        <v>Below average customer</v>
      </c>
    </row>
    <row r="1056" spans="1:28" x14ac:dyDescent="0.35">
      <c r="A1056">
        <v>9964</v>
      </c>
      <c r="B1056">
        <v>1979</v>
      </c>
      <c r="C1056" t="s">
        <v>31</v>
      </c>
      <c r="D1056" t="s">
        <v>26</v>
      </c>
      <c r="E1056" t="s">
        <v>27</v>
      </c>
      <c r="F1056">
        <v>61825</v>
      </c>
      <c r="G1056" t="str">
        <f t="shared" si="48"/>
        <v>Mid-high</v>
      </c>
      <c r="H1056">
        <v>0</v>
      </c>
      <c r="I1056">
        <v>1</v>
      </c>
      <c r="J1056">
        <v>1</v>
      </c>
      <c r="K1056" s="1">
        <v>41493</v>
      </c>
      <c r="L1056">
        <v>56</v>
      </c>
      <c r="M1056" t="str">
        <f t="shared" si="49"/>
        <v>Inactive</v>
      </c>
      <c r="N1056">
        <v>0</v>
      </c>
      <c r="O1056">
        <v>162</v>
      </c>
      <c r="P1056">
        <v>50</v>
      </c>
      <c r="Q1056">
        <v>100</v>
      </c>
      <c r="R1056">
        <v>55</v>
      </c>
      <c r="S1056">
        <v>30</v>
      </c>
      <c r="T1056">
        <v>27</v>
      </c>
      <c r="U1056">
        <v>424</v>
      </c>
      <c r="V1056">
        <v>1</v>
      </c>
      <c r="W1056">
        <v>4</v>
      </c>
      <c r="X1056">
        <v>2</v>
      </c>
      <c r="Y1056">
        <v>8</v>
      </c>
      <c r="Z1056">
        <v>14</v>
      </c>
      <c r="AA1056">
        <v>4</v>
      </c>
      <c r="AB1056" t="str">
        <f t="shared" si="50"/>
        <v>Below average customer</v>
      </c>
    </row>
    <row r="1057" spans="1:28" x14ac:dyDescent="0.35">
      <c r="A1057">
        <v>4790</v>
      </c>
      <c r="B1057">
        <v>1958</v>
      </c>
      <c r="C1057" t="s">
        <v>25</v>
      </c>
      <c r="D1057" t="s">
        <v>26</v>
      </c>
      <c r="E1057" t="s">
        <v>35</v>
      </c>
      <c r="F1057">
        <v>79803</v>
      </c>
      <c r="G1057" t="str">
        <f t="shared" si="48"/>
        <v>High</v>
      </c>
      <c r="H1057">
        <v>0</v>
      </c>
      <c r="I1057">
        <v>1</v>
      </c>
      <c r="J1057">
        <v>1</v>
      </c>
      <c r="K1057" s="1">
        <v>41792</v>
      </c>
      <c r="L1057">
        <v>54</v>
      </c>
      <c r="M1057" t="str">
        <f t="shared" si="49"/>
        <v>Inactive</v>
      </c>
      <c r="N1057">
        <v>0</v>
      </c>
      <c r="O1057">
        <v>574</v>
      </c>
      <c r="P1057">
        <v>8</v>
      </c>
      <c r="Q1057">
        <v>216</v>
      </c>
      <c r="R1057">
        <v>21</v>
      </c>
      <c r="S1057">
        <v>16</v>
      </c>
      <c r="T1057">
        <v>33</v>
      </c>
      <c r="U1057">
        <v>868</v>
      </c>
      <c r="V1057">
        <v>1</v>
      </c>
      <c r="W1057">
        <v>4</v>
      </c>
      <c r="X1057">
        <v>3</v>
      </c>
      <c r="Y1057">
        <v>5</v>
      </c>
      <c r="Z1057">
        <v>12</v>
      </c>
      <c r="AA1057">
        <v>1</v>
      </c>
      <c r="AB1057" t="str">
        <f t="shared" si="50"/>
        <v>Below average customer</v>
      </c>
    </row>
    <row r="1058" spans="1:28" x14ac:dyDescent="0.35">
      <c r="A1058">
        <v>10245</v>
      </c>
      <c r="B1058">
        <v>1986</v>
      </c>
      <c r="C1058" t="s">
        <v>30</v>
      </c>
      <c r="D1058" t="s">
        <v>34</v>
      </c>
      <c r="E1058" t="s">
        <v>27</v>
      </c>
      <c r="F1058">
        <v>80910</v>
      </c>
      <c r="G1058" t="str">
        <f t="shared" si="48"/>
        <v>High</v>
      </c>
      <c r="H1058">
        <v>0</v>
      </c>
      <c r="I1058">
        <v>0</v>
      </c>
      <c r="J1058">
        <v>0</v>
      </c>
      <c r="K1058" s="1">
        <v>41213</v>
      </c>
      <c r="L1058">
        <v>71</v>
      </c>
      <c r="M1058" t="str">
        <f t="shared" si="49"/>
        <v>Inactive</v>
      </c>
      <c r="N1058">
        <v>0</v>
      </c>
      <c r="O1058">
        <v>160</v>
      </c>
      <c r="P1058">
        <v>80</v>
      </c>
      <c r="Q1058">
        <v>369</v>
      </c>
      <c r="R1058">
        <v>67</v>
      </c>
      <c r="S1058">
        <v>39</v>
      </c>
      <c r="T1058">
        <v>41</v>
      </c>
      <c r="U1058">
        <v>756</v>
      </c>
      <c r="V1058">
        <v>1</v>
      </c>
      <c r="W1058">
        <v>3</v>
      </c>
      <c r="X1058">
        <v>3</v>
      </c>
      <c r="Y1058">
        <v>8</v>
      </c>
      <c r="Z1058">
        <v>14</v>
      </c>
      <c r="AA1058">
        <v>1</v>
      </c>
      <c r="AB1058" t="str">
        <f t="shared" si="50"/>
        <v>Below average customer</v>
      </c>
    </row>
    <row r="1059" spans="1:28" x14ac:dyDescent="0.35">
      <c r="A1059">
        <v>1109</v>
      </c>
      <c r="B1059">
        <v>1982</v>
      </c>
      <c r="C1059" t="s">
        <v>31</v>
      </c>
      <c r="D1059" t="s">
        <v>34</v>
      </c>
      <c r="E1059" t="s">
        <v>29</v>
      </c>
      <c r="F1059">
        <v>27590</v>
      </c>
      <c r="G1059" t="str">
        <f t="shared" si="48"/>
        <v>Low</v>
      </c>
      <c r="H1059">
        <v>1</v>
      </c>
      <c r="I1059">
        <v>0</v>
      </c>
      <c r="J1059">
        <v>1</v>
      </c>
      <c r="K1059" s="1">
        <v>41387</v>
      </c>
      <c r="L1059">
        <v>38</v>
      </c>
      <c r="M1059" t="str">
        <f t="shared" si="49"/>
        <v>Active</v>
      </c>
      <c r="N1059">
        <v>0</v>
      </c>
      <c r="O1059">
        <v>6</v>
      </c>
      <c r="P1059">
        <v>0</v>
      </c>
      <c r="Q1059">
        <v>5</v>
      </c>
      <c r="R1059">
        <v>0</v>
      </c>
      <c r="S1059">
        <v>0</v>
      </c>
      <c r="T1059">
        <v>1</v>
      </c>
      <c r="U1059">
        <v>12</v>
      </c>
      <c r="V1059">
        <v>1</v>
      </c>
      <c r="W1059">
        <v>1</v>
      </c>
      <c r="X1059">
        <v>0</v>
      </c>
      <c r="Y1059">
        <v>2</v>
      </c>
      <c r="Z1059">
        <v>3</v>
      </c>
      <c r="AA1059">
        <v>7</v>
      </c>
      <c r="AB1059" t="str">
        <f t="shared" si="50"/>
        <v>Below average customer</v>
      </c>
    </row>
    <row r="1060" spans="1:28" x14ac:dyDescent="0.35">
      <c r="A1060">
        <v>6001</v>
      </c>
      <c r="B1060">
        <v>1979</v>
      </c>
      <c r="C1060" t="s">
        <v>31</v>
      </c>
      <c r="D1060" t="s">
        <v>26</v>
      </c>
      <c r="E1060" t="s">
        <v>33</v>
      </c>
      <c r="F1060">
        <v>56775</v>
      </c>
      <c r="G1060" t="str">
        <f t="shared" si="48"/>
        <v>Mid-high</v>
      </c>
      <c r="H1060">
        <v>0</v>
      </c>
      <c r="I1060">
        <v>1</v>
      </c>
      <c r="J1060">
        <v>1</v>
      </c>
      <c r="K1060" s="1">
        <v>41276</v>
      </c>
      <c r="L1060">
        <v>62</v>
      </c>
      <c r="M1060" t="str">
        <f t="shared" si="49"/>
        <v>Inactive</v>
      </c>
      <c r="N1060">
        <v>0</v>
      </c>
      <c r="O1060">
        <v>614</v>
      </c>
      <c r="P1060">
        <v>35</v>
      </c>
      <c r="Q1060">
        <v>160</v>
      </c>
      <c r="R1060">
        <v>58</v>
      </c>
      <c r="S1060">
        <v>35</v>
      </c>
      <c r="T1060">
        <v>35</v>
      </c>
      <c r="U1060">
        <v>937</v>
      </c>
      <c r="V1060">
        <v>2</v>
      </c>
      <c r="W1060">
        <v>5</v>
      </c>
      <c r="X1060">
        <v>8</v>
      </c>
      <c r="Y1060">
        <v>10</v>
      </c>
      <c r="Z1060">
        <v>23</v>
      </c>
      <c r="AA1060">
        <v>5</v>
      </c>
      <c r="AB1060" t="str">
        <f t="shared" si="50"/>
        <v>Below average customer</v>
      </c>
    </row>
    <row r="1061" spans="1:28" x14ac:dyDescent="0.35">
      <c r="A1061">
        <v>5538</v>
      </c>
      <c r="B1061">
        <v>1975</v>
      </c>
      <c r="C1061" t="s">
        <v>31</v>
      </c>
      <c r="D1061" t="s">
        <v>26</v>
      </c>
      <c r="E1061" t="s">
        <v>35</v>
      </c>
      <c r="F1061">
        <v>83829</v>
      </c>
      <c r="G1061" t="str">
        <f t="shared" si="48"/>
        <v>High</v>
      </c>
      <c r="H1061">
        <v>0</v>
      </c>
      <c r="I1061">
        <v>0</v>
      </c>
      <c r="J1061">
        <v>0</v>
      </c>
      <c r="K1061" s="1">
        <v>41555</v>
      </c>
      <c r="L1061">
        <v>78</v>
      </c>
      <c r="M1061" t="str">
        <f t="shared" si="49"/>
        <v>Inactive</v>
      </c>
      <c r="N1061">
        <v>0</v>
      </c>
      <c r="O1061">
        <v>897</v>
      </c>
      <c r="P1061">
        <v>161</v>
      </c>
      <c r="Q1061">
        <v>430</v>
      </c>
      <c r="R1061">
        <v>186</v>
      </c>
      <c r="S1061">
        <v>161</v>
      </c>
      <c r="T1061">
        <v>27</v>
      </c>
      <c r="U1061">
        <v>1862</v>
      </c>
      <c r="V1061">
        <v>0</v>
      </c>
      <c r="W1061">
        <v>4</v>
      </c>
      <c r="X1061">
        <v>7</v>
      </c>
      <c r="Y1061">
        <v>6</v>
      </c>
      <c r="Z1061">
        <v>17</v>
      </c>
      <c r="AA1061">
        <v>1</v>
      </c>
      <c r="AB1061" t="str">
        <f t="shared" si="50"/>
        <v>Below average customer</v>
      </c>
    </row>
    <row r="1062" spans="1:28" x14ac:dyDescent="0.35">
      <c r="A1062">
        <v>10552</v>
      </c>
      <c r="B1062">
        <v>1979</v>
      </c>
      <c r="C1062" t="s">
        <v>31</v>
      </c>
      <c r="D1062" t="s">
        <v>34</v>
      </c>
      <c r="E1062" t="s">
        <v>33</v>
      </c>
      <c r="F1062">
        <v>54210</v>
      </c>
      <c r="G1062" t="str">
        <f t="shared" si="48"/>
        <v>Mid-high</v>
      </c>
      <c r="H1062">
        <v>0</v>
      </c>
      <c r="I1062">
        <v>1</v>
      </c>
      <c r="J1062">
        <v>1</v>
      </c>
      <c r="K1062" s="1">
        <v>41414</v>
      </c>
      <c r="L1062">
        <v>18</v>
      </c>
      <c r="M1062" t="str">
        <f t="shared" si="49"/>
        <v>Active</v>
      </c>
      <c r="N1062">
        <v>0</v>
      </c>
      <c r="O1062">
        <v>70</v>
      </c>
      <c r="P1062">
        <v>54</v>
      </c>
      <c r="Q1062">
        <v>109</v>
      </c>
      <c r="R1062">
        <v>80</v>
      </c>
      <c r="S1062">
        <v>9</v>
      </c>
      <c r="T1062">
        <v>45</v>
      </c>
      <c r="U1062">
        <v>367</v>
      </c>
      <c r="V1062">
        <v>2</v>
      </c>
      <c r="W1062">
        <v>4</v>
      </c>
      <c r="X1062">
        <v>1</v>
      </c>
      <c r="Y1062">
        <v>7</v>
      </c>
      <c r="Z1062">
        <v>12</v>
      </c>
      <c r="AA1062">
        <v>5</v>
      </c>
      <c r="AB1062" t="str">
        <f t="shared" si="50"/>
        <v>Below average customer</v>
      </c>
    </row>
    <row r="1063" spans="1:28" x14ac:dyDescent="0.35">
      <c r="A1063">
        <v>1545</v>
      </c>
      <c r="B1063">
        <v>1986</v>
      </c>
      <c r="C1063" t="s">
        <v>30</v>
      </c>
      <c r="D1063" t="s">
        <v>26</v>
      </c>
      <c r="E1063" t="s">
        <v>33</v>
      </c>
      <c r="F1063">
        <v>38508</v>
      </c>
      <c r="G1063" t="str">
        <f t="shared" si="48"/>
        <v>Mid-low</v>
      </c>
      <c r="H1063">
        <v>1</v>
      </c>
      <c r="I1063">
        <v>0</v>
      </c>
      <c r="J1063">
        <v>1</v>
      </c>
      <c r="K1063" s="1">
        <v>41488</v>
      </c>
      <c r="L1063">
        <v>95</v>
      </c>
      <c r="M1063" t="str">
        <f t="shared" si="49"/>
        <v>Inactive</v>
      </c>
      <c r="N1063">
        <v>0</v>
      </c>
      <c r="O1063">
        <v>120</v>
      </c>
      <c r="P1063">
        <v>19</v>
      </c>
      <c r="Q1063">
        <v>206</v>
      </c>
      <c r="R1063">
        <v>25</v>
      </c>
      <c r="S1063">
        <v>19</v>
      </c>
      <c r="T1063">
        <v>54</v>
      </c>
      <c r="U1063">
        <v>443</v>
      </c>
      <c r="V1063">
        <v>6</v>
      </c>
      <c r="W1063">
        <v>7</v>
      </c>
      <c r="X1063">
        <v>2</v>
      </c>
      <c r="Y1063">
        <v>5</v>
      </c>
      <c r="Z1063">
        <v>14</v>
      </c>
      <c r="AA1063">
        <v>8</v>
      </c>
      <c r="AB1063" t="str">
        <f t="shared" si="50"/>
        <v>Below average customer</v>
      </c>
    </row>
    <row r="1064" spans="1:28" x14ac:dyDescent="0.35">
      <c r="A1064">
        <v>7409</v>
      </c>
      <c r="B1064">
        <v>1970</v>
      </c>
      <c r="C1064" t="s">
        <v>28</v>
      </c>
      <c r="D1064" t="s">
        <v>26</v>
      </c>
      <c r="E1064" t="s">
        <v>29</v>
      </c>
      <c r="F1064">
        <v>53187</v>
      </c>
      <c r="G1064" t="str">
        <f t="shared" si="48"/>
        <v>Mid-high</v>
      </c>
      <c r="H1064">
        <v>1</v>
      </c>
      <c r="I1064">
        <v>0</v>
      </c>
      <c r="J1064">
        <v>1</v>
      </c>
      <c r="K1064" s="1">
        <v>41573</v>
      </c>
      <c r="L1064">
        <v>66</v>
      </c>
      <c r="M1064" t="str">
        <f t="shared" si="49"/>
        <v>Inactive</v>
      </c>
      <c r="N1064">
        <v>0</v>
      </c>
      <c r="O1064">
        <v>211</v>
      </c>
      <c r="P1064">
        <v>2</v>
      </c>
      <c r="Q1064">
        <v>30</v>
      </c>
      <c r="R1064">
        <v>7</v>
      </c>
      <c r="S1064">
        <v>7</v>
      </c>
      <c r="T1064">
        <v>10</v>
      </c>
      <c r="U1064">
        <v>267</v>
      </c>
      <c r="V1064">
        <v>2</v>
      </c>
      <c r="W1064">
        <v>4</v>
      </c>
      <c r="X1064">
        <v>1</v>
      </c>
      <c r="Y1064">
        <v>6</v>
      </c>
      <c r="Z1064">
        <v>11</v>
      </c>
      <c r="AA1064">
        <v>5</v>
      </c>
      <c r="AB1064" t="str">
        <f t="shared" si="50"/>
        <v>Below average customer</v>
      </c>
    </row>
    <row r="1065" spans="1:28" x14ac:dyDescent="0.35">
      <c r="A1065">
        <v>4444</v>
      </c>
      <c r="B1065">
        <v>1972</v>
      </c>
      <c r="C1065" t="s">
        <v>28</v>
      </c>
      <c r="D1065" t="s">
        <v>26</v>
      </c>
      <c r="E1065" t="s">
        <v>33</v>
      </c>
      <c r="F1065">
        <v>30023</v>
      </c>
      <c r="G1065" t="str">
        <f t="shared" si="48"/>
        <v>Low</v>
      </c>
      <c r="H1065">
        <v>1</v>
      </c>
      <c r="I1065">
        <v>0</v>
      </c>
      <c r="J1065">
        <v>1</v>
      </c>
      <c r="K1065" s="1">
        <v>41722</v>
      </c>
      <c r="L1065">
        <v>28</v>
      </c>
      <c r="M1065" t="str">
        <f t="shared" si="49"/>
        <v>Active</v>
      </c>
      <c r="N1065">
        <v>0</v>
      </c>
      <c r="O1065">
        <v>11</v>
      </c>
      <c r="P1065">
        <v>0</v>
      </c>
      <c r="Q1065">
        <v>16</v>
      </c>
      <c r="R1065">
        <v>7</v>
      </c>
      <c r="S1065">
        <v>6</v>
      </c>
      <c r="T1065">
        <v>21</v>
      </c>
      <c r="U1065">
        <v>61</v>
      </c>
      <c r="V1065">
        <v>1</v>
      </c>
      <c r="W1065">
        <v>2</v>
      </c>
      <c r="X1065">
        <v>0</v>
      </c>
      <c r="Y1065">
        <v>3</v>
      </c>
      <c r="Z1065">
        <v>5</v>
      </c>
      <c r="AA1065">
        <v>8</v>
      </c>
      <c r="AB1065" t="str">
        <f t="shared" si="50"/>
        <v>Below average customer</v>
      </c>
    </row>
    <row r="1066" spans="1:28" x14ac:dyDescent="0.35">
      <c r="A1066">
        <v>146</v>
      </c>
      <c r="B1066">
        <v>1960</v>
      </c>
      <c r="C1066" t="s">
        <v>25</v>
      </c>
      <c r="D1066" t="s">
        <v>32</v>
      </c>
      <c r="E1066" t="s">
        <v>27</v>
      </c>
      <c r="F1066">
        <v>76045</v>
      </c>
      <c r="G1066" t="str">
        <f t="shared" si="48"/>
        <v>High</v>
      </c>
      <c r="H1066">
        <v>0</v>
      </c>
      <c r="I1066">
        <v>0</v>
      </c>
      <c r="J1066">
        <v>0</v>
      </c>
      <c r="K1066" s="1">
        <v>41593</v>
      </c>
      <c r="L1066">
        <v>78</v>
      </c>
      <c r="M1066" t="str">
        <f t="shared" si="49"/>
        <v>Inactive</v>
      </c>
      <c r="N1066">
        <v>0</v>
      </c>
      <c r="O1066">
        <v>760</v>
      </c>
      <c r="P1066">
        <v>53</v>
      </c>
      <c r="Q1066">
        <v>400</v>
      </c>
      <c r="R1066">
        <v>17</v>
      </c>
      <c r="S1066">
        <v>93</v>
      </c>
      <c r="T1066">
        <v>0</v>
      </c>
      <c r="U1066">
        <v>1323</v>
      </c>
      <c r="V1066">
        <v>1</v>
      </c>
      <c r="W1066">
        <v>4</v>
      </c>
      <c r="X1066">
        <v>5</v>
      </c>
      <c r="Y1066">
        <v>11</v>
      </c>
      <c r="Z1066">
        <v>20</v>
      </c>
      <c r="AA1066">
        <v>2</v>
      </c>
      <c r="AB1066" t="str">
        <f t="shared" si="50"/>
        <v>Below average customer</v>
      </c>
    </row>
    <row r="1067" spans="1:28" x14ac:dyDescent="0.35">
      <c r="A1067">
        <v>6271</v>
      </c>
      <c r="B1067">
        <v>1952</v>
      </c>
      <c r="C1067" t="s">
        <v>36</v>
      </c>
      <c r="D1067" t="s">
        <v>32</v>
      </c>
      <c r="E1067" t="s">
        <v>33</v>
      </c>
      <c r="F1067">
        <v>50870</v>
      </c>
      <c r="G1067" t="str">
        <f t="shared" si="48"/>
        <v>Mid-low</v>
      </c>
      <c r="H1067">
        <v>0</v>
      </c>
      <c r="I1067">
        <v>1</v>
      </c>
      <c r="J1067">
        <v>1</v>
      </c>
      <c r="K1067" s="1">
        <v>41809</v>
      </c>
      <c r="L1067">
        <v>13</v>
      </c>
      <c r="M1067" t="str">
        <f t="shared" si="49"/>
        <v>Active</v>
      </c>
      <c r="N1067">
        <v>0</v>
      </c>
      <c r="O1067">
        <v>53</v>
      </c>
      <c r="P1067">
        <v>0</v>
      </c>
      <c r="Q1067">
        <v>8</v>
      </c>
      <c r="R1067">
        <v>0</v>
      </c>
      <c r="S1067">
        <v>0</v>
      </c>
      <c r="T1067">
        <v>2</v>
      </c>
      <c r="U1067">
        <v>63</v>
      </c>
      <c r="V1067">
        <v>1</v>
      </c>
      <c r="W1067">
        <v>2</v>
      </c>
      <c r="X1067">
        <v>0</v>
      </c>
      <c r="Y1067">
        <v>3</v>
      </c>
      <c r="Z1067">
        <v>5</v>
      </c>
      <c r="AA1067">
        <v>5</v>
      </c>
      <c r="AB1067" t="str">
        <f t="shared" si="50"/>
        <v>Below average customer</v>
      </c>
    </row>
    <row r="1068" spans="1:28" x14ac:dyDescent="0.35">
      <c r="A1068">
        <v>4741</v>
      </c>
      <c r="B1068">
        <v>1974</v>
      </c>
      <c r="C1068" t="s">
        <v>31</v>
      </c>
      <c r="D1068" t="s">
        <v>34</v>
      </c>
      <c r="E1068" t="s">
        <v>33</v>
      </c>
      <c r="F1068">
        <v>65463</v>
      </c>
      <c r="G1068" t="str">
        <f t="shared" si="48"/>
        <v>Mid-high</v>
      </c>
      <c r="H1068">
        <v>1</v>
      </c>
      <c r="I1068">
        <v>0</v>
      </c>
      <c r="J1068">
        <v>1</v>
      </c>
      <c r="K1068" s="1">
        <v>41669</v>
      </c>
      <c r="L1068">
        <v>17</v>
      </c>
      <c r="M1068" t="str">
        <f t="shared" si="49"/>
        <v>Active</v>
      </c>
      <c r="N1068">
        <v>0</v>
      </c>
      <c r="O1068">
        <v>391</v>
      </c>
      <c r="P1068">
        <v>32</v>
      </c>
      <c r="Q1068">
        <v>70</v>
      </c>
      <c r="R1068">
        <v>21</v>
      </c>
      <c r="S1068">
        <v>32</v>
      </c>
      <c r="T1068">
        <v>16</v>
      </c>
      <c r="U1068">
        <v>562</v>
      </c>
      <c r="V1068">
        <v>2</v>
      </c>
      <c r="W1068">
        <v>6</v>
      </c>
      <c r="X1068">
        <v>2</v>
      </c>
      <c r="Y1068">
        <v>9</v>
      </c>
      <c r="Z1068">
        <v>17</v>
      </c>
      <c r="AA1068">
        <v>5</v>
      </c>
      <c r="AB1068" t="str">
        <f t="shared" si="50"/>
        <v>Below average customer</v>
      </c>
    </row>
    <row r="1069" spans="1:28" x14ac:dyDescent="0.35">
      <c r="A1069">
        <v>246</v>
      </c>
      <c r="B1069">
        <v>1965</v>
      </c>
      <c r="C1069" t="s">
        <v>28</v>
      </c>
      <c r="D1069" t="s">
        <v>26</v>
      </c>
      <c r="E1069" t="s">
        <v>33</v>
      </c>
      <c r="F1069">
        <v>66480</v>
      </c>
      <c r="G1069" t="str">
        <f t="shared" si="48"/>
        <v>Mid-high</v>
      </c>
      <c r="H1069">
        <v>1</v>
      </c>
      <c r="I1069">
        <v>1</v>
      </c>
      <c r="J1069">
        <v>2</v>
      </c>
      <c r="K1069" s="1">
        <v>41790</v>
      </c>
      <c r="L1069">
        <v>71</v>
      </c>
      <c r="M1069" t="str">
        <f t="shared" si="49"/>
        <v>Inactive</v>
      </c>
      <c r="N1069">
        <v>0</v>
      </c>
      <c r="O1069">
        <v>199</v>
      </c>
      <c r="P1069">
        <v>9</v>
      </c>
      <c r="Q1069">
        <v>57</v>
      </c>
      <c r="R1069">
        <v>20</v>
      </c>
      <c r="S1069">
        <v>21</v>
      </c>
      <c r="T1069">
        <v>6</v>
      </c>
      <c r="U1069">
        <v>312</v>
      </c>
      <c r="V1069">
        <v>7</v>
      </c>
      <c r="W1069">
        <v>4</v>
      </c>
      <c r="X1069">
        <v>1</v>
      </c>
      <c r="Y1069">
        <v>7</v>
      </c>
      <c r="Z1069">
        <v>12</v>
      </c>
      <c r="AA1069">
        <v>4</v>
      </c>
      <c r="AB1069" t="str">
        <f t="shared" si="50"/>
        <v>Below average customer</v>
      </c>
    </row>
    <row r="1070" spans="1:28" x14ac:dyDescent="0.35">
      <c r="A1070">
        <v>375</v>
      </c>
      <c r="B1070">
        <v>1954</v>
      </c>
      <c r="C1070" t="s">
        <v>25</v>
      </c>
      <c r="D1070" t="s">
        <v>26</v>
      </c>
      <c r="E1070" t="s">
        <v>35</v>
      </c>
      <c r="F1070">
        <v>76773</v>
      </c>
      <c r="G1070" t="str">
        <f t="shared" si="48"/>
        <v>High</v>
      </c>
      <c r="H1070">
        <v>0</v>
      </c>
      <c r="I1070">
        <v>0</v>
      </c>
      <c r="J1070">
        <v>0</v>
      </c>
      <c r="K1070" s="1">
        <v>41330</v>
      </c>
      <c r="L1070">
        <v>79</v>
      </c>
      <c r="M1070" t="str">
        <f t="shared" si="49"/>
        <v>Inactive</v>
      </c>
      <c r="N1070">
        <v>0</v>
      </c>
      <c r="O1070">
        <v>516</v>
      </c>
      <c r="P1070">
        <v>56</v>
      </c>
      <c r="Q1070">
        <v>449</v>
      </c>
      <c r="R1070">
        <v>86</v>
      </c>
      <c r="S1070">
        <v>33</v>
      </c>
      <c r="T1070">
        <v>16</v>
      </c>
      <c r="U1070">
        <v>1156</v>
      </c>
      <c r="V1070">
        <v>1</v>
      </c>
      <c r="W1070">
        <v>2</v>
      </c>
      <c r="X1070">
        <v>2</v>
      </c>
      <c r="Y1070">
        <v>11</v>
      </c>
      <c r="Z1070">
        <v>15</v>
      </c>
      <c r="AA1070">
        <v>1</v>
      </c>
      <c r="AB1070" t="str">
        <f t="shared" si="50"/>
        <v>Below average customer</v>
      </c>
    </row>
    <row r="1071" spans="1:28" x14ac:dyDescent="0.35">
      <c r="A1071">
        <v>1524</v>
      </c>
      <c r="B1071">
        <v>1983</v>
      </c>
      <c r="C1071" t="s">
        <v>30</v>
      </c>
      <c r="D1071" t="s">
        <v>34</v>
      </c>
      <c r="E1071" t="s">
        <v>27</v>
      </c>
      <c r="F1071">
        <v>81698</v>
      </c>
      <c r="G1071" t="str">
        <f t="shared" si="48"/>
        <v>High</v>
      </c>
      <c r="H1071">
        <v>0</v>
      </c>
      <c r="I1071">
        <v>0</v>
      </c>
      <c r="J1071">
        <v>0</v>
      </c>
      <c r="K1071" s="1">
        <v>41334</v>
      </c>
      <c r="L1071">
        <v>1</v>
      </c>
      <c r="M1071" t="str">
        <f t="shared" si="49"/>
        <v>Active</v>
      </c>
      <c r="N1071">
        <v>0</v>
      </c>
      <c r="O1071">
        <v>709</v>
      </c>
      <c r="P1071">
        <v>45</v>
      </c>
      <c r="Q1071">
        <v>115</v>
      </c>
      <c r="R1071">
        <v>30</v>
      </c>
      <c r="S1071">
        <v>160</v>
      </c>
      <c r="T1071">
        <v>45</v>
      </c>
      <c r="U1071">
        <v>1104</v>
      </c>
      <c r="V1071">
        <v>1</v>
      </c>
      <c r="W1071">
        <v>8</v>
      </c>
      <c r="X1071">
        <v>2</v>
      </c>
      <c r="Y1071">
        <v>5</v>
      </c>
      <c r="Z1071">
        <v>15</v>
      </c>
      <c r="AA1071">
        <v>5</v>
      </c>
      <c r="AB1071" t="str">
        <f t="shared" si="50"/>
        <v>Above average customer</v>
      </c>
    </row>
    <row r="1072" spans="1:28" x14ac:dyDescent="0.35">
      <c r="A1072">
        <v>10022</v>
      </c>
      <c r="B1072">
        <v>1973</v>
      </c>
      <c r="C1072" t="s">
        <v>31</v>
      </c>
      <c r="D1072" t="s">
        <v>32</v>
      </c>
      <c r="E1072" t="s">
        <v>27</v>
      </c>
      <c r="F1072">
        <v>54466</v>
      </c>
      <c r="G1072" t="str">
        <f t="shared" si="48"/>
        <v>Mid-high</v>
      </c>
      <c r="H1072">
        <v>1</v>
      </c>
      <c r="I1072">
        <v>1</v>
      </c>
      <c r="J1072">
        <v>2</v>
      </c>
      <c r="K1072" s="1">
        <v>41679</v>
      </c>
      <c r="L1072">
        <v>78</v>
      </c>
      <c r="M1072" t="str">
        <f t="shared" si="49"/>
        <v>Inactive</v>
      </c>
      <c r="N1072">
        <v>0</v>
      </c>
      <c r="O1072">
        <v>12</v>
      </c>
      <c r="P1072">
        <v>0</v>
      </c>
      <c r="Q1072">
        <v>4</v>
      </c>
      <c r="R1072">
        <v>0</v>
      </c>
      <c r="S1072">
        <v>0</v>
      </c>
      <c r="T1072">
        <v>0</v>
      </c>
      <c r="U1072">
        <v>16</v>
      </c>
      <c r="V1072">
        <v>1</v>
      </c>
      <c r="W1072">
        <v>1</v>
      </c>
      <c r="X1072">
        <v>0</v>
      </c>
      <c r="Y1072">
        <v>2</v>
      </c>
      <c r="Z1072">
        <v>3</v>
      </c>
      <c r="AA1072">
        <v>5</v>
      </c>
      <c r="AB1072" t="str">
        <f t="shared" si="50"/>
        <v>Below average customer</v>
      </c>
    </row>
    <row r="1073" spans="1:28" x14ac:dyDescent="0.35">
      <c r="A1073">
        <v>11010</v>
      </c>
      <c r="B1073">
        <v>1984</v>
      </c>
      <c r="C1073" t="s">
        <v>30</v>
      </c>
      <c r="D1073" t="s">
        <v>32</v>
      </c>
      <c r="E1073" t="s">
        <v>27</v>
      </c>
      <c r="F1073">
        <v>16269</v>
      </c>
      <c r="G1073" t="str">
        <f t="shared" si="48"/>
        <v>Low</v>
      </c>
      <c r="H1073">
        <v>1</v>
      </c>
      <c r="I1073">
        <v>0</v>
      </c>
      <c r="J1073">
        <v>1</v>
      </c>
      <c r="K1073" s="1">
        <v>41516</v>
      </c>
      <c r="L1073">
        <v>75</v>
      </c>
      <c r="M1073" t="str">
        <f t="shared" si="49"/>
        <v>Inactive</v>
      </c>
      <c r="N1073">
        <v>0</v>
      </c>
      <c r="O1073">
        <v>19</v>
      </c>
      <c r="P1073">
        <v>3</v>
      </c>
      <c r="Q1073">
        <v>18</v>
      </c>
      <c r="R1073">
        <v>3</v>
      </c>
      <c r="S1073">
        <v>1</v>
      </c>
      <c r="T1073">
        <v>0</v>
      </c>
      <c r="U1073">
        <v>44</v>
      </c>
      <c r="V1073">
        <v>3</v>
      </c>
      <c r="W1073">
        <v>3</v>
      </c>
      <c r="X1073">
        <v>0</v>
      </c>
      <c r="Y1073">
        <v>3</v>
      </c>
      <c r="Z1073">
        <v>6</v>
      </c>
      <c r="AA1073">
        <v>8</v>
      </c>
      <c r="AB1073" t="str">
        <f t="shared" si="50"/>
        <v>Below average customer</v>
      </c>
    </row>
    <row r="1074" spans="1:28" x14ac:dyDescent="0.35">
      <c r="A1074">
        <v>4356</v>
      </c>
      <c r="B1074">
        <v>1971</v>
      </c>
      <c r="C1074" t="s">
        <v>28</v>
      </c>
      <c r="D1074" t="s">
        <v>26</v>
      </c>
      <c r="E1074" t="s">
        <v>29</v>
      </c>
      <c r="F1074">
        <v>71819</v>
      </c>
      <c r="G1074" t="str">
        <f t="shared" si="48"/>
        <v>High</v>
      </c>
      <c r="H1074">
        <v>0</v>
      </c>
      <c r="I1074">
        <v>1</v>
      </c>
      <c r="J1074">
        <v>1</v>
      </c>
      <c r="K1074" s="1">
        <v>41514</v>
      </c>
      <c r="L1074">
        <v>70</v>
      </c>
      <c r="M1074" t="str">
        <f t="shared" si="49"/>
        <v>Inactive</v>
      </c>
      <c r="N1074">
        <v>0</v>
      </c>
      <c r="O1074">
        <v>1224</v>
      </c>
      <c r="P1074">
        <v>28</v>
      </c>
      <c r="Q1074">
        <v>140</v>
      </c>
      <c r="R1074">
        <v>0</v>
      </c>
      <c r="S1074">
        <v>14</v>
      </c>
      <c r="T1074">
        <v>168</v>
      </c>
      <c r="U1074">
        <v>1574</v>
      </c>
      <c r="V1074">
        <v>3</v>
      </c>
      <c r="W1074">
        <v>3</v>
      </c>
      <c r="X1074">
        <v>3</v>
      </c>
      <c r="Y1074">
        <v>5</v>
      </c>
      <c r="Z1074">
        <v>11</v>
      </c>
      <c r="AA1074">
        <v>6</v>
      </c>
      <c r="AB1074" t="str">
        <f t="shared" si="50"/>
        <v>Below average customer</v>
      </c>
    </row>
    <row r="1075" spans="1:28" x14ac:dyDescent="0.35">
      <c r="A1075">
        <v>3885</v>
      </c>
      <c r="B1075">
        <v>1983</v>
      </c>
      <c r="C1075" t="s">
        <v>30</v>
      </c>
      <c r="D1075" t="s">
        <v>32</v>
      </c>
      <c r="E1075" t="s">
        <v>33</v>
      </c>
      <c r="F1075">
        <v>33569</v>
      </c>
      <c r="G1075" t="str">
        <f t="shared" si="48"/>
        <v>Low</v>
      </c>
      <c r="H1075">
        <v>1</v>
      </c>
      <c r="I1075">
        <v>0</v>
      </c>
      <c r="J1075">
        <v>1</v>
      </c>
      <c r="K1075" s="1">
        <v>41563</v>
      </c>
      <c r="L1075">
        <v>10</v>
      </c>
      <c r="M1075" t="str">
        <f t="shared" si="49"/>
        <v>Active</v>
      </c>
      <c r="N1075">
        <v>0</v>
      </c>
      <c r="O1075">
        <v>16</v>
      </c>
      <c r="P1075">
        <v>2</v>
      </c>
      <c r="Q1075">
        <v>18</v>
      </c>
      <c r="R1075">
        <v>3</v>
      </c>
      <c r="S1075">
        <v>0</v>
      </c>
      <c r="T1075">
        <v>24</v>
      </c>
      <c r="U1075">
        <v>63</v>
      </c>
      <c r="V1075">
        <v>1</v>
      </c>
      <c r="W1075">
        <v>1</v>
      </c>
      <c r="X1075">
        <v>1</v>
      </c>
      <c r="Y1075">
        <v>2</v>
      </c>
      <c r="Z1075">
        <v>4</v>
      </c>
      <c r="AA1075">
        <v>8</v>
      </c>
      <c r="AB1075" t="str">
        <f t="shared" si="50"/>
        <v>Below average customer</v>
      </c>
    </row>
    <row r="1076" spans="1:28" x14ac:dyDescent="0.35">
      <c r="A1076">
        <v>1175</v>
      </c>
      <c r="B1076">
        <v>1983</v>
      </c>
      <c r="C1076" t="s">
        <v>30</v>
      </c>
      <c r="D1076" t="s">
        <v>34</v>
      </c>
      <c r="E1076" t="s">
        <v>33</v>
      </c>
      <c r="F1076">
        <v>36262</v>
      </c>
      <c r="G1076" t="str">
        <f t="shared" si="48"/>
        <v>Mid-low</v>
      </c>
      <c r="H1076">
        <v>0</v>
      </c>
      <c r="I1076">
        <v>0</v>
      </c>
      <c r="J1076">
        <v>0</v>
      </c>
      <c r="K1076" s="1">
        <v>41537</v>
      </c>
      <c r="L1076">
        <v>24</v>
      </c>
      <c r="M1076" t="str">
        <f t="shared" si="49"/>
        <v>Active</v>
      </c>
      <c r="N1076">
        <v>0</v>
      </c>
      <c r="O1076">
        <v>88</v>
      </c>
      <c r="P1076">
        <v>39</v>
      </c>
      <c r="Q1076">
        <v>54</v>
      </c>
      <c r="R1076">
        <v>64</v>
      </c>
      <c r="S1076">
        <v>28</v>
      </c>
      <c r="T1076">
        <v>153</v>
      </c>
      <c r="U1076">
        <v>426</v>
      </c>
      <c r="V1076">
        <v>1</v>
      </c>
      <c r="W1076">
        <v>3</v>
      </c>
      <c r="X1076">
        <v>5</v>
      </c>
      <c r="Y1076">
        <v>3</v>
      </c>
      <c r="Z1076">
        <v>11</v>
      </c>
      <c r="AA1076">
        <v>6</v>
      </c>
      <c r="AB1076" t="str">
        <f t="shared" si="50"/>
        <v>Below average customer</v>
      </c>
    </row>
    <row r="1077" spans="1:28" x14ac:dyDescent="0.35">
      <c r="A1077">
        <v>880</v>
      </c>
      <c r="B1077">
        <v>1966</v>
      </c>
      <c r="C1077" t="s">
        <v>28</v>
      </c>
      <c r="D1077" t="s">
        <v>37</v>
      </c>
      <c r="E1077" t="s">
        <v>29</v>
      </c>
      <c r="F1077">
        <v>22634</v>
      </c>
      <c r="G1077" t="str">
        <f t="shared" si="48"/>
        <v>Low</v>
      </c>
      <c r="H1077">
        <v>0</v>
      </c>
      <c r="I1077">
        <v>0</v>
      </c>
      <c r="J1077">
        <v>0</v>
      </c>
      <c r="K1077" s="1">
        <v>41290</v>
      </c>
      <c r="L1077">
        <v>47</v>
      </c>
      <c r="M1077" t="str">
        <f t="shared" si="49"/>
        <v>Active</v>
      </c>
      <c r="N1077">
        <v>0</v>
      </c>
      <c r="O1077">
        <v>2</v>
      </c>
      <c r="P1077">
        <v>23</v>
      </c>
      <c r="Q1077">
        <v>11</v>
      </c>
      <c r="R1077">
        <v>8</v>
      </c>
      <c r="S1077">
        <v>6</v>
      </c>
      <c r="T1077">
        <v>46</v>
      </c>
      <c r="U1077">
        <v>96</v>
      </c>
      <c r="V1077">
        <v>1</v>
      </c>
      <c r="W1077">
        <v>2</v>
      </c>
      <c r="X1077">
        <v>1</v>
      </c>
      <c r="Y1077">
        <v>2</v>
      </c>
      <c r="Z1077">
        <v>5</v>
      </c>
      <c r="AA1077">
        <v>8</v>
      </c>
      <c r="AB1077" t="str">
        <f t="shared" si="50"/>
        <v>Below average customer</v>
      </c>
    </row>
    <row r="1078" spans="1:28" x14ac:dyDescent="0.35">
      <c r="A1078">
        <v>2320</v>
      </c>
      <c r="B1078">
        <v>1978</v>
      </c>
      <c r="C1078" t="s">
        <v>31</v>
      </c>
      <c r="D1078" t="s">
        <v>34</v>
      </c>
      <c r="E1078" t="s">
        <v>33</v>
      </c>
      <c r="F1078">
        <v>47025</v>
      </c>
      <c r="G1078" t="str">
        <f t="shared" si="48"/>
        <v>Mid-low</v>
      </c>
      <c r="H1078">
        <v>0</v>
      </c>
      <c r="I1078">
        <v>1</v>
      </c>
      <c r="J1078">
        <v>1</v>
      </c>
      <c r="K1078" s="1">
        <v>41529</v>
      </c>
      <c r="L1078">
        <v>98</v>
      </c>
      <c r="M1078" t="str">
        <f t="shared" si="49"/>
        <v>Inactive</v>
      </c>
      <c r="N1078">
        <v>0</v>
      </c>
      <c r="O1078">
        <v>508</v>
      </c>
      <c r="P1078">
        <v>11</v>
      </c>
      <c r="Q1078">
        <v>59</v>
      </c>
      <c r="R1078">
        <v>23</v>
      </c>
      <c r="S1078">
        <v>5</v>
      </c>
      <c r="T1078">
        <v>29</v>
      </c>
      <c r="U1078">
        <v>635</v>
      </c>
      <c r="V1078">
        <v>5</v>
      </c>
      <c r="W1078">
        <v>11</v>
      </c>
      <c r="X1078">
        <v>1</v>
      </c>
      <c r="Y1078">
        <v>6</v>
      </c>
      <c r="Z1078">
        <v>18</v>
      </c>
      <c r="AA1078">
        <v>9</v>
      </c>
      <c r="AB1078" t="str">
        <f t="shared" si="50"/>
        <v>Below average customer</v>
      </c>
    </row>
    <row r="1079" spans="1:28" x14ac:dyDescent="0.35">
      <c r="A1079">
        <v>850</v>
      </c>
      <c r="B1079">
        <v>1968</v>
      </c>
      <c r="C1079" t="s">
        <v>28</v>
      </c>
      <c r="D1079" t="s">
        <v>26</v>
      </c>
      <c r="E1079" t="s">
        <v>27</v>
      </c>
      <c r="F1079">
        <v>70566</v>
      </c>
      <c r="G1079" t="str">
        <f t="shared" si="48"/>
        <v>High</v>
      </c>
      <c r="H1079">
        <v>0</v>
      </c>
      <c r="I1079">
        <v>1</v>
      </c>
      <c r="J1079">
        <v>1</v>
      </c>
      <c r="K1079" s="1">
        <v>41553</v>
      </c>
      <c r="L1079">
        <v>4</v>
      </c>
      <c r="M1079" t="str">
        <f t="shared" si="49"/>
        <v>Active</v>
      </c>
      <c r="N1079">
        <v>0</v>
      </c>
      <c r="O1079">
        <v>381</v>
      </c>
      <c r="P1079">
        <v>28</v>
      </c>
      <c r="Q1079">
        <v>215</v>
      </c>
      <c r="R1079">
        <v>84</v>
      </c>
      <c r="S1079">
        <v>28</v>
      </c>
      <c r="T1079">
        <v>21</v>
      </c>
      <c r="U1079">
        <v>757</v>
      </c>
      <c r="V1079">
        <v>2</v>
      </c>
      <c r="W1079">
        <v>6</v>
      </c>
      <c r="X1079">
        <v>5</v>
      </c>
      <c r="Y1079">
        <v>9</v>
      </c>
      <c r="Z1079">
        <v>20</v>
      </c>
      <c r="AA1079">
        <v>3</v>
      </c>
      <c r="AB1079" t="str">
        <f t="shared" si="50"/>
        <v>Above average customer</v>
      </c>
    </row>
    <row r="1080" spans="1:28" x14ac:dyDescent="0.35">
      <c r="A1080">
        <v>4713</v>
      </c>
      <c r="B1080">
        <v>1979</v>
      </c>
      <c r="C1080" t="s">
        <v>31</v>
      </c>
      <c r="D1080" t="s">
        <v>32</v>
      </c>
      <c r="E1080" t="s">
        <v>33</v>
      </c>
      <c r="F1080">
        <v>31605</v>
      </c>
      <c r="G1080" t="str">
        <f t="shared" si="48"/>
        <v>Low</v>
      </c>
      <c r="H1080">
        <v>1</v>
      </c>
      <c r="I1080">
        <v>0</v>
      </c>
      <c r="J1080">
        <v>1</v>
      </c>
      <c r="K1080" s="1">
        <v>41235</v>
      </c>
      <c r="L1080">
        <v>15</v>
      </c>
      <c r="M1080" t="str">
        <f t="shared" si="49"/>
        <v>Active</v>
      </c>
      <c r="N1080">
        <v>0</v>
      </c>
      <c r="O1080">
        <v>74</v>
      </c>
      <c r="P1080">
        <v>0</v>
      </c>
      <c r="Q1080">
        <v>42</v>
      </c>
      <c r="R1080">
        <v>2</v>
      </c>
      <c r="S1080">
        <v>1</v>
      </c>
      <c r="T1080">
        <v>6</v>
      </c>
      <c r="U1080">
        <v>125</v>
      </c>
      <c r="V1080">
        <v>2</v>
      </c>
      <c r="W1080">
        <v>2</v>
      </c>
      <c r="X1080">
        <v>1</v>
      </c>
      <c r="Y1080">
        <v>4</v>
      </c>
      <c r="Z1080">
        <v>7</v>
      </c>
      <c r="AA1080">
        <v>7</v>
      </c>
      <c r="AB1080" t="str">
        <f t="shared" si="50"/>
        <v>Below average customer</v>
      </c>
    </row>
    <row r="1081" spans="1:28" x14ac:dyDescent="0.35">
      <c r="A1081">
        <v>675</v>
      </c>
      <c r="B1081">
        <v>1973</v>
      </c>
      <c r="C1081" t="s">
        <v>31</v>
      </c>
      <c r="D1081" t="s">
        <v>34</v>
      </c>
      <c r="E1081" t="s">
        <v>35</v>
      </c>
      <c r="F1081">
        <v>52034</v>
      </c>
      <c r="G1081" t="str">
        <f t="shared" si="48"/>
        <v>Mid-high</v>
      </c>
      <c r="H1081">
        <v>1</v>
      </c>
      <c r="I1081">
        <v>1</v>
      </c>
      <c r="J1081">
        <v>2</v>
      </c>
      <c r="K1081" s="1">
        <v>41411</v>
      </c>
      <c r="L1081">
        <v>67</v>
      </c>
      <c r="M1081" t="str">
        <f t="shared" si="49"/>
        <v>Inactive</v>
      </c>
      <c r="N1081">
        <v>0</v>
      </c>
      <c r="O1081">
        <v>146</v>
      </c>
      <c r="P1081">
        <v>0</v>
      </c>
      <c r="Q1081">
        <v>93</v>
      </c>
      <c r="R1081">
        <v>7</v>
      </c>
      <c r="S1081">
        <v>13</v>
      </c>
      <c r="T1081">
        <v>73</v>
      </c>
      <c r="U1081">
        <v>332</v>
      </c>
      <c r="V1081">
        <v>5</v>
      </c>
      <c r="W1081">
        <v>4</v>
      </c>
      <c r="X1081">
        <v>2</v>
      </c>
      <c r="Y1081">
        <v>5</v>
      </c>
      <c r="Z1081">
        <v>11</v>
      </c>
      <c r="AA1081">
        <v>7</v>
      </c>
      <c r="AB1081" t="str">
        <f t="shared" si="50"/>
        <v>Below average customer</v>
      </c>
    </row>
    <row r="1082" spans="1:28" x14ac:dyDescent="0.35">
      <c r="A1082">
        <v>5025</v>
      </c>
      <c r="B1082">
        <v>1979</v>
      </c>
      <c r="C1082" t="s">
        <v>31</v>
      </c>
      <c r="D1082" t="s">
        <v>26</v>
      </c>
      <c r="E1082" t="s">
        <v>27</v>
      </c>
      <c r="F1082">
        <v>48526</v>
      </c>
      <c r="G1082" t="str">
        <f t="shared" si="48"/>
        <v>Mid-low</v>
      </c>
      <c r="H1082">
        <v>1</v>
      </c>
      <c r="I1082">
        <v>0</v>
      </c>
      <c r="J1082">
        <v>1</v>
      </c>
      <c r="K1082" s="1">
        <v>41632</v>
      </c>
      <c r="L1082">
        <v>32</v>
      </c>
      <c r="M1082" t="str">
        <f t="shared" si="49"/>
        <v>Active</v>
      </c>
      <c r="N1082">
        <v>0</v>
      </c>
      <c r="O1082">
        <v>23</v>
      </c>
      <c r="P1082">
        <v>17</v>
      </c>
      <c r="Q1082">
        <v>23</v>
      </c>
      <c r="R1082">
        <v>43</v>
      </c>
      <c r="S1082">
        <v>20</v>
      </c>
      <c r="T1082">
        <v>9</v>
      </c>
      <c r="U1082">
        <v>135</v>
      </c>
      <c r="V1082">
        <v>1</v>
      </c>
      <c r="W1082">
        <v>2</v>
      </c>
      <c r="X1082">
        <v>1</v>
      </c>
      <c r="Y1082">
        <v>4</v>
      </c>
      <c r="Z1082">
        <v>7</v>
      </c>
      <c r="AA1082">
        <v>3</v>
      </c>
      <c r="AB1082" t="str">
        <f t="shared" si="50"/>
        <v>Below average customer</v>
      </c>
    </row>
    <row r="1083" spans="1:28" x14ac:dyDescent="0.35">
      <c r="A1083">
        <v>2308</v>
      </c>
      <c r="B1083">
        <v>1954</v>
      </c>
      <c r="C1083" t="s">
        <v>25</v>
      </c>
      <c r="D1083" t="s">
        <v>26</v>
      </c>
      <c r="E1083" t="s">
        <v>33</v>
      </c>
      <c r="F1083">
        <v>46734</v>
      </c>
      <c r="G1083" t="str">
        <f t="shared" si="48"/>
        <v>Mid-low</v>
      </c>
      <c r="H1083">
        <v>0</v>
      </c>
      <c r="I1083">
        <v>1</v>
      </c>
      <c r="J1083">
        <v>1</v>
      </c>
      <c r="K1083" s="1">
        <v>41231</v>
      </c>
      <c r="L1083">
        <v>40</v>
      </c>
      <c r="M1083" t="str">
        <f t="shared" si="49"/>
        <v>Active</v>
      </c>
      <c r="N1083">
        <v>0</v>
      </c>
      <c r="O1083">
        <v>110</v>
      </c>
      <c r="P1083">
        <v>5</v>
      </c>
      <c r="Q1083">
        <v>137</v>
      </c>
      <c r="R1083">
        <v>26</v>
      </c>
      <c r="S1083">
        <v>23</v>
      </c>
      <c r="T1083">
        <v>29</v>
      </c>
      <c r="U1083">
        <v>330</v>
      </c>
      <c r="V1083">
        <v>2</v>
      </c>
      <c r="W1083">
        <v>6</v>
      </c>
      <c r="X1083">
        <v>1</v>
      </c>
      <c r="Y1083">
        <v>5</v>
      </c>
      <c r="Z1083">
        <v>12</v>
      </c>
      <c r="AA1083">
        <v>7</v>
      </c>
      <c r="AB1083" t="str">
        <f t="shared" si="50"/>
        <v>Below average customer</v>
      </c>
    </row>
    <row r="1084" spans="1:28" x14ac:dyDescent="0.35">
      <c r="A1084">
        <v>5995</v>
      </c>
      <c r="B1084">
        <v>1962</v>
      </c>
      <c r="C1084" t="s">
        <v>25</v>
      </c>
      <c r="D1084" t="s">
        <v>26</v>
      </c>
      <c r="E1084" t="s">
        <v>35</v>
      </c>
      <c r="F1084">
        <v>39552</v>
      </c>
      <c r="G1084" t="str">
        <f t="shared" si="48"/>
        <v>Mid-low</v>
      </c>
      <c r="H1084">
        <v>1</v>
      </c>
      <c r="I1084">
        <v>1</v>
      </c>
      <c r="J1084">
        <v>2</v>
      </c>
      <c r="K1084" s="1">
        <v>41261</v>
      </c>
      <c r="L1084">
        <v>54</v>
      </c>
      <c r="M1084" t="str">
        <f t="shared" si="49"/>
        <v>Inactive</v>
      </c>
      <c r="N1084">
        <v>0</v>
      </c>
      <c r="O1084">
        <v>165</v>
      </c>
      <c r="P1084">
        <v>3</v>
      </c>
      <c r="Q1084">
        <v>147</v>
      </c>
      <c r="R1084">
        <v>4</v>
      </c>
      <c r="S1084">
        <v>24</v>
      </c>
      <c r="T1084">
        <v>41</v>
      </c>
      <c r="U1084">
        <v>384</v>
      </c>
      <c r="V1084">
        <v>7</v>
      </c>
      <c r="W1084">
        <v>6</v>
      </c>
      <c r="X1084">
        <v>2</v>
      </c>
      <c r="Y1084">
        <v>5</v>
      </c>
      <c r="Z1084">
        <v>13</v>
      </c>
      <c r="AA1084">
        <v>8</v>
      </c>
      <c r="AB1084" t="str">
        <f t="shared" si="50"/>
        <v>Below average customer</v>
      </c>
    </row>
    <row r="1085" spans="1:28" x14ac:dyDescent="0.35">
      <c r="A1085">
        <v>6749</v>
      </c>
      <c r="B1085">
        <v>1966</v>
      </c>
      <c r="C1085" t="s">
        <v>28</v>
      </c>
      <c r="D1085" t="s">
        <v>26</v>
      </c>
      <c r="E1085" t="s">
        <v>27</v>
      </c>
      <c r="F1085">
        <v>86358</v>
      </c>
      <c r="G1085" t="str">
        <f t="shared" si="48"/>
        <v>High</v>
      </c>
      <c r="H1085">
        <v>1</v>
      </c>
      <c r="I1085">
        <v>1</v>
      </c>
      <c r="J1085">
        <v>2</v>
      </c>
      <c r="K1085" s="1">
        <v>41129</v>
      </c>
      <c r="L1085">
        <v>78</v>
      </c>
      <c r="M1085" t="str">
        <f t="shared" si="49"/>
        <v>Inactive</v>
      </c>
      <c r="N1085">
        <v>0</v>
      </c>
      <c r="O1085">
        <v>957</v>
      </c>
      <c r="P1085">
        <v>47</v>
      </c>
      <c r="Q1085">
        <v>494</v>
      </c>
      <c r="R1085">
        <v>82</v>
      </c>
      <c r="S1085">
        <v>47</v>
      </c>
      <c r="T1085">
        <v>95</v>
      </c>
      <c r="U1085">
        <v>1722</v>
      </c>
      <c r="V1085">
        <v>4</v>
      </c>
      <c r="W1085">
        <v>5</v>
      </c>
      <c r="X1085">
        <v>3</v>
      </c>
      <c r="Y1085">
        <v>6</v>
      </c>
      <c r="Z1085">
        <v>14</v>
      </c>
      <c r="AA1085">
        <v>8</v>
      </c>
      <c r="AB1085" t="str">
        <f t="shared" si="50"/>
        <v>Below average customer</v>
      </c>
    </row>
    <row r="1086" spans="1:28" x14ac:dyDescent="0.35">
      <c r="A1086">
        <v>1010</v>
      </c>
      <c r="B1086">
        <v>1977</v>
      </c>
      <c r="C1086" t="s">
        <v>31</v>
      </c>
      <c r="D1086" t="s">
        <v>26</v>
      </c>
      <c r="E1086" t="s">
        <v>29</v>
      </c>
      <c r="F1086">
        <v>46931</v>
      </c>
      <c r="G1086" t="str">
        <f t="shared" si="48"/>
        <v>Mid-low</v>
      </c>
      <c r="H1086">
        <v>2</v>
      </c>
      <c r="I1086">
        <v>1</v>
      </c>
      <c r="J1086">
        <v>3</v>
      </c>
      <c r="K1086" s="1">
        <v>41753</v>
      </c>
      <c r="L1086">
        <v>94</v>
      </c>
      <c r="M1086" t="str">
        <f t="shared" si="49"/>
        <v>Inactive</v>
      </c>
      <c r="N1086">
        <v>0</v>
      </c>
      <c r="O1086">
        <v>41</v>
      </c>
      <c r="P1086">
        <v>0</v>
      </c>
      <c r="Q1086">
        <v>17</v>
      </c>
      <c r="R1086">
        <v>3</v>
      </c>
      <c r="S1086">
        <v>1</v>
      </c>
      <c r="T1086">
        <v>16</v>
      </c>
      <c r="U1086">
        <v>78</v>
      </c>
      <c r="V1086">
        <v>2</v>
      </c>
      <c r="W1086">
        <v>1</v>
      </c>
      <c r="X1086">
        <v>1</v>
      </c>
      <c r="Y1086">
        <v>3</v>
      </c>
      <c r="Z1086">
        <v>5</v>
      </c>
      <c r="AA1086">
        <v>3</v>
      </c>
      <c r="AB1086" t="str">
        <f t="shared" si="50"/>
        <v>Below average customer</v>
      </c>
    </row>
    <row r="1087" spans="1:28" x14ac:dyDescent="0.35">
      <c r="A1087">
        <v>8977</v>
      </c>
      <c r="B1087">
        <v>1985</v>
      </c>
      <c r="C1087" t="s">
        <v>30</v>
      </c>
      <c r="D1087" t="s">
        <v>37</v>
      </c>
      <c r="E1087" t="s">
        <v>27</v>
      </c>
      <c r="F1087">
        <v>16581</v>
      </c>
      <c r="G1087" t="str">
        <f t="shared" si="48"/>
        <v>Low</v>
      </c>
      <c r="H1087">
        <v>0</v>
      </c>
      <c r="I1087">
        <v>0</v>
      </c>
      <c r="J1087">
        <v>0</v>
      </c>
      <c r="K1087" s="1">
        <v>41286</v>
      </c>
      <c r="L1087">
        <v>51</v>
      </c>
      <c r="M1087" t="str">
        <f t="shared" si="49"/>
        <v>Inactive</v>
      </c>
      <c r="N1087">
        <v>0</v>
      </c>
      <c r="O1087">
        <v>1</v>
      </c>
      <c r="P1087">
        <v>3</v>
      </c>
      <c r="Q1087">
        <v>4</v>
      </c>
      <c r="R1087">
        <v>2</v>
      </c>
      <c r="S1087">
        <v>3</v>
      </c>
      <c r="T1087">
        <v>11</v>
      </c>
      <c r="U1087">
        <v>24</v>
      </c>
      <c r="V1087">
        <v>1</v>
      </c>
      <c r="W1087">
        <v>0</v>
      </c>
      <c r="X1087">
        <v>0</v>
      </c>
      <c r="Y1087">
        <v>3</v>
      </c>
      <c r="Z1087">
        <v>3</v>
      </c>
      <c r="AA1087">
        <v>4</v>
      </c>
      <c r="AB1087" t="str">
        <f t="shared" si="50"/>
        <v>Below average customer</v>
      </c>
    </row>
    <row r="1088" spans="1:28" x14ac:dyDescent="0.35">
      <c r="A1088">
        <v>4756</v>
      </c>
      <c r="B1088">
        <v>1952</v>
      </c>
      <c r="C1088" t="s">
        <v>36</v>
      </c>
      <c r="D1088" t="s">
        <v>34</v>
      </c>
      <c r="E1088" t="s">
        <v>35</v>
      </c>
      <c r="F1088">
        <v>63998</v>
      </c>
      <c r="G1088" t="str">
        <f t="shared" si="48"/>
        <v>Mid-high</v>
      </c>
      <c r="H1088">
        <v>0</v>
      </c>
      <c r="I1088">
        <v>0</v>
      </c>
      <c r="J1088">
        <v>0</v>
      </c>
      <c r="K1088" s="1">
        <v>41628</v>
      </c>
      <c r="L1088">
        <v>42</v>
      </c>
      <c r="M1088" t="str">
        <f t="shared" si="49"/>
        <v>Active</v>
      </c>
      <c r="N1088">
        <v>0</v>
      </c>
      <c r="O1088">
        <v>176</v>
      </c>
      <c r="P1088">
        <v>29</v>
      </c>
      <c r="Q1088">
        <v>818</v>
      </c>
      <c r="R1088">
        <v>0</v>
      </c>
      <c r="S1088">
        <v>33</v>
      </c>
      <c r="T1088">
        <v>112</v>
      </c>
      <c r="U1088">
        <v>1168</v>
      </c>
      <c r="V1088">
        <v>1</v>
      </c>
      <c r="W1088">
        <v>7</v>
      </c>
      <c r="X1088">
        <v>6</v>
      </c>
      <c r="Y1088">
        <v>11</v>
      </c>
      <c r="Z1088">
        <v>24</v>
      </c>
      <c r="AA1088">
        <v>4</v>
      </c>
      <c r="AB1088" t="str">
        <f t="shared" si="50"/>
        <v>Above average customer</v>
      </c>
    </row>
    <row r="1089" spans="1:28" x14ac:dyDescent="0.35">
      <c r="A1089">
        <v>3412</v>
      </c>
      <c r="B1089">
        <v>1951</v>
      </c>
      <c r="C1089" t="s">
        <v>36</v>
      </c>
      <c r="D1089" t="s">
        <v>34</v>
      </c>
      <c r="E1089" t="s">
        <v>33</v>
      </c>
      <c r="F1089">
        <v>67381</v>
      </c>
      <c r="G1089" t="str">
        <f t="shared" si="48"/>
        <v>Mid-high</v>
      </c>
      <c r="H1089">
        <v>0</v>
      </c>
      <c r="I1089">
        <v>1</v>
      </c>
      <c r="J1089">
        <v>1</v>
      </c>
      <c r="K1089" s="1">
        <v>41289</v>
      </c>
      <c r="L1089">
        <v>67</v>
      </c>
      <c r="M1089" t="str">
        <f t="shared" si="49"/>
        <v>Inactive</v>
      </c>
      <c r="N1089">
        <v>0</v>
      </c>
      <c r="O1089">
        <v>815</v>
      </c>
      <c r="P1089">
        <v>8</v>
      </c>
      <c r="Q1089">
        <v>53</v>
      </c>
      <c r="R1089">
        <v>11</v>
      </c>
      <c r="S1089">
        <v>0</v>
      </c>
      <c r="T1089">
        <v>70</v>
      </c>
      <c r="U1089">
        <v>957</v>
      </c>
      <c r="V1089">
        <v>4</v>
      </c>
      <c r="W1089">
        <v>2</v>
      </c>
      <c r="X1089">
        <v>2</v>
      </c>
      <c r="Y1089">
        <v>9</v>
      </c>
      <c r="Z1089">
        <v>13</v>
      </c>
      <c r="AA1089">
        <v>7</v>
      </c>
      <c r="AB1089" t="str">
        <f t="shared" si="50"/>
        <v>Below average customer</v>
      </c>
    </row>
    <row r="1090" spans="1:28" x14ac:dyDescent="0.35">
      <c r="A1090">
        <v>606</v>
      </c>
      <c r="B1090">
        <v>1967</v>
      </c>
      <c r="C1090" t="s">
        <v>28</v>
      </c>
      <c r="D1090" t="s">
        <v>26</v>
      </c>
      <c r="E1090" t="s">
        <v>27</v>
      </c>
      <c r="F1090">
        <v>25930</v>
      </c>
      <c r="G1090" t="str">
        <f t="shared" ref="G1090:G1153" si="51">IF(F1090&lt;=_xlfn.PERCENTILE.INC($F$2:$F$2056,0.25),"Low",IF(F1090&lt;=_xlfn.PERCENTILE.INC($F$2:$F$2056,0.5),"Mid-low",IF(F1090&lt;=_xlfn.PERCENTILE.INC($F$2:$F$2056,0.75),"Mid-high","High")))</f>
        <v>Low</v>
      </c>
      <c r="H1090">
        <v>1</v>
      </c>
      <c r="I1090">
        <v>1</v>
      </c>
      <c r="J1090">
        <v>2</v>
      </c>
      <c r="K1090" s="1">
        <v>41557</v>
      </c>
      <c r="L1090">
        <v>87</v>
      </c>
      <c r="M1090" t="str">
        <f t="shared" ref="M1090:M1153" si="52">IF(L1090&gt;AVERAGE($L$2:$L$2056),"Inactive","Active")</f>
        <v>Inactive</v>
      </c>
      <c r="N1090">
        <v>0</v>
      </c>
      <c r="O1090">
        <v>6</v>
      </c>
      <c r="P1090">
        <v>1</v>
      </c>
      <c r="Q1090">
        <v>2</v>
      </c>
      <c r="R1090">
        <v>2</v>
      </c>
      <c r="S1090">
        <v>0</v>
      </c>
      <c r="T1090">
        <v>4</v>
      </c>
      <c r="U1090">
        <v>15</v>
      </c>
      <c r="V1090">
        <v>1</v>
      </c>
      <c r="W1090">
        <v>1</v>
      </c>
      <c r="X1090">
        <v>0</v>
      </c>
      <c r="Y1090">
        <v>2</v>
      </c>
      <c r="Z1090">
        <v>3</v>
      </c>
      <c r="AA1090">
        <v>7</v>
      </c>
      <c r="AB1090" t="str">
        <f t="shared" ref="AB1090:AB1153" si="53">IF(AND(Z1090&gt;AVERAGE($Z$2:$Z$2056),U1090&gt;AVERAGE($U$2:$U$2056),N1090=0,L1090&lt;AVERAGE($L$2:$L$2056),F1090&gt;AVERAGE($F$2:$F$2240)),"Above average customer","Below average customer")</f>
        <v>Below average customer</v>
      </c>
    </row>
    <row r="1091" spans="1:28" x14ac:dyDescent="0.35">
      <c r="A1091">
        <v>5961</v>
      </c>
      <c r="B1091">
        <v>1978</v>
      </c>
      <c r="C1091" t="s">
        <v>31</v>
      </c>
      <c r="D1091" t="s">
        <v>26</v>
      </c>
      <c r="E1091" t="s">
        <v>33</v>
      </c>
      <c r="F1091">
        <v>42693</v>
      </c>
      <c r="G1091" t="str">
        <f t="shared" si="51"/>
        <v>Mid-low</v>
      </c>
      <c r="H1091">
        <v>1</v>
      </c>
      <c r="I1091">
        <v>0</v>
      </c>
      <c r="J1091">
        <v>1</v>
      </c>
      <c r="K1091" s="1">
        <v>41797</v>
      </c>
      <c r="L1091">
        <v>29</v>
      </c>
      <c r="M1091" t="str">
        <f t="shared" si="52"/>
        <v>Active</v>
      </c>
      <c r="N1091">
        <v>0</v>
      </c>
      <c r="O1091">
        <v>8</v>
      </c>
      <c r="P1091">
        <v>4</v>
      </c>
      <c r="Q1091">
        <v>20</v>
      </c>
      <c r="R1091">
        <v>6</v>
      </c>
      <c r="S1091">
        <v>3</v>
      </c>
      <c r="T1091">
        <v>16</v>
      </c>
      <c r="U1091">
        <v>57</v>
      </c>
      <c r="V1091">
        <v>1</v>
      </c>
      <c r="W1091">
        <v>1</v>
      </c>
      <c r="X1091">
        <v>0</v>
      </c>
      <c r="Y1091">
        <v>3</v>
      </c>
      <c r="Z1091">
        <v>4</v>
      </c>
      <c r="AA1091">
        <v>5</v>
      </c>
      <c r="AB1091" t="str">
        <f t="shared" si="53"/>
        <v>Below average customer</v>
      </c>
    </row>
    <row r="1092" spans="1:28" x14ac:dyDescent="0.35">
      <c r="A1092">
        <v>2975</v>
      </c>
      <c r="B1092">
        <v>1976</v>
      </c>
      <c r="C1092" t="s">
        <v>31</v>
      </c>
      <c r="D1092" t="s">
        <v>26</v>
      </c>
      <c r="E1092" t="s">
        <v>29</v>
      </c>
      <c r="F1092">
        <v>85606</v>
      </c>
      <c r="G1092" t="str">
        <f t="shared" si="51"/>
        <v>High</v>
      </c>
      <c r="H1092">
        <v>0</v>
      </c>
      <c r="I1092">
        <v>1</v>
      </c>
      <c r="J1092">
        <v>1</v>
      </c>
      <c r="K1092" s="1">
        <v>41225</v>
      </c>
      <c r="L1092">
        <v>89</v>
      </c>
      <c r="M1092" t="str">
        <f t="shared" si="52"/>
        <v>Inactive</v>
      </c>
      <c r="N1092">
        <v>0</v>
      </c>
      <c r="O1092">
        <v>717</v>
      </c>
      <c r="P1092">
        <v>42</v>
      </c>
      <c r="Q1092">
        <v>864</v>
      </c>
      <c r="R1092">
        <v>219</v>
      </c>
      <c r="S1092">
        <v>30</v>
      </c>
      <c r="T1092">
        <v>84</v>
      </c>
      <c r="U1092">
        <v>1956</v>
      </c>
      <c r="V1092">
        <v>2</v>
      </c>
      <c r="W1092">
        <v>6</v>
      </c>
      <c r="X1092">
        <v>7</v>
      </c>
      <c r="Y1092">
        <v>9</v>
      </c>
      <c r="Z1092">
        <v>22</v>
      </c>
      <c r="AA1092">
        <v>3</v>
      </c>
      <c r="AB1092" t="str">
        <f t="shared" si="53"/>
        <v>Below average customer</v>
      </c>
    </row>
    <row r="1093" spans="1:28" x14ac:dyDescent="0.35">
      <c r="A1093">
        <v>2894</v>
      </c>
      <c r="B1093">
        <v>1985</v>
      </c>
      <c r="C1093" t="s">
        <v>30</v>
      </c>
      <c r="D1093" t="s">
        <v>26</v>
      </c>
      <c r="E1093" t="s">
        <v>27</v>
      </c>
      <c r="F1093">
        <v>72903</v>
      </c>
      <c r="G1093" t="str">
        <f t="shared" si="51"/>
        <v>High</v>
      </c>
      <c r="H1093">
        <v>0</v>
      </c>
      <c r="I1093">
        <v>0</v>
      </c>
      <c r="J1093">
        <v>0</v>
      </c>
      <c r="K1093" s="1">
        <v>41576</v>
      </c>
      <c r="L1093">
        <v>74</v>
      </c>
      <c r="M1093" t="str">
        <f t="shared" si="52"/>
        <v>Inactive</v>
      </c>
      <c r="N1093">
        <v>0</v>
      </c>
      <c r="O1093">
        <v>1067</v>
      </c>
      <c r="P1093">
        <v>138</v>
      </c>
      <c r="Q1093">
        <v>750</v>
      </c>
      <c r="R1093">
        <v>0</v>
      </c>
      <c r="S1093">
        <v>19</v>
      </c>
      <c r="T1093">
        <v>39</v>
      </c>
      <c r="U1093">
        <v>2013</v>
      </c>
      <c r="V1093">
        <v>1</v>
      </c>
      <c r="W1093">
        <v>7</v>
      </c>
      <c r="X1093">
        <v>5</v>
      </c>
      <c r="Y1093">
        <v>8</v>
      </c>
      <c r="Z1093">
        <v>20</v>
      </c>
      <c r="AA1093">
        <v>4</v>
      </c>
      <c r="AB1093" t="str">
        <f t="shared" si="53"/>
        <v>Below average customer</v>
      </c>
    </row>
    <row r="1094" spans="1:28" x14ac:dyDescent="0.35">
      <c r="A1094">
        <v>7613</v>
      </c>
      <c r="B1094">
        <v>1974</v>
      </c>
      <c r="C1094" t="s">
        <v>31</v>
      </c>
      <c r="D1094" t="s">
        <v>34</v>
      </c>
      <c r="E1094" t="s">
        <v>29</v>
      </c>
      <c r="F1094">
        <v>49669</v>
      </c>
      <c r="G1094" t="str">
        <f t="shared" si="51"/>
        <v>Mid-low</v>
      </c>
      <c r="H1094">
        <v>1</v>
      </c>
      <c r="I1094">
        <v>0</v>
      </c>
      <c r="J1094">
        <v>1</v>
      </c>
      <c r="K1094" s="1">
        <v>41783</v>
      </c>
      <c r="L1094">
        <v>97</v>
      </c>
      <c r="M1094" t="str">
        <f t="shared" si="52"/>
        <v>Inactive</v>
      </c>
      <c r="N1094">
        <v>0</v>
      </c>
      <c r="O1094">
        <v>166</v>
      </c>
      <c r="P1094">
        <v>5</v>
      </c>
      <c r="Q1094">
        <v>107</v>
      </c>
      <c r="R1094">
        <v>11</v>
      </c>
      <c r="S1094">
        <v>8</v>
      </c>
      <c r="T1094">
        <v>29</v>
      </c>
      <c r="U1094">
        <v>326</v>
      </c>
      <c r="V1094">
        <v>2</v>
      </c>
      <c r="W1094">
        <v>5</v>
      </c>
      <c r="X1094">
        <v>1</v>
      </c>
      <c r="Y1094">
        <v>6</v>
      </c>
      <c r="Z1094">
        <v>12</v>
      </c>
      <c r="AA1094">
        <v>6</v>
      </c>
      <c r="AB1094" t="str">
        <f t="shared" si="53"/>
        <v>Below average customer</v>
      </c>
    </row>
    <row r="1095" spans="1:28" x14ac:dyDescent="0.35">
      <c r="A1095">
        <v>10542</v>
      </c>
      <c r="B1095">
        <v>1968</v>
      </c>
      <c r="C1095" t="s">
        <v>28</v>
      </c>
      <c r="D1095" t="s">
        <v>32</v>
      </c>
      <c r="E1095" t="s">
        <v>33</v>
      </c>
      <c r="F1095">
        <v>36778</v>
      </c>
      <c r="G1095" t="str">
        <f t="shared" si="51"/>
        <v>Mid-low</v>
      </c>
      <c r="H1095">
        <v>1</v>
      </c>
      <c r="I1095">
        <v>1</v>
      </c>
      <c r="J1095">
        <v>2</v>
      </c>
      <c r="K1095" s="1">
        <v>41126</v>
      </c>
      <c r="L1095">
        <v>63</v>
      </c>
      <c r="M1095" t="str">
        <f t="shared" si="52"/>
        <v>Inactive</v>
      </c>
      <c r="N1095">
        <v>0</v>
      </c>
      <c r="O1095">
        <v>29</v>
      </c>
      <c r="P1095">
        <v>4</v>
      </c>
      <c r="Q1095">
        <v>34</v>
      </c>
      <c r="R1095">
        <v>2</v>
      </c>
      <c r="S1095">
        <v>4</v>
      </c>
      <c r="T1095">
        <v>4</v>
      </c>
      <c r="U1095">
        <v>77</v>
      </c>
      <c r="V1095">
        <v>3</v>
      </c>
      <c r="W1095">
        <v>3</v>
      </c>
      <c r="X1095">
        <v>0</v>
      </c>
      <c r="Y1095">
        <v>3</v>
      </c>
      <c r="Z1095">
        <v>6</v>
      </c>
      <c r="AA1095">
        <v>9</v>
      </c>
      <c r="AB1095" t="str">
        <f t="shared" si="53"/>
        <v>Below average customer</v>
      </c>
    </row>
    <row r="1096" spans="1:28" x14ac:dyDescent="0.35">
      <c r="A1096">
        <v>8015</v>
      </c>
      <c r="B1096">
        <v>1962</v>
      </c>
      <c r="C1096" t="s">
        <v>25</v>
      </c>
      <c r="D1096" t="s">
        <v>32</v>
      </c>
      <c r="E1096" t="s">
        <v>35</v>
      </c>
      <c r="F1096">
        <v>85696</v>
      </c>
      <c r="G1096" t="str">
        <f t="shared" si="51"/>
        <v>High</v>
      </c>
      <c r="H1096">
        <v>0</v>
      </c>
      <c r="I1096">
        <v>0</v>
      </c>
      <c r="J1096">
        <v>0</v>
      </c>
      <c r="K1096" s="1">
        <v>41397</v>
      </c>
      <c r="L1096">
        <v>88</v>
      </c>
      <c r="M1096" t="str">
        <f t="shared" si="52"/>
        <v>Inactive</v>
      </c>
      <c r="N1096">
        <v>0</v>
      </c>
      <c r="O1096">
        <v>714</v>
      </c>
      <c r="P1096">
        <v>76</v>
      </c>
      <c r="Q1096">
        <v>395</v>
      </c>
      <c r="R1096">
        <v>116</v>
      </c>
      <c r="S1096">
        <v>0</v>
      </c>
      <c r="T1096">
        <v>12</v>
      </c>
      <c r="U1096">
        <v>1313</v>
      </c>
      <c r="V1096">
        <v>1</v>
      </c>
      <c r="W1096">
        <v>4</v>
      </c>
      <c r="X1096">
        <v>6</v>
      </c>
      <c r="Y1096">
        <v>9</v>
      </c>
      <c r="Z1096">
        <v>19</v>
      </c>
      <c r="AA1096">
        <v>1</v>
      </c>
      <c r="AB1096" t="str">
        <f t="shared" si="53"/>
        <v>Below average customer</v>
      </c>
    </row>
    <row r="1097" spans="1:28" x14ac:dyDescent="0.35">
      <c r="A1097">
        <v>11166</v>
      </c>
      <c r="B1097">
        <v>1961</v>
      </c>
      <c r="C1097" t="s">
        <v>25</v>
      </c>
      <c r="D1097" t="s">
        <v>26</v>
      </c>
      <c r="E1097" t="s">
        <v>33</v>
      </c>
      <c r="F1097">
        <v>49678</v>
      </c>
      <c r="G1097" t="str">
        <f t="shared" si="51"/>
        <v>Mid-low</v>
      </c>
      <c r="H1097">
        <v>0</v>
      </c>
      <c r="I1097">
        <v>1</v>
      </c>
      <c r="J1097">
        <v>1</v>
      </c>
      <c r="K1097" s="1">
        <v>41307</v>
      </c>
      <c r="L1097">
        <v>81</v>
      </c>
      <c r="M1097" t="str">
        <f t="shared" si="52"/>
        <v>Inactive</v>
      </c>
      <c r="N1097">
        <v>0</v>
      </c>
      <c r="O1097">
        <v>229</v>
      </c>
      <c r="P1097">
        <v>5</v>
      </c>
      <c r="Q1097">
        <v>56</v>
      </c>
      <c r="R1097">
        <v>3</v>
      </c>
      <c r="S1097">
        <v>2</v>
      </c>
      <c r="T1097">
        <v>20</v>
      </c>
      <c r="U1097">
        <v>315</v>
      </c>
      <c r="V1097">
        <v>2</v>
      </c>
      <c r="W1097">
        <v>6</v>
      </c>
      <c r="X1097">
        <v>2</v>
      </c>
      <c r="Y1097">
        <v>4</v>
      </c>
      <c r="Z1097">
        <v>12</v>
      </c>
      <c r="AA1097">
        <v>7</v>
      </c>
      <c r="AB1097" t="str">
        <f t="shared" si="53"/>
        <v>Below average customer</v>
      </c>
    </row>
    <row r="1098" spans="1:28" x14ac:dyDescent="0.35">
      <c r="A1098">
        <v>523</v>
      </c>
      <c r="B1098">
        <v>1989</v>
      </c>
      <c r="C1098" t="s">
        <v>30</v>
      </c>
      <c r="D1098" t="s">
        <v>26</v>
      </c>
      <c r="E1098" t="s">
        <v>33</v>
      </c>
      <c r="F1098">
        <v>37155</v>
      </c>
      <c r="G1098" t="str">
        <f t="shared" si="51"/>
        <v>Mid-low</v>
      </c>
      <c r="H1098">
        <v>1</v>
      </c>
      <c r="I1098">
        <v>0</v>
      </c>
      <c r="J1098">
        <v>1</v>
      </c>
      <c r="K1098" s="1">
        <v>41305</v>
      </c>
      <c r="L1098">
        <v>51</v>
      </c>
      <c r="M1098" t="str">
        <f t="shared" si="52"/>
        <v>Inactive</v>
      </c>
      <c r="N1098">
        <v>0</v>
      </c>
      <c r="O1098">
        <v>23</v>
      </c>
      <c r="P1098">
        <v>0</v>
      </c>
      <c r="Q1098">
        <v>26</v>
      </c>
      <c r="R1098">
        <v>7</v>
      </c>
      <c r="S1098">
        <v>15</v>
      </c>
      <c r="T1098">
        <v>3</v>
      </c>
      <c r="U1098">
        <v>74</v>
      </c>
      <c r="V1098">
        <v>1</v>
      </c>
      <c r="W1098">
        <v>2</v>
      </c>
      <c r="X1098">
        <v>0</v>
      </c>
      <c r="Y1098">
        <v>4</v>
      </c>
      <c r="Z1098">
        <v>6</v>
      </c>
      <c r="AA1098">
        <v>5</v>
      </c>
      <c r="AB1098" t="str">
        <f t="shared" si="53"/>
        <v>Below average customer</v>
      </c>
    </row>
    <row r="1099" spans="1:28" x14ac:dyDescent="0.35">
      <c r="A1099">
        <v>4066</v>
      </c>
      <c r="B1099">
        <v>1978</v>
      </c>
      <c r="C1099" t="s">
        <v>31</v>
      </c>
      <c r="D1099" t="s">
        <v>34</v>
      </c>
      <c r="E1099" t="s">
        <v>35</v>
      </c>
      <c r="F1099">
        <v>21282</v>
      </c>
      <c r="G1099" t="str">
        <f t="shared" si="51"/>
        <v>Low</v>
      </c>
      <c r="H1099">
        <v>1</v>
      </c>
      <c r="I1099">
        <v>0</v>
      </c>
      <c r="J1099">
        <v>1</v>
      </c>
      <c r="K1099" s="1">
        <v>41770</v>
      </c>
      <c r="L1099">
        <v>76</v>
      </c>
      <c r="M1099" t="str">
        <f t="shared" si="52"/>
        <v>Inactive</v>
      </c>
      <c r="N1099">
        <v>0</v>
      </c>
      <c r="O1099">
        <v>1</v>
      </c>
      <c r="P1099">
        <v>5</v>
      </c>
      <c r="Q1099">
        <v>8</v>
      </c>
      <c r="R1099">
        <v>4</v>
      </c>
      <c r="S1099">
        <v>8</v>
      </c>
      <c r="T1099">
        <v>20</v>
      </c>
      <c r="U1099">
        <v>46</v>
      </c>
      <c r="V1099">
        <v>2</v>
      </c>
      <c r="W1099">
        <v>2</v>
      </c>
      <c r="X1099">
        <v>1</v>
      </c>
      <c r="Y1099">
        <v>2</v>
      </c>
      <c r="Z1099">
        <v>5</v>
      </c>
      <c r="AA1099">
        <v>6</v>
      </c>
      <c r="AB1099" t="str">
        <f t="shared" si="53"/>
        <v>Below average customer</v>
      </c>
    </row>
    <row r="1100" spans="1:28" x14ac:dyDescent="0.35">
      <c r="A1100">
        <v>8414</v>
      </c>
      <c r="B1100">
        <v>1962</v>
      </c>
      <c r="C1100" t="s">
        <v>25</v>
      </c>
      <c r="D1100" t="s">
        <v>32</v>
      </c>
      <c r="E1100" t="s">
        <v>27</v>
      </c>
      <c r="F1100">
        <v>33419</v>
      </c>
      <c r="G1100" t="str">
        <f t="shared" si="51"/>
        <v>Low</v>
      </c>
      <c r="H1100">
        <v>0</v>
      </c>
      <c r="I1100">
        <v>1</v>
      </c>
      <c r="J1100">
        <v>1</v>
      </c>
      <c r="K1100" s="1">
        <v>41503</v>
      </c>
      <c r="L1100">
        <v>76</v>
      </c>
      <c r="M1100" t="str">
        <f t="shared" si="52"/>
        <v>Inactive</v>
      </c>
      <c r="N1100">
        <v>0</v>
      </c>
      <c r="O1100">
        <v>56</v>
      </c>
      <c r="P1100">
        <v>0</v>
      </c>
      <c r="Q1100">
        <v>12</v>
      </c>
      <c r="R1100">
        <v>0</v>
      </c>
      <c r="S1100">
        <v>0</v>
      </c>
      <c r="T1100">
        <v>18</v>
      </c>
      <c r="U1100">
        <v>86</v>
      </c>
      <c r="V1100">
        <v>2</v>
      </c>
      <c r="W1100">
        <v>2</v>
      </c>
      <c r="X1100">
        <v>0</v>
      </c>
      <c r="Y1100">
        <v>4</v>
      </c>
      <c r="Z1100">
        <v>6</v>
      </c>
      <c r="AA1100">
        <v>7</v>
      </c>
      <c r="AB1100" t="str">
        <f t="shared" si="53"/>
        <v>Below average customer</v>
      </c>
    </row>
    <row r="1101" spans="1:28" x14ac:dyDescent="0.35">
      <c r="A1101">
        <v>819</v>
      </c>
      <c r="B1101">
        <v>1945</v>
      </c>
      <c r="C1101" t="s">
        <v>36</v>
      </c>
      <c r="D1101" t="s">
        <v>26</v>
      </c>
      <c r="E1101" t="s">
        <v>38</v>
      </c>
      <c r="F1101">
        <v>63285</v>
      </c>
      <c r="G1101" t="str">
        <f t="shared" si="51"/>
        <v>Mid-high</v>
      </c>
      <c r="H1101">
        <v>0</v>
      </c>
      <c r="I1101">
        <v>0</v>
      </c>
      <c r="J1101">
        <v>0</v>
      </c>
      <c r="K1101" s="1">
        <v>41583</v>
      </c>
      <c r="L1101">
        <v>84</v>
      </c>
      <c r="M1101" t="str">
        <f t="shared" si="52"/>
        <v>Inactive</v>
      </c>
      <c r="N1101">
        <v>0</v>
      </c>
      <c r="O1101">
        <v>508</v>
      </c>
      <c r="P1101">
        <v>124</v>
      </c>
      <c r="Q1101">
        <v>249</v>
      </c>
      <c r="R1101">
        <v>50</v>
      </c>
      <c r="S1101">
        <v>38</v>
      </c>
      <c r="T1101">
        <v>134</v>
      </c>
      <c r="U1101">
        <v>1103</v>
      </c>
      <c r="V1101">
        <v>1</v>
      </c>
      <c r="W1101">
        <v>6</v>
      </c>
      <c r="X1101">
        <v>5</v>
      </c>
      <c r="Y1101">
        <v>13</v>
      </c>
      <c r="Z1101">
        <v>24</v>
      </c>
      <c r="AA1101">
        <v>3</v>
      </c>
      <c r="AB1101" t="str">
        <f t="shared" si="53"/>
        <v>Below average customer</v>
      </c>
    </row>
    <row r="1102" spans="1:28" x14ac:dyDescent="0.35">
      <c r="A1102">
        <v>4961</v>
      </c>
      <c r="B1102">
        <v>1974</v>
      </c>
      <c r="C1102" t="s">
        <v>31</v>
      </c>
      <c r="D1102" t="s">
        <v>34</v>
      </c>
      <c r="E1102" t="s">
        <v>29</v>
      </c>
      <c r="F1102">
        <v>21255</v>
      </c>
      <c r="G1102" t="str">
        <f t="shared" si="51"/>
        <v>Low</v>
      </c>
      <c r="H1102">
        <v>1</v>
      </c>
      <c r="I1102">
        <v>0</v>
      </c>
      <c r="J1102">
        <v>1</v>
      </c>
      <c r="K1102" s="1">
        <v>41660</v>
      </c>
      <c r="L1102">
        <v>56</v>
      </c>
      <c r="M1102" t="str">
        <f t="shared" si="52"/>
        <v>Inactive</v>
      </c>
      <c r="N1102">
        <v>0</v>
      </c>
      <c r="O1102">
        <v>29</v>
      </c>
      <c r="P1102">
        <v>0</v>
      </c>
      <c r="Q1102">
        <v>25</v>
      </c>
      <c r="R1102">
        <v>2</v>
      </c>
      <c r="S1102">
        <v>2</v>
      </c>
      <c r="T1102">
        <v>3</v>
      </c>
      <c r="U1102">
        <v>61</v>
      </c>
      <c r="V1102">
        <v>4</v>
      </c>
      <c r="W1102">
        <v>2</v>
      </c>
      <c r="X1102">
        <v>1</v>
      </c>
      <c r="Y1102">
        <v>4</v>
      </c>
      <c r="Z1102">
        <v>7</v>
      </c>
      <c r="AA1102">
        <v>4</v>
      </c>
      <c r="AB1102" t="str">
        <f t="shared" si="53"/>
        <v>Below average customer</v>
      </c>
    </row>
    <row r="1103" spans="1:28" x14ac:dyDescent="0.35">
      <c r="A1103">
        <v>749</v>
      </c>
      <c r="B1103">
        <v>1981</v>
      </c>
      <c r="C1103" t="s">
        <v>31</v>
      </c>
      <c r="D1103" t="s">
        <v>26</v>
      </c>
      <c r="E1103" t="s">
        <v>29</v>
      </c>
      <c r="F1103">
        <v>42162</v>
      </c>
      <c r="G1103" t="str">
        <f t="shared" si="51"/>
        <v>Mid-low</v>
      </c>
      <c r="H1103">
        <v>1</v>
      </c>
      <c r="I1103">
        <v>0</v>
      </c>
      <c r="J1103">
        <v>1</v>
      </c>
      <c r="K1103" s="1">
        <v>41597</v>
      </c>
      <c r="L1103">
        <v>31</v>
      </c>
      <c r="M1103" t="str">
        <f t="shared" si="52"/>
        <v>Active</v>
      </c>
      <c r="N1103">
        <v>0</v>
      </c>
      <c r="O1103">
        <v>46</v>
      </c>
      <c r="P1103">
        <v>7</v>
      </c>
      <c r="Q1103">
        <v>59</v>
      </c>
      <c r="R1103">
        <v>2</v>
      </c>
      <c r="S1103">
        <v>4</v>
      </c>
      <c r="T1103">
        <v>27</v>
      </c>
      <c r="U1103">
        <v>145</v>
      </c>
      <c r="V1103">
        <v>2</v>
      </c>
      <c r="W1103">
        <v>3</v>
      </c>
      <c r="X1103">
        <v>1</v>
      </c>
      <c r="Y1103">
        <v>3</v>
      </c>
      <c r="Z1103">
        <v>7</v>
      </c>
      <c r="AA1103">
        <v>6</v>
      </c>
      <c r="AB1103" t="str">
        <f t="shared" si="53"/>
        <v>Below average customer</v>
      </c>
    </row>
    <row r="1104" spans="1:28" x14ac:dyDescent="0.35">
      <c r="A1104">
        <v>5430</v>
      </c>
      <c r="B1104">
        <v>1956</v>
      </c>
      <c r="C1104" t="s">
        <v>25</v>
      </c>
      <c r="D1104" t="s">
        <v>26</v>
      </c>
      <c r="E1104" t="s">
        <v>29</v>
      </c>
      <c r="F1104">
        <v>54450</v>
      </c>
      <c r="G1104" t="str">
        <f t="shared" si="51"/>
        <v>Mid-high</v>
      </c>
      <c r="H1104">
        <v>1</v>
      </c>
      <c r="I1104">
        <v>1</v>
      </c>
      <c r="J1104">
        <v>2</v>
      </c>
      <c r="K1104" s="1">
        <v>41166</v>
      </c>
      <c r="L1104">
        <v>0</v>
      </c>
      <c r="M1104" t="str">
        <f t="shared" si="52"/>
        <v>Active</v>
      </c>
      <c r="N1104">
        <v>0</v>
      </c>
      <c r="O1104">
        <v>454</v>
      </c>
      <c r="P1104">
        <v>0</v>
      </c>
      <c r="Q1104">
        <v>171</v>
      </c>
      <c r="R1104">
        <v>8</v>
      </c>
      <c r="S1104">
        <v>19</v>
      </c>
      <c r="T1104">
        <v>32</v>
      </c>
      <c r="U1104">
        <v>684</v>
      </c>
      <c r="V1104">
        <v>12</v>
      </c>
      <c r="W1104">
        <v>9</v>
      </c>
      <c r="X1104">
        <v>2</v>
      </c>
      <c r="Y1104">
        <v>8</v>
      </c>
      <c r="Z1104">
        <v>19</v>
      </c>
      <c r="AA1104">
        <v>8</v>
      </c>
      <c r="AB1104" t="str">
        <f t="shared" si="53"/>
        <v>Above average customer</v>
      </c>
    </row>
    <row r="1105" spans="1:28" x14ac:dyDescent="0.35">
      <c r="A1105">
        <v>7755</v>
      </c>
      <c r="B1105">
        <v>1954</v>
      </c>
      <c r="C1105" t="s">
        <v>25</v>
      </c>
      <c r="D1105" t="s">
        <v>32</v>
      </c>
      <c r="E1105" t="s">
        <v>33</v>
      </c>
      <c r="F1105">
        <v>57744</v>
      </c>
      <c r="G1105" t="str">
        <f t="shared" si="51"/>
        <v>Mid-high</v>
      </c>
      <c r="H1105">
        <v>0</v>
      </c>
      <c r="I1105">
        <v>1</v>
      </c>
      <c r="J1105">
        <v>1</v>
      </c>
      <c r="K1105" s="1">
        <v>41590</v>
      </c>
      <c r="L1105">
        <v>91</v>
      </c>
      <c r="M1105" t="str">
        <f t="shared" si="52"/>
        <v>Inactive</v>
      </c>
      <c r="N1105">
        <v>0</v>
      </c>
      <c r="O1105">
        <v>350</v>
      </c>
      <c r="P1105">
        <v>3</v>
      </c>
      <c r="Q1105">
        <v>39</v>
      </c>
      <c r="R1105">
        <v>0</v>
      </c>
      <c r="S1105">
        <v>0</v>
      </c>
      <c r="T1105">
        <v>19</v>
      </c>
      <c r="U1105">
        <v>411</v>
      </c>
      <c r="V1105">
        <v>2</v>
      </c>
      <c r="W1105">
        <v>9</v>
      </c>
      <c r="X1105">
        <v>1</v>
      </c>
      <c r="Y1105">
        <v>4</v>
      </c>
      <c r="Z1105">
        <v>14</v>
      </c>
      <c r="AA1105">
        <v>8</v>
      </c>
      <c r="AB1105" t="str">
        <f t="shared" si="53"/>
        <v>Below average customer</v>
      </c>
    </row>
    <row r="1106" spans="1:28" x14ac:dyDescent="0.35">
      <c r="A1106">
        <v>10525</v>
      </c>
      <c r="B1106">
        <v>1986</v>
      </c>
      <c r="C1106" t="s">
        <v>30</v>
      </c>
      <c r="D1106" t="s">
        <v>26</v>
      </c>
      <c r="E1106" t="s">
        <v>27</v>
      </c>
      <c r="F1106">
        <v>26576</v>
      </c>
      <c r="G1106" t="str">
        <f t="shared" si="51"/>
        <v>Low</v>
      </c>
      <c r="H1106">
        <v>1</v>
      </c>
      <c r="I1106">
        <v>0</v>
      </c>
      <c r="J1106">
        <v>1</v>
      </c>
      <c r="K1106" s="1">
        <v>41195</v>
      </c>
      <c r="L1106">
        <v>40</v>
      </c>
      <c r="M1106" t="str">
        <f t="shared" si="52"/>
        <v>Active</v>
      </c>
      <c r="N1106">
        <v>0</v>
      </c>
      <c r="O1106">
        <v>10</v>
      </c>
      <c r="P1106">
        <v>0</v>
      </c>
      <c r="Q1106">
        <v>8</v>
      </c>
      <c r="R1106">
        <v>0</v>
      </c>
      <c r="S1106">
        <v>0</v>
      </c>
      <c r="T1106">
        <v>9</v>
      </c>
      <c r="U1106">
        <v>27</v>
      </c>
      <c r="V1106">
        <v>1</v>
      </c>
      <c r="W1106">
        <v>1</v>
      </c>
      <c r="X1106">
        <v>0</v>
      </c>
      <c r="Y1106">
        <v>2</v>
      </c>
      <c r="Z1106">
        <v>3</v>
      </c>
      <c r="AA1106">
        <v>9</v>
      </c>
      <c r="AB1106" t="str">
        <f t="shared" si="53"/>
        <v>Below average customer</v>
      </c>
    </row>
    <row r="1107" spans="1:28" x14ac:dyDescent="0.35">
      <c r="A1107">
        <v>1453</v>
      </c>
      <c r="B1107">
        <v>1943</v>
      </c>
      <c r="C1107" t="s">
        <v>36</v>
      </c>
      <c r="D1107" t="s">
        <v>32</v>
      </c>
      <c r="E1107" t="s">
        <v>38</v>
      </c>
      <c r="F1107">
        <v>57513</v>
      </c>
      <c r="G1107" t="str">
        <f t="shared" si="51"/>
        <v>Mid-high</v>
      </c>
      <c r="H1107">
        <v>0</v>
      </c>
      <c r="I1107">
        <v>0</v>
      </c>
      <c r="J1107">
        <v>0</v>
      </c>
      <c r="K1107" s="1">
        <v>41461</v>
      </c>
      <c r="L1107">
        <v>59</v>
      </c>
      <c r="M1107" t="str">
        <f t="shared" si="52"/>
        <v>Inactive</v>
      </c>
      <c r="N1107">
        <v>0</v>
      </c>
      <c r="O1107">
        <v>735</v>
      </c>
      <c r="P1107">
        <v>40</v>
      </c>
      <c r="Q1107">
        <v>183</v>
      </c>
      <c r="R1107">
        <v>52</v>
      </c>
      <c r="S1107">
        <v>20</v>
      </c>
      <c r="T1107">
        <v>30</v>
      </c>
      <c r="U1107">
        <v>1060</v>
      </c>
      <c r="V1107">
        <v>2</v>
      </c>
      <c r="W1107">
        <v>9</v>
      </c>
      <c r="X1107">
        <v>3</v>
      </c>
      <c r="Y1107">
        <v>13</v>
      </c>
      <c r="Z1107">
        <v>25</v>
      </c>
      <c r="AA1107">
        <v>6</v>
      </c>
      <c r="AB1107" t="str">
        <f t="shared" si="53"/>
        <v>Below average customer</v>
      </c>
    </row>
    <row r="1108" spans="1:28" x14ac:dyDescent="0.35">
      <c r="A1108">
        <v>8310</v>
      </c>
      <c r="B1108">
        <v>1964</v>
      </c>
      <c r="C1108" t="s">
        <v>28</v>
      </c>
      <c r="D1108" t="s">
        <v>26</v>
      </c>
      <c r="E1108" t="s">
        <v>29</v>
      </c>
      <c r="F1108">
        <v>68142</v>
      </c>
      <c r="G1108" t="str">
        <f t="shared" si="51"/>
        <v>Mid-high</v>
      </c>
      <c r="H1108">
        <v>0</v>
      </c>
      <c r="I1108">
        <v>1</v>
      </c>
      <c r="J1108">
        <v>1</v>
      </c>
      <c r="K1108" s="1">
        <v>41150</v>
      </c>
      <c r="L1108">
        <v>96</v>
      </c>
      <c r="M1108" t="str">
        <f t="shared" si="52"/>
        <v>Inactive</v>
      </c>
      <c r="N1108">
        <v>0</v>
      </c>
      <c r="O1108">
        <v>897</v>
      </c>
      <c r="P1108">
        <v>126</v>
      </c>
      <c r="Q1108">
        <v>196</v>
      </c>
      <c r="R1108">
        <v>91</v>
      </c>
      <c r="S1108">
        <v>112</v>
      </c>
      <c r="T1108">
        <v>37</v>
      </c>
      <c r="U1108">
        <v>1459</v>
      </c>
      <c r="V1108">
        <v>3</v>
      </c>
      <c r="W1108">
        <v>10</v>
      </c>
      <c r="X1108">
        <v>4</v>
      </c>
      <c r="Y1108">
        <v>7</v>
      </c>
      <c r="Z1108">
        <v>21</v>
      </c>
      <c r="AA1108">
        <v>6</v>
      </c>
      <c r="AB1108" t="str">
        <f t="shared" si="53"/>
        <v>Below average customer</v>
      </c>
    </row>
    <row r="1109" spans="1:28" x14ac:dyDescent="0.35">
      <c r="A1109">
        <v>10710</v>
      </c>
      <c r="B1109">
        <v>1979</v>
      </c>
      <c r="C1109" t="s">
        <v>31</v>
      </c>
      <c r="D1109" t="s">
        <v>26</v>
      </c>
      <c r="E1109" t="s">
        <v>33</v>
      </c>
      <c r="F1109">
        <v>7500</v>
      </c>
      <c r="G1109" t="str">
        <f t="shared" si="51"/>
        <v>Low</v>
      </c>
      <c r="H1109">
        <v>0</v>
      </c>
      <c r="I1109">
        <v>1</v>
      </c>
      <c r="J1109">
        <v>1</v>
      </c>
      <c r="K1109" s="1">
        <v>41150</v>
      </c>
      <c r="L1109">
        <v>61</v>
      </c>
      <c r="M1109" t="str">
        <f t="shared" si="52"/>
        <v>Inactive</v>
      </c>
      <c r="N1109">
        <v>0</v>
      </c>
      <c r="O1109">
        <v>5</v>
      </c>
      <c r="P1109">
        <v>2</v>
      </c>
      <c r="Q1109">
        <v>3</v>
      </c>
      <c r="R1109">
        <v>3</v>
      </c>
      <c r="S1109">
        <v>0</v>
      </c>
      <c r="T1109">
        <v>5</v>
      </c>
      <c r="U1109">
        <v>18</v>
      </c>
      <c r="V1109">
        <v>1</v>
      </c>
      <c r="W1109">
        <v>1</v>
      </c>
      <c r="X1109">
        <v>0</v>
      </c>
      <c r="Y1109">
        <v>2</v>
      </c>
      <c r="Z1109">
        <v>3</v>
      </c>
      <c r="AA1109">
        <v>8</v>
      </c>
      <c r="AB1109" t="str">
        <f t="shared" si="53"/>
        <v>Below average customer</v>
      </c>
    </row>
    <row r="1110" spans="1:28" x14ac:dyDescent="0.35">
      <c r="A1110">
        <v>5031</v>
      </c>
      <c r="B1110">
        <v>1974</v>
      </c>
      <c r="C1110" t="s">
        <v>31</v>
      </c>
      <c r="D1110" t="s">
        <v>26</v>
      </c>
      <c r="E1110" t="s">
        <v>29</v>
      </c>
      <c r="F1110">
        <v>83145</v>
      </c>
      <c r="G1110" t="str">
        <f t="shared" si="51"/>
        <v>High</v>
      </c>
      <c r="H1110">
        <v>0</v>
      </c>
      <c r="I1110">
        <v>0</v>
      </c>
      <c r="J1110">
        <v>0</v>
      </c>
      <c r="K1110" s="1">
        <v>41174</v>
      </c>
      <c r="L1110">
        <v>14</v>
      </c>
      <c r="M1110" t="str">
        <f t="shared" si="52"/>
        <v>Active</v>
      </c>
      <c r="N1110">
        <v>0</v>
      </c>
      <c r="O1110">
        <v>777</v>
      </c>
      <c r="P1110">
        <v>35</v>
      </c>
      <c r="Q1110">
        <v>731</v>
      </c>
      <c r="R1110">
        <v>39</v>
      </c>
      <c r="S1110">
        <v>137</v>
      </c>
      <c r="T1110">
        <v>114</v>
      </c>
      <c r="U1110">
        <v>1833</v>
      </c>
      <c r="V1110">
        <v>1</v>
      </c>
      <c r="W1110">
        <v>5</v>
      </c>
      <c r="X1110">
        <v>9</v>
      </c>
      <c r="Y1110">
        <v>11</v>
      </c>
      <c r="Z1110">
        <v>25</v>
      </c>
      <c r="AA1110">
        <v>2</v>
      </c>
      <c r="AB1110" t="str">
        <f t="shared" si="53"/>
        <v>Above average customer</v>
      </c>
    </row>
    <row r="1111" spans="1:28" x14ac:dyDescent="0.35">
      <c r="A1111">
        <v>2613</v>
      </c>
      <c r="B1111">
        <v>1960</v>
      </c>
      <c r="C1111" t="s">
        <v>25</v>
      </c>
      <c r="D1111" t="s">
        <v>34</v>
      </c>
      <c r="E1111" t="s">
        <v>33</v>
      </c>
      <c r="F1111">
        <v>54197</v>
      </c>
      <c r="G1111" t="str">
        <f t="shared" si="51"/>
        <v>Mid-high</v>
      </c>
      <c r="H1111">
        <v>0</v>
      </c>
      <c r="I1111">
        <v>1</v>
      </c>
      <c r="J1111">
        <v>1</v>
      </c>
      <c r="K1111" s="1">
        <v>41732</v>
      </c>
      <c r="L1111">
        <v>16</v>
      </c>
      <c r="M1111" t="str">
        <f t="shared" si="52"/>
        <v>Active</v>
      </c>
      <c r="N1111">
        <v>0</v>
      </c>
      <c r="O1111">
        <v>162</v>
      </c>
      <c r="P1111">
        <v>6</v>
      </c>
      <c r="Q1111">
        <v>37</v>
      </c>
      <c r="R1111">
        <v>6</v>
      </c>
      <c r="S1111">
        <v>13</v>
      </c>
      <c r="T1111">
        <v>13</v>
      </c>
      <c r="U1111">
        <v>237</v>
      </c>
      <c r="V1111">
        <v>2</v>
      </c>
      <c r="W1111">
        <v>1</v>
      </c>
      <c r="X1111">
        <v>3</v>
      </c>
      <c r="Y1111">
        <v>6</v>
      </c>
      <c r="Z1111">
        <v>10</v>
      </c>
      <c r="AA1111">
        <v>1</v>
      </c>
      <c r="AB1111" t="str">
        <f t="shared" si="53"/>
        <v>Below average customer</v>
      </c>
    </row>
    <row r="1112" spans="1:28" x14ac:dyDescent="0.35">
      <c r="A1112">
        <v>213</v>
      </c>
      <c r="B1112">
        <v>1963</v>
      </c>
      <c r="C1112" t="s">
        <v>28</v>
      </c>
      <c r="D1112" t="s">
        <v>32</v>
      </c>
      <c r="E1112" t="s">
        <v>27</v>
      </c>
      <c r="F1112">
        <v>23091</v>
      </c>
      <c r="G1112" t="str">
        <f t="shared" si="51"/>
        <v>Low</v>
      </c>
      <c r="H1112">
        <v>1</v>
      </c>
      <c r="I1112">
        <v>1</v>
      </c>
      <c r="J1112">
        <v>2</v>
      </c>
      <c r="K1112" s="1">
        <v>41787</v>
      </c>
      <c r="L1112">
        <v>98</v>
      </c>
      <c r="M1112" t="str">
        <f t="shared" si="52"/>
        <v>Inactive</v>
      </c>
      <c r="N1112">
        <v>0</v>
      </c>
      <c r="O1112">
        <v>35</v>
      </c>
      <c r="P1112">
        <v>0</v>
      </c>
      <c r="Q1112">
        <v>11</v>
      </c>
      <c r="R1112">
        <v>0</v>
      </c>
      <c r="S1112">
        <v>0</v>
      </c>
      <c r="T1112">
        <v>2</v>
      </c>
      <c r="U1112">
        <v>48</v>
      </c>
      <c r="V1112">
        <v>4</v>
      </c>
      <c r="W1112">
        <v>2</v>
      </c>
      <c r="X1112">
        <v>1</v>
      </c>
      <c r="Y1112">
        <v>3</v>
      </c>
      <c r="Z1112">
        <v>6</v>
      </c>
      <c r="AA1112">
        <v>7</v>
      </c>
      <c r="AB1112" t="str">
        <f t="shared" si="53"/>
        <v>Below average customer</v>
      </c>
    </row>
    <row r="1113" spans="1:28" x14ac:dyDescent="0.35">
      <c r="A1113">
        <v>967</v>
      </c>
      <c r="B1113">
        <v>1976</v>
      </c>
      <c r="C1113" t="s">
        <v>31</v>
      </c>
      <c r="D1113" t="s">
        <v>26</v>
      </c>
      <c r="E1113" t="s">
        <v>33</v>
      </c>
      <c r="F1113">
        <v>46049</v>
      </c>
      <c r="G1113" t="str">
        <f t="shared" si="51"/>
        <v>Mid-low</v>
      </c>
      <c r="H1113">
        <v>1</v>
      </c>
      <c r="I1113">
        <v>1</v>
      </c>
      <c r="J1113">
        <v>2</v>
      </c>
      <c r="K1113" s="1">
        <v>41476</v>
      </c>
      <c r="L1113">
        <v>11</v>
      </c>
      <c r="M1113" t="str">
        <f t="shared" si="52"/>
        <v>Active</v>
      </c>
      <c r="N1113">
        <v>0</v>
      </c>
      <c r="O1113">
        <v>342</v>
      </c>
      <c r="P1113">
        <v>9</v>
      </c>
      <c r="Q1113">
        <v>112</v>
      </c>
      <c r="R1113">
        <v>19</v>
      </c>
      <c r="S1113">
        <v>14</v>
      </c>
      <c r="T1113">
        <v>19</v>
      </c>
      <c r="U1113">
        <v>515</v>
      </c>
      <c r="V1113">
        <v>10</v>
      </c>
      <c r="W1113">
        <v>5</v>
      </c>
      <c r="X1113">
        <v>2</v>
      </c>
      <c r="Y1113">
        <v>9</v>
      </c>
      <c r="Z1113">
        <v>16</v>
      </c>
      <c r="AA1113">
        <v>7</v>
      </c>
      <c r="AB1113" t="str">
        <f t="shared" si="53"/>
        <v>Below average customer</v>
      </c>
    </row>
    <row r="1114" spans="1:28" x14ac:dyDescent="0.35">
      <c r="A1114">
        <v>1077</v>
      </c>
      <c r="B1114">
        <v>1974</v>
      </c>
      <c r="C1114" t="s">
        <v>31</v>
      </c>
      <c r="D1114" t="s">
        <v>26</v>
      </c>
      <c r="E1114" t="s">
        <v>29</v>
      </c>
      <c r="F1114">
        <v>56715</v>
      </c>
      <c r="G1114" t="str">
        <f t="shared" si="51"/>
        <v>Mid-high</v>
      </c>
      <c r="H1114">
        <v>0</v>
      </c>
      <c r="I1114">
        <v>0</v>
      </c>
      <c r="J1114">
        <v>0</v>
      </c>
      <c r="K1114" s="1">
        <v>41248</v>
      </c>
      <c r="L1114">
        <v>52</v>
      </c>
      <c r="M1114" t="str">
        <f t="shared" si="52"/>
        <v>Inactive</v>
      </c>
      <c r="N1114">
        <v>0</v>
      </c>
      <c r="O1114">
        <v>258</v>
      </c>
      <c r="P1114">
        <v>105</v>
      </c>
      <c r="Q1114">
        <v>239</v>
      </c>
      <c r="R1114">
        <v>237</v>
      </c>
      <c r="S1114">
        <v>172</v>
      </c>
      <c r="T1114">
        <v>9</v>
      </c>
      <c r="U1114">
        <v>1020</v>
      </c>
      <c r="V1114">
        <v>1</v>
      </c>
      <c r="W1114">
        <v>7</v>
      </c>
      <c r="X1114">
        <v>3</v>
      </c>
      <c r="Y1114">
        <v>4</v>
      </c>
      <c r="Z1114">
        <v>14</v>
      </c>
      <c r="AA1114">
        <v>4</v>
      </c>
      <c r="AB1114" t="str">
        <f t="shared" si="53"/>
        <v>Below average customer</v>
      </c>
    </row>
    <row r="1115" spans="1:28" x14ac:dyDescent="0.35">
      <c r="A1115">
        <v>7959</v>
      </c>
      <c r="B1115">
        <v>1961</v>
      </c>
      <c r="C1115" t="s">
        <v>25</v>
      </c>
      <c r="D1115" t="s">
        <v>26</v>
      </c>
      <c r="E1115" t="s">
        <v>33</v>
      </c>
      <c r="F1115">
        <v>79410</v>
      </c>
      <c r="G1115" t="str">
        <f t="shared" si="51"/>
        <v>High</v>
      </c>
      <c r="H1115">
        <v>0</v>
      </c>
      <c r="I1115">
        <v>0</v>
      </c>
      <c r="J1115">
        <v>0</v>
      </c>
      <c r="K1115" s="1">
        <v>41788</v>
      </c>
      <c r="L1115">
        <v>19</v>
      </c>
      <c r="M1115" t="str">
        <f t="shared" si="52"/>
        <v>Active</v>
      </c>
      <c r="N1115">
        <v>0</v>
      </c>
      <c r="O1115">
        <v>658</v>
      </c>
      <c r="P1115">
        <v>80</v>
      </c>
      <c r="Q1115">
        <v>483</v>
      </c>
      <c r="R1115">
        <v>123</v>
      </c>
      <c r="S1115">
        <v>13</v>
      </c>
      <c r="T1115">
        <v>13</v>
      </c>
      <c r="U1115">
        <v>1370</v>
      </c>
      <c r="V1115">
        <v>1</v>
      </c>
      <c r="W1115">
        <v>3</v>
      </c>
      <c r="X1115">
        <v>2</v>
      </c>
      <c r="Y1115">
        <v>5</v>
      </c>
      <c r="Z1115">
        <v>10</v>
      </c>
      <c r="AA1115">
        <v>1</v>
      </c>
      <c r="AB1115" t="str">
        <f t="shared" si="53"/>
        <v>Below average customer</v>
      </c>
    </row>
    <row r="1116" spans="1:28" x14ac:dyDescent="0.35">
      <c r="A1116">
        <v>640</v>
      </c>
      <c r="B1116">
        <v>1951</v>
      </c>
      <c r="C1116" t="s">
        <v>36</v>
      </c>
      <c r="D1116" t="s">
        <v>26</v>
      </c>
      <c r="E1116" t="s">
        <v>33</v>
      </c>
      <c r="F1116">
        <v>57304</v>
      </c>
      <c r="G1116" t="str">
        <f t="shared" si="51"/>
        <v>Mid-high</v>
      </c>
      <c r="H1116">
        <v>0</v>
      </c>
      <c r="I1116">
        <v>1</v>
      </c>
      <c r="J1116">
        <v>1</v>
      </c>
      <c r="K1116" s="1">
        <v>41344</v>
      </c>
      <c r="L1116">
        <v>61</v>
      </c>
      <c r="M1116" t="str">
        <f t="shared" si="52"/>
        <v>Inactive</v>
      </c>
      <c r="N1116">
        <v>0</v>
      </c>
      <c r="O1116">
        <v>356</v>
      </c>
      <c r="P1116">
        <v>80</v>
      </c>
      <c r="Q1116">
        <v>329</v>
      </c>
      <c r="R1116">
        <v>138</v>
      </c>
      <c r="S1116">
        <v>17</v>
      </c>
      <c r="T1116">
        <v>106</v>
      </c>
      <c r="U1116">
        <v>1026</v>
      </c>
      <c r="V1116">
        <v>2</v>
      </c>
      <c r="W1116">
        <v>7</v>
      </c>
      <c r="X1116">
        <v>6</v>
      </c>
      <c r="Y1116">
        <v>10</v>
      </c>
      <c r="Z1116">
        <v>23</v>
      </c>
      <c r="AA1116">
        <v>5</v>
      </c>
      <c r="AB1116" t="str">
        <f t="shared" si="53"/>
        <v>Below average customer</v>
      </c>
    </row>
    <row r="1117" spans="1:28" x14ac:dyDescent="0.35">
      <c r="A1117">
        <v>4252</v>
      </c>
      <c r="B1117">
        <v>1965</v>
      </c>
      <c r="C1117" t="s">
        <v>28</v>
      </c>
      <c r="D1117" t="s">
        <v>26</v>
      </c>
      <c r="E1117" t="s">
        <v>33</v>
      </c>
      <c r="F1117">
        <v>44375</v>
      </c>
      <c r="G1117" t="str">
        <f t="shared" si="51"/>
        <v>Mid-low</v>
      </c>
      <c r="H1117">
        <v>0</v>
      </c>
      <c r="I1117">
        <v>1</v>
      </c>
      <c r="J1117">
        <v>1</v>
      </c>
      <c r="K1117" s="1">
        <v>41721</v>
      </c>
      <c r="L1117">
        <v>73</v>
      </c>
      <c r="M1117" t="str">
        <f t="shared" si="52"/>
        <v>Inactive</v>
      </c>
      <c r="N1117">
        <v>0</v>
      </c>
      <c r="O1117">
        <v>213</v>
      </c>
      <c r="P1117">
        <v>5</v>
      </c>
      <c r="Q1117">
        <v>28</v>
      </c>
      <c r="R1117">
        <v>7</v>
      </c>
      <c r="S1117">
        <v>7</v>
      </c>
      <c r="T1117">
        <v>41</v>
      </c>
      <c r="U1117">
        <v>301</v>
      </c>
      <c r="V1117">
        <v>1</v>
      </c>
      <c r="W1117">
        <v>4</v>
      </c>
      <c r="X1117">
        <v>1</v>
      </c>
      <c r="Y1117">
        <v>6</v>
      </c>
      <c r="Z1117">
        <v>11</v>
      </c>
      <c r="AA1117">
        <v>5</v>
      </c>
      <c r="AB1117" t="str">
        <f t="shared" si="53"/>
        <v>Below average customer</v>
      </c>
    </row>
    <row r="1118" spans="1:28" x14ac:dyDescent="0.35">
      <c r="A1118">
        <v>6218</v>
      </c>
      <c r="B1118">
        <v>1965</v>
      </c>
      <c r="C1118" t="s">
        <v>28</v>
      </c>
      <c r="D1118" t="s">
        <v>26</v>
      </c>
      <c r="E1118" t="s">
        <v>33</v>
      </c>
      <c r="F1118">
        <v>59594</v>
      </c>
      <c r="G1118" t="str">
        <f t="shared" si="51"/>
        <v>Mid-high</v>
      </c>
      <c r="H1118">
        <v>0</v>
      </c>
      <c r="I1118">
        <v>1</v>
      </c>
      <c r="J1118">
        <v>1</v>
      </c>
      <c r="K1118" s="1">
        <v>41202</v>
      </c>
      <c r="L1118">
        <v>74</v>
      </c>
      <c r="M1118" t="str">
        <f t="shared" si="52"/>
        <v>Inactive</v>
      </c>
      <c r="N1118">
        <v>0</v>
      </c>
      <c r="O1118">
        <v>457</v>
      </c>
      <c r="P1118">
        <v>4</v>
      </c>
      <c r="Q1118">
        <v>29</v>
      </c>
      <c r="R1118">
        <v>0</v>
      </c>
      <c r="S1118">
        <v>0</v>
      </c>
      <c r="T1118">
        <v>9</v>
      </c>
      <c r="U1118">
        <v>499</v>
      </c>
      <c r="V1118">
        <v>1</v>
      </c>
      <c r="W1118">
        <v>8</v>
      </c>
      <c r="X1118">
        <v>1</v>
      </c>
      <c r="Y1118">
        <v>7</v>
      </c>
      <c r="Z1118">
        <v>16</v>
      </c>
      <c r="AA1118">
        <v>7</v>
      </c>
      <c r="AB1118" t="str">
        <f t="shared" si="53"/>
        <v>Below average customer</v>
      </c>
    </row>
    <row r="1119" spans="1:28" x14ac:dyDescent="0.35">
      <c r="A1119">
        <v>6905</v>
      </c>
      <c r="B1119">
        <v>1994</v>
      </c>
      <c r="C1119" t="s">
        <v>30</v>
      </c>
      <c r="D1119" t="s">
        <v>26</v>
      </c>
      <c r="E1119" t="s">
        <v>29</v>
      </c>
      <c r="F1119">
        <v>80685</v>
      </c>
      <c r="G1119" t="str">
        <f t="shared" si="51"/>
        <v>High</v>
      </c>
      <c r="H1119">
        <v>0</v>
      </c>
      <c r="I1119">
        <v>0</v>
      </c>
      <c r="J1119">
        <v>0</v>
      </c>
      <c r="K1119" s="1">
        <v>41143</v>
      </c>
      <c r="L1119">
        <v>55</v>
      </c>
      <c r="M1119" t="str">
        <f t="shared" si="52"/>
        <v>Inactive</v>
      </c>
      <c r="N1119">
        <v>0</v>
      </c>
      <c r="O1119">
        <v>241</v>
      </c>
      <c r="P1119">
        <v>45</v>
      </c>
      <c r="Q1119">
        <v>604</v>
      </c>
      <c r="R1119">
        <v>34</v>
      </c>
      <c r="S1119">
        <v>26</v>
      </c>
      <c r="T1119">
        <v>54</v>
      </c>
      <c r="U1119">
        <v>1004</v>
      </c>
      <c r="V1119">
        <v>1</v>
      </c>
      <c r="W1119">
        <v>6</v>
      </c>
      <c r="X1119">
        <v>4</v>
      </c>
      <c r="Y1119">
        <v>10</v>
      </c>
      <c r="Z1119">
        <v>20</v>
      </c>
      <c r="AA1119">
        <v>2</v>
      </c>
      <c r="AB1119" t="str">
        <f t="shared" si="53"/>
        <v>Below average customer</v>
      </c>
    </row>
    <row r="1120" spans="1:28" x14ac:dyDescent="0.35">
      <c r="A1120">
        <v>5922</v>
      </c>
      <c r="B1120">
        <v>1974</v>
      </c>
      <c r="C1120" t="s">
        <v>31</v>
      </c>
      <c r="D1120" t="s">
        <v>32</v>
      </c>
      <c r="E1120" t="s">
        <v>33</v>
      </c>
      <c r="F1120">
        <v>40344</v>
      </c>
      <c r="G1120" t="str">
        <f t="shared" si="51"/>
        <v>Mid-low</v>
      </c>
      <c r="H1120">
        <v>0</v>
      </c>
      <c r="I1120">
        <v>1</v>
      </c>
      <c r="J1120">
        <v>1</v>
      </c>
      <c r="K1120" s="1">
        <v>41560</v>
      </c>
      <c r="L1120">
        <v>48</v>
      </c>
      <c r="M1120" t="str">
        <f t="shared" si="52"/>
        <v>Active</v>
      </c>
      <c r="N1120">
        <v>0</v>
      </c>
      <c r="O1120">
        <v>210</v>
      </c>
      <c r="P1120">
        <v>0</v>
      </c>
      <c r="Q1120">
        <v>6</v>
      </c>
      <c r="R1120">
        <v>0</v>
      </c>
      <c r="S1120">
        <v>0</v>
      </c>
      <c r="T1120">
        <v>2</v>
      </c>
      <c r="U1120">
        <v>218</v>
      </c>
      <c r="V1120">
        <v>2</v>
      </c>
      <c r="W1120">
        <v>4</v>
      </c>
      <c r="X1120">
        <v>1</v>
      </c>
      <c r="Y1120">
        <v>5</v>
      </c>
      <c r="Z1120">
        <v>10</v>
      </c>
      <c r="AA1120">
        <v>7</v>
      </c>
      <c r="AB1120" t="str">
        <f t="shared" si="53"/>
        <v>Below average customer</v>
      </c>
    </row>
    <row r="1121" spans="1:28" x14ac:dyDescent="0.35">
      <c r="A1121">
        <v>3598</v>
      </c>
      <c r="B1121">
        <v>1972</v>
      </c>
      <c r="C1121" t="s">
        <v>28</v>
      </c>
      <c r="D1121" t="s">
        <v>26</v>
      </c>
      <c r="E1121" t="s">
        <v>33</v>
      </c>
      <c r="F1121">
        <v>62710</v>
      </c>
      <c r="G1121" t="str">
        <f t="shared" si="51"/>
        <v>Mid-high</v>
      </c>
      <c r="H1121">
        <v>0</v>
      </c>
      <c r="I1121">
        <v>1</v>
      </c>
      <c r="J1121">
        <v>1</v>
      </c>
      <c r="K1121" s="1">
        <v>41417</v>
      </c>
      <c r="L1121">
        <v>53</v>
      </c>
      <c r="M1121" t="str">
        <f t="shared" si="52"/>
        <v>Inactive</v>
      </c>
      <c r="N1121">
        <v>0</v>
      </c>
      <c r="O1121">
        <v>441</v>
      </c>
      <c r="P1121">
        <v>35</v>
      </c>
      <c r="Q1121">
        <v>83</v>
      </c>
      <c r="R1121">
        <v>7</v>
      </c>
      <c r="S1121">
        <v>29</v>
      </c>
      <c r="T1121">
        <v>11</v>
      </c>
      <c r="U1121">
        <v>606</v>
      </c>
      <c r="V1121">
        <v>4</v>
      </c>
      <c r="W1121">
        <v>4</v>
      </c>
      <c r="X1121">
        <v>2</v>
      </c>
      <c r="Y1121">
        <v>12</v>
      </c>
      <c r="Z1121">
        <v>18</v>
      </c>
      <c r="AA1121">
        <v>4</v>
      </c>
      <c r="AB1121" t="str">
        <f t="shared" si="53"/>
        <v>Below average customer</v>
      </c>
    </row>
    <row r="1122" spans="1:28" x14ac:dyDescent="0.35">
      <c r="A1122">
        <v>6116</v>
      </c>
      <c r="B1122">
        <v>1968</v>
      </c>
      <c r="C1122" t="s">
        <v>28</v>
      </c>
      <c r="D1122" t="s">
        <v>34</v>
      </c>
      <c r="E1122" t="s">
        <v>33</v>
      </c>
      <c r="F1122">
        <v>48985</v>
      </c>
      <c r="G1122" t="str">
        <f t="shared" si="51"/>
        <v>Mid-low</v>
      </c>
      <c r="H1122">
        <v>0</v>
      </c>
      <c r="I1122">
        <v>1</v>
      </c>
      <c r="J1122">
        <v>1</v>
      </c>
      <c r="K1122" s="1">
        <v>41460</v>
      </c>
      <c r="L1122">
        <v>13</v>
      </c>
      <c r="M1122" t="str">
        <f t="shared" si="52"/>
        <v>Active</v>
      </c>
      <c r="N1122">
        <v>0</v>
      </c>
      <c r="O1122">
        <v>19</v>
      </c>
      <c r="P1122">
        <v>13</v>
      </c>
      <c r="Q1122">
        <v>18</v>
      </c>
      <c r="R1122">
        <v>10</v>
      </c>
      <c r="S1122">
        <v>7</v>
      </c>
      <c r="T1122">
        <v>8</v>
      </c>
      <c r="U1122">
        <v>75</v>
      </c>
      <c r="V1122">
        <v>1</v>
      </c>
      <c r="W1122">
        <v>1</v>
      </c>
      <c r="X1122">
        <v>1</v>
      </c>
      <c r="Y1122">
        <v>3</v>
      </c>
      <c r="Z1122">
        <v>5</v>
      </c>
      <c r="AA1122">
        <v>3</v>
      </c>
      <c r="AB1122" t="str">
        <f t="shared" si="53"/>
        <v>Below average customer</v>
      </c>
    </row>
    <row r="1123" spans="1:28" x14ac:dyDescent="0.35">
      <c r="A1123">
        <v>6263</v>
      </c>
      <c r="B1123">
        <v>1968</v>
      </c>
      <c r="C1123" t="s">
        <v>28</v>
      </c>
      <c r="D1123" t="s">
        <v>26</v>
      </c>
      <c r="E1123" t="s">
        <v>29</v>
      </c>
      <c r="F1123">
        <v>35322</v>
      </c>
      <c r="G1123" t="str">
        <f t="shared" si="51"/>
        <v>Low</v>
      </c>
      <c r="H1123">
        <v>1</v>
      </c>
      <c r="I1123">
        <v>2</v>
      </c>
      <c r="J1123">
        <v>3</v>
      </c>
      <c r="K1123" s="1">
        <v>41143</v>
      </c>
      <c r="L1123">
        <v>34</v>
      </c>
      <c r="M1123" t="str">
        <f t="shared" si="52"/>
        <v>Active</v>
      </c>
      <c r="N1123">
        <v>0</v>
      </c>
      <c r="O1123">
        <v>28</v>
      </c>
      <c r="P1123">
        <v>9</v>
      </c>
      <c r="Q1123">
        <v>37</v>
      </c>
      <c r="R1123">
        <v>12</v>
      </c>
      <c r="S1123">
        <v>7</v>
      </c>
      <c r="T1123">
        <v>13</v>
      </c>
      <c r="U1123">
        <v>106</v>
      </c>
      <c r="V1123">
        <v>3</v>
      </c>
      <c r="W1123">
        <v>2</v>
      </c>
      <c r="X1123">
        <v>0</v>
      </c>
      <c r="Y1123">
        <v>4</v>
      </c>
      <c r="Z1123">
        <v>6</v>
      </c>
      <c r="AA1123">
        <v>8</v>
      </c>
      <c r="AB1123" t="str">
        <f t="shared" si="53"/>
        <v>Below average customer</v>
      </c>
    </row>
    <row r="1124" spans="1:28" x14ac:dyDescent="0.35">
      <c r="A1124">
        <v>10486</v>
      </c>
      <c r="B1124">
        <v>1948</v>
      </c>
      <c r="C1124" t="s">
        <v>36</v>
      </c>
      <c r="D1124" t="s">
        <v>26</v>
      </c>
      <c r="E1124" t="s">
        <v>33</v>
      </c>
      <c r="F1124">
        <v>77142</v>
      </c>
      <c r="G1124" t="str">
        <f t="shared" si="51"/>
        <v>High</v>
      </c>
      <c r="H1124">
        <v>0</v>
      </c>
      <c r="I1124">
        <v>0</v>
      </c>
      <c r="J1124">
        <v>0</v>
      </c>
      <c r="K1124" s="1">
        <v>41423</v>
      </c>
      <c r="L1124">
        <v>54</v>
      </c>
      <c r="M1124" t="str">
        <f t="shared" si="52"/>
        <v>Inactive</v>
      </c>
      <c r="N1124">
        <v>0</v>
      </c>
      <c r="O1124">
        <v>476</v>
      </c>
      <c r="P1124">
        <v>75</v>
      </c>
      <c r="Q1124">
        <v>162</v>
      </c>
      <c r="R1124">
        <v>29</v>
      </c>
      <c r="S1124">
        <v>151</v>
      </c>
      <c r="T1124">
        <v>97</v>
      </c>
      <c r="U1124">
        <v>990</v>
      </c>
      <c r="V1124">
        <v>1</v>
      </c>
      <c r="W1124">
        <v>4</v>
      </c>
      <c r="X1124">
        <v>4</v>
      </c>
      <c r="Y1124">
        <v>8</v>
      </c>
      <c r="Z1124">
        <v>16</v>
      </c>
      <c r="AA1124">
        <v>2</v>
      </c>
      <c r="AB1124" t="str">
        <f t="shared" si="53"/>
        <v>Below average customer</v>
      </c>
    </row>
    <row r="1125" spans="1:28" x14ac:dyDescent="0.35">
      <c r="A1125">
        <v>2410</v>
      </c>
      <c r="B1125">
        <v>1969</v>
      </c>
      <c r="C1125" t="s">
        <v>28</v>
      </c>
      <c r="D1125" t="s">
        <v>26</v>
      </c>
      <c r="E1125" t="s">
        <v>27</v>
      </c>
      <c r="F1125">
        <v>81657</v>
      </c>
      <c r="G1125" t="str">
        <f t="shared" si="51"/>
        <v>High</v>
      </c>
      <c r="H1125">
        <v>0</v>
      </c>
      <c r="I1125">
        <v>0</v>
      </c>
      <c r="J1125">
        <v>0</v>
      </c>
      <c r="K1125" s="1">
        <v>41661</v>
      </c>
      <c r="L1125">
        <v>69</v>
      </c>
      <c r="M1125" t="str">
        <f t="shared" si="52"/>
        <v>Inactive</v>
      </c>
      <c r="N1125">
        <v>0</v>
      </c>
      <c r="O1125">
        <v>364</v>
      </c>
      <c r="P1125">
        <v>40</v>
      </c>
      <c r="Q1125">
        <v>425</v>
      </c>
      <c r="R1125">
        <v>158</v>
      </c>
      <c r="S1125">
        <v>60</v>
      </c>
      <c r="T1125">
        <v>50</v>
      </c>
      <c r="U1125">
        <v>1097</v>
      </c>
      <c r="V1125">
        <v>1</v>
      </c>
      <c r="W1125">
        <v>3</v>
      </c>
      <c r="X1125">
        <v>4</v>
      </c>
      <c r="Y1125">
        <v>8</v>
      </c>
      <c r="Z1125">
        <v>15</v>
      </c>
      <c r="AA1125">
        <v>1</v>
      </c>
      <c r="AB1125" t="str">
        <f t="shared" si="53"/>
        <v>Below average customer</v>
      </c>
    </row>
    <row r="1126" spans="1:28" x14ac:dyDescent="0.35">
      <c r="A1126">
        <v>193</v>
      </c>
      <c r="B1126">
        <v>1996</v>
      </c>
      <c r="C1126" t="s">
        <v>30</v>
      </c>
      <c r="D1126" t="s">
        <v>37</v>
      </c>
      <c r="E1126" t="s">
        <v>33</v>
      </c>
      <c r="F1126">
        <v>14421</v>
      </c>
      <c r="G1126" t="str">
        <f t="shared" si="51"/>
        <v>Low</v>
      </c>
      <c r="H1126">
        <v>0</v>
      </c>
      <c r="I1126">
        <v>0</v>
      </c>
      <c r="J1126">
        <v>0</v>
      </c>
      <c r="K1126" s="1">
        <v>41687</v>
      </c>
      <c r="L1126">
        <v>81</v>
      </c>
      <c r="M1126" t="str">
        <f t="shared" si="52"/>
        <v>Inactive</v>
      </c>
      <c r="N1126">
        <v>0</v>
      </c>
      <c r="O1126">
        <v>0</v>
      </c>
      <c r="P1126">
        <v>0</v>
      </c>
      <c r="Q1126">
        <v>2</v>
      </c>
      <c r="R1126">
        <v>3</v>
      </c>
      <c r="S1126">
        <v>3</v>
      </c>
      <c r="T1126">
        <v>8</v>
      </c>
      <c r="U1126">
        <v>16</v>
      </c>
      <c r="V1126">
        <v>1</v>
      </c>
      <c r="W1126">
        <v>1</v>
      </c>
      <c r="X1126">
        <v>0</v>
      </c>
      <c r="Y1126">
        <v>2</v>
      </c>
      <c r="Z1126">
        <v>3</v>
      </c>
      <c r="AA1126">
        <v>5</v>
      </c>
      <c r="AB1126" t="str">
        <f t="shared" si="53"/>
        <v>Below average customer</v>
      </c>
    </row>
    <row r="1127" spans="1:28" x14ac:dyDescent="0.35">
      <c r="A1127">
        <v>8278</v>
      </c>
      <c r="B1127">
        <v>1990</v>
      </c>
      <c r="C1127" t="s">
        <v>30</v>
      </c>
      <c r="D1127" t="s">
        <v>32</v>
      </c>
      <c r="E1127" t="s">
        <v>33</v>
      </c>
      <c r="F1127">
        <v>74214</v>
      </c>
      <c r="G1127" t="str">
        <f t="shared" si="51"/>
        <v>High</v>
      </c>
      <c r="H1127">
        <v>0</v>
      </c>
      <c r="I1127">
        <v>0</v>
      </c>
      <c r="J1127">
        <v>0</v>
      </c>
      <c r="K1127" s="1">
        <v>41147</v>
      </c>
      <c r="L1127">
        <v>3</v>
      </c>
      <c r="M1127" t="str">
        <f t="shared" si="52"/>
        <v>Active</v>
      </c>
      <c r="N1127">
        <v>0</v>
      </c>
      <c r="O1127">
        <v>863</v>
      </c>
      <c r="P1127">
        <v>83</v>
      </c>
      <c r="Q1127">
        <v>547</v>
      </c>
      <c r="R1127">
        <v>86</v>
      </c>
      <c r="S1127">
        <v>99</v>
      </c>
      <c r="T1127">
        <v>33</v>
      </c>
      <c r="U1127">
        <v>1711</v>
      </c>
      <c r="V1127">
        <v>1</v>
      </c>
      <c r="W1127">
        <v>8</v>
      </c>
      <c r="X1127">
        <v>2</v>
      </c>
      <c r="Y1127">
        <v>5</v>
      </c>
      <c r="Z1127">
        <v>15</v>
      </c>
      <c r="AA1127">
        <v>5</v>
      </c>
      <c r="AB1127" t="str">
        <f t="shared" si="53"/>
        <v>Above average customer</v>
      </c>
    </row>
    <row r="1128" spans="1:28" x14ac:dyDescent="0.35">
      <c r="A1128">
        <v>10660</v>
      </c>
      <c r="B1128">
        <v>1957</v>
      </c>
      <c r="C1128" t="s">
        <v>25</v>
      </c>
      <c r="D1128" t="s">
        <v>34</v>
      </c>
      <c r="E1128" t="s">
        <v>33</v>
      </c>
      <c r="F1128">
        <v>66726</v>
      </c>
      <c r="G1128" t="str">
        <f t="shared" si="51"/>
        <v>Mid-high</v>
      </c>
      <c r="H1128">
        <v>1</v>
      </c>
      <c r="I1128">
        <v>1</v>
      </c>
      <c r="J1128">
        <v>2</v>
      </c>
      <c r="K1128" s="1">
        <v>41651</v>
      </c>
      <c r="L1128">
        <v>61</v>
      </c>
      <c r="M1128" t="str">
        <f t="shared" si="52"/>
        <v>Inactive</v>
      </c>
      <c r="N1128">
        <v>0</v>
      </c>
      <c r="O1128">
        <v>349</v>
      </c>
      <c r="P1128">
        <v>7</v>
      </c>
      <c r="Q1128">
        <v>35</v>
      </c>
      <c r="R1128">
        <v>0</v>
      </c>
      <c r="S1128">
        <v>0</v>
      </c>
      <c r="T1128">
        <v>47</v>
      </c>
      <c r="U1128">
        <v>438</v>
      </c>
      <c r="V1128">
        <v>3</v>
      </c>
      <c r="W1128">
        <v>8</v>
      </c>
      <c r="X1128">
        <v>2</v>
      </c>
      <c r="Y1128">
        <v>4</v>
      </c>
      <c r="Z1128">
        <v>14</v>
      </c>
      <c r="AA1128">
        <v>7</v>
      </c>
      <c r="AB1128" t="str">
        <f t="shared" si="53"/>
        <v>Below average customer</v>
      </c>
    </row>
    <row r="1129" spans="1:28" x14ac:dyDescent="0.35">
      <c r="A1129">
        <v>8686</v>
      </c>
      <c r="B1129">
        <v>1979</v>
      </c>
      <c r="C1129" t="s">
        <v>31</v>
      </c>
      <c r="D1129" t="s">
        <v>37</v>
      </c>
      <c r="E1129" t="s">
        <v>29</v>
      </c>
      <c r="F1129">
        <v>23724</v>
      </c>
      <c r="G1129" t="str">
        <f t="shared" si="51"/>
        <v>Low</v>
      </c>
      <c r="H1129">
        <v>1</v>
      </c>
      <c r="I1129">
        <v>0</v>
      </c>
      <c r="J1129">
        <v>1</v>
      </c>
      <c r="K1129" s="1">
        <v>41282</v>
      </c>
      <c r="L1129">
        <v>65</v>
      </c>
      <c r="M1129" t="str">
        <f t="shared" si="52"/>
        <v>Inactive</v>
      </c>
      <c r="N1129">
        <v>0</v>
      </c>
      <c r="O1129">
        <v>5</v>
      </c>
      <c r="P1129">
        <v>23</v>
      </c>
      <c r="Q1129">
        <v>15</v>
      </c>
      <c r="R1129">
        <v>0</v>
      </c>
      <c r="S1129">
        <v>18</v>
      </c>
      <c r="T1129">
        <v>14</v>
      </c>
      <c r="U1129">
        <v>75</v>
      </c>
      <c r="V1129">
        <v>2</v>
      </c>
      <c r="W1129">
        <v>2</v>
      </c>
      <c r="X1129">
        <v>0</v>
      </c>
      <c r="Y1129">
        <v>3</v>
      </c>
      <c r="Z1129">
        <v>5</v>
      </c>
      <c r="AA1129">
        <v>8</v>
      </c>
      <c r="AB1129" t="str">
        <f t="shared" si="53"/>
        <v>Below average customer</v>
      </c>
    </row>
    <row r="1130" spans="1:28" x14ac:dyDescent="0.35">
      <c r="A1130">
        <v>1604</v>
      </c>
      <c r="B1130">
        <v>1960</v>
      </c>
      <c r="C1130" t="s">
        <v>25</v>
      </c>
      <c r="D1130" t="s">
        <v>34</v>
      </c>
      <c r="E1130" t="s">
        <v>33</v>
      </c>
      <c r="F1130">
        <v>47353</v>
      </c>
      <c r="G1130" t="str">
        <f t="shared" si="51"/>
        <v>Mid-low</v>
      </c>
      <c r="H1130">
        <v>0</v>
      </c>
      <c r="I1130">
        <v>1</v>
      </c>
      <c r="J1130">
        <v>1</v>
      </c>
      <c r="K1130" s="1">
        <v>41591</v>
      </c>
      <c r="L1130">
        <v>93</v>
      </c>
      <c r="M1130" t="str">
        <f t="shared" si="52"/>
        <v>Inactive</v>
      </c>
      <c r="N1130">
        <v>0</v>
      </c>
      <c r="O1130">
        <v>184</v>
      </c>
      <c r="P1130">
        <v>2</v>
      </c>
      <c r="Q1130">
        <v>19</v>
      </c>
      <c r="R1130">
        <v>8</v>
      </c>
      <c r="S1130">
        <v>8</v>
      </c>
      <c r="T1130">
        <v>4</v>
      </c>
      <c r="U1130">
        <v>225</v>
      </c>
      <c r="V1130">
        <v>3</v>
      </c>
      <c r="W1130">
        <v>2</v>
      </c>
      <c r="X1130">
        <v>2</v>
      </c>
      <c r="Y1130">
        <v>6</v>
      </c>
      <c r="Z1130">
        <v>10</v>
      </c>
      <c r="AA1130">
        <v>5</v>
      </c>
      <c r="AB1130" t="str">
        <f t="shared" si="53"/>
        <v>Below average customer</v>
      </c>
    </row>
    <row r="1131" spans="1:28" x14ac:dyDescent="0.35">
      <c r="A1131">
        <v>5907</v>
      </c>
      <c r="B1131">
        <v>1952</v>
      </c>
      <c r="C1131" t="s">
        <v>36</v>
      </c>
      <c r="D1131" t="s">
        <v>34</v>
      </c>
      <c r="E1131" t="s">
        <v>33</v>
      </c>
      <c r="F1131">
        <v>33444</v>
      </c>
      <c r="G1131" t="str">
        <f t="shared" si="51"/>
        <v>Low</v>
      </c>
      <c r="H1131">
        <v>1</v>
      </c>
      <c r="I1131">
        <v>1</v>
      </c>
      <c r="J1131">
        <v>2</v>
      </c>
      <c r="K1131" s="1">
        <v>41216</v>
      </c>
      <c r="L1131">
        <v>24</v>
      </c>
      <c r="M1131" t="str">
        <f t="shared" si="52"/>
        <v>Active</v>
      </c>
      <c r="N1131">
        <v>0</v>
      </c>
      <c r="O1131">
        <v>8</v>
      </c>
      <c r="P1131">
        <v>0</v>
      </c>
      <c r="Q1131">
        <v>8</v>
      </c>
      <c r="R1131">
        <v>0</v>
      </c>
      <c r="S1131">
        <v>0</v>
      </c>
      <c r="T1131">
        <v>2</v>
      </c>
      <c r="U1131">
        <v>18</v>
      </c>
      <c r="V1131">
        <v>1</v>
      </c>
      <c r="W1131">
        <v>1</v>
      </c>
      <c r="X1131">
        <v>0</v>
      </c>
      <c r="Y1131">
        <v>2</v>
      </c>
      <c r="Z1131">
        <v>3</v>
      </c>
      <c r="AA1131">
        <v>8</v>
      </c>
      <c r="AB1131" t="str">
        <f t="shared" si="53"/>
        <v>Below average customer</v>
      </c>
    </row>
    <row r="1132" spans="1:28" x14ac:dyDescent="0.35">
      <c r="A1132">
        <v>10669</v>
      </c>
      <c r="B1132">
        <v>1981</v>
      </c>
      <c r="C1132" t="s">
        <v>31</v>
      </c>
      <c r="D1132" t="s">
        <v>26</v>
      </c>
      <c r="E1132" t="s">
        <v>33</v>
      </c>
      <c r="F1132">
        <v>54386</v>
      </c>
      <c r="G1132" t="str">
        <f t="shared" si="51"/>
        <v>Mid-high</v>
      </c>
      <c r="H1132">
        <v>0</v>
      </c>
      <c r="I1132">
        <v>1</v>
      </c>
      <c r="J1132">
        <v>1</v>
      </c>
      <c r="K1132" s="1">
        <v>41411</v>
      </c>
      <c r="L1132">
        <v>8</v>
      </c>
      <c r="M1132" t="str">
        <f t="shared" si="52"/>
        <v>Active</v>
      </c>
      <c r="N1132">
        <v>0</v>
      </c>
      <c r="O1132">
        <v>277</v>
      </c>
      <c r="P1132">
        <v>21</v>
      </c>
      <c r="Q1132">
        <v>64</v>
      </c>
      <c r="R1132">
        <v>62</v>
      </c>
      <c r="S1132">
        <v>21</v>
      </c>
      <c r="T1132">
        <v>25</v>
      </c>
      <c r="U1132">
        <v>470</v>
      </c>
      <c r="V1132">
        <v>2</v>
      </c>
      <c r="W1132">
        <v>3</v>
      </c>
      <c r="X1132">
        <v>2</v>
      </c>
      <c r="Y1132">
        <v>10</v>
      </c>
      <c r="Z1132">
        <v>15</v>
      </c>
      <c r="AA1132">
        <v>3</v>
      </c>
      <c r="AB1132" t="str">
        <f t="shared" si="53"/>
        <v>Below average customer</v>
      </c>
    </row>
    <row r="1133" spans="1:28" x14ac:dyDescent="0.35">
      <c r="A1133">
        <v>2918</v>
      </c>
      <c r="B1133">
        <v>1981</v>
      </c>
      <c r="C1133" t="s">
        <v>31</v>
      </c>
      <c r="D1133" t="s">
        <v>26</v>
      </c>
      <c r="E1133" t="s">
        <v>35</v>
      </c>
      <c r="F1133">
        <v>28510</v>
      </c>
      <c r="G1133" t="str">
        <f t="shared" si="51"/>
        <v>Low</v>
      </c>
      <c r="H1133">
        <v>1</v>
      </c>
      <c r="I1133">
        <v>1</v>
      </c>
      <c r="J1133">
        <v>2</v>
      </c>
      <c r="K1133" s="1">
        <v>41377</v>
      </c>
      <c r="L1133">
        <v>72</v>
      </c>
      <c r="M1133" t="str">
        <f t="shared" si="52"/>
        <v>Inactive</v>
      </c>
      <c r="N1133">
        <v>0</v>
      </c>
      <c r="O1133">
        <v>44</v>
      </c>
      <c r="P1133">
        <v>5</v>
      </c>
      <c r="Q1133">
        <v>19</v>
      </c>
      <c r="R1133">
        <v>0</v>
      </c>
      <c r="S1133">
        <v>4</v>
      </c>
      <c r="T1133">
        <v>19</v>
      </c>
      <c r="U1133">
        <v>91</v>
      </c>
      <c r="V1133">
        <v>3</v>
      </c>
      <c r="W1133">
        <v>2</v>
      </c>
      <c r="X1133">
        <v>0</v>
      </c>
      <c r="Y1133">
        <v>4</v>
      </c>
      <c r="Z1133">
        <v>6</v>
      </c>
      <c r="AA1133">
        <v>5</v>
      </c>
      <c r="AB1133" t="str">
        <f t="shared" si="53"/>
        <v>Below average customer</v>
      </c>
    </row>
    <row r="1134" spans="1:28" x14ac:dyDescent="0.35">
      <c r="A1134">
        <v>5735</v>
      </c>
      <c r="B1134">
        <v>1991</v>
      </c>
      <c r="C1134" t="s">
        <v>30</v>
      </c>
      <c r="D1134" t="s">
        <v>34</v>
      </c>
      <c r="E1134" t="s">
        <v>27</v>
      </c>
      <c r="F1134">
        <v>90638</v>
      </c>
      <c r="G1134" t="str">
        <f t="shared" si="51"/>
        <v>High</v>
      </c>
      <c r="H1134">
        <v>0</v>
      </c>
      <c r="I1134">
        <v>0</v>
      </c>
      <c r="J1134">
        <v>0</v>
      </c>
      <c r="K1134" s="1">
        <v>41683</v>
      </c>
      <c r="L1134">
        <v>29</v>
      </c>
      <c r="M1134" t="str">
        <f t="shared" si="52"/>
        <v>Active</v>
      </c>
      <c r="N1134">
        <v>0</v>
      </c>
      <c r="O1134">
        <v>1156</v>
      </c>
      <c r="P1134">
        <v>120</v>
      </c>
      <c r="Q1134">
        <v>915</v>
      </c>
      <c r="R1134">
        <v>94</v>
      </c>
      <c r="S1134">
        <v>144</v>
      </c>
      <c r="T1134">
        <v>96</v>
      </c>
      <c r="U1134">
        <v>2525</v>
      </c>
      <c r="V1134">
        <v>1</v>
      </c>
      <c r="W1134">
        <v>3</v>
      </c>
      <c r="X1134">
        <v>4</v>
      </c>
      <c r="Y1134">
        <v>10</v>
      </c>
      <c r="Z1134">
        <v>17</v>
      </c>
      <c r="AA1134">
        <v>1</v>
      </c>
      <c r="AB1134" t="str">
        <f t="shared" si="53"/>
        <v>Above average customer</v>
      </c>
    </row>
    <row r="1135" spans="1:28" x14ac:dyDescent="0.35">
      <c r="A1135">
        <v>359</v>
      </c>
      <c r="B1135">
        <v>1950</v>
      </c>
      <c r="C1135" t="s">
        <v>36</v>
      </c>
      <c r="D1135" t="s">
        <v>26</v>
      </c>
      <c r="E1135" t="s">
        <v>29</v>
      </c>
      <c r="F1135">
        <v>48070</v>
      </c>
      <c r="G1135" t="str">
        <f t="shared" si="51"/>
        <v>Mid-low</v>
      </c>
      <c r="H1135">
        <v>0</v>
      </c>
      <c r="I1135">
        <v>1</v>
      </c>
      <c r="J1135">
        <v>1</v>
      </c>
      <c r="K1135" s="1">
        <v>41287</v>
      </c>
      <c r="L1135">
        <v>33</v>
      </c>
      <c r="M1135" t="str">
        <f t="shared" si="52"/>
        <v>Active</v>
      </c>
      <c r="N1135">
        <v>1</v>
      </c>
      <c r="O1135">
        <v>373</v>
      </c>
      <c r="P1135">
        <v>14</v>
      </c>
      <c r="Q1135">
        <v>83</v>
      </c>
      <c r="R1135">
        <v>6</v>
      </c>
      <c r="S1135">
        <v>9</v>
      </c>
      <c r="T1135">
        <v>19</v>
      </c>
      <c r="U1135">
        <v>504</v>
      </c>
      <c r="V1135">
        <v>3</v>
      </c>
      <c r="W1135">
        <v>8</v>
      </c>
      <c r="X1135">
        <v>2</v>
      </c>
      <c r="Y1135">
        <v>6</v>
      </c>
      <c r="Z1135">
        <v>16</v>
      </c>
      <c r="AA1135">
        <v>7</v>
      </c>
      <c r="AB1135" t="str">
        <f t="shared" si="53"/>
        <v>Below average customer</v>
      </c>
    </row>
    <row r="1136" spans="1:28" x14ac:dyDescent="0.35">
      <c r="A1136">
        <v>8387</v>
      </c>
      <c r="B1136">
        <v>1957</v>
      </c>
      <c r="C1136" t="s">
        <v>25</v>
      </c>
      <c r="D1136" t="s">
        <v>26</v>
      </c>
      <c r="E1136" t="s">
        <v>33</v>
      </c>
      <c r="F1136">
        <v>43140</v>
      </c>
      <c r="G1136" t="str">
        <f t="shared" si="51"/>
        <v>Mid-low</v>
      </c>
      <c r="H1136">
        <v>0</v>
      </c>
      <c r="I1136">
        <v>1</v>
      </c>
      <c r="J1136">
        <v>1</v>
      </c>
      <c r="K1136" s="1">
        <v>41279</v>
      </c>
      <c r="L1136">
        <v>68</v>
      </c>
      <c r="M1136" t="str">
        <f t="shared" si="52"/>
        <v>Inactive</v>
      </c>
      <c r="N1136">
        <v>0</v>
      </c>
      <c r="O1136">
        <v>134</v>
      </c>
      <c r="P1136">
        <v>8</v>
      </c>
      <c r="Q1136">
        <v>76</v>
      </c>
      <c r="R1136">
        <v>6</v>
      </c>
      <c r="S1136">
        <v>0</v>
      </c>
      <c r="T1136">
        <v>11</v>
      </c>
      <c r="U1136">
        <v>235</v>
      </c>
      <c r="V1136">
        <v>1</v>
      </c>
      <c r="W1136">
        <v>4</v>
      </c>
      <c r="X1136">
        <v>1</v>
      </c>
      <c r="Y1136">
        <v>5</v>
      </c>
      <c r="Z1136">
        <v>10</v>
      </c>
      <c r="AA1136">
        <v>6</v>
      </c>
      <c r="AB1136" t="str">
        <f t="shared" si="53"/>
        <v>Below average customer</v>
      </c>
    </row>
    <row r="1137" spans="1:28" x14ac:dyDescent="0.35">
      <c r="A1137">
        <v>1829</v>
      </c>
      <c r="B1137">
        <v>1961</v>
      </c>
      <c r="C1137" t="s">
        <v>25</v>
      </c>
      <c r="D1137" t="s">
        <v>32</v>
      </c>
      <c r="E1137" t="s">
        <v>35</v>
      </c>
      <c r="F1137">
        <v>54959</v>
      </c>
      <c r="G1137" t="str">
        <f t="shared" si="51"/>
        <v>Mid-high</v>
      </c>
      <c r="H1137">
        <v>0</v>
      </c>
      <c r="I1137">
        <v>1</v>
      </c>
      <c r="J1137">
        <v>1</v>
      </c>
      <c r="K1137" s="1">
        <v>41293</v>
      </c>
      <c r="L1137">
        <v>55</v>
      </c>
      <c r="M1137" t="str">
        <f t="shared" si="52"/>
        <v>Inactive</v>
      </c>
      <c r="N1137">
        <v>0</v>
      </c>
      <c r="O1137">
        <v>1148</v>
      </c>
      <c r="P1137">
        <v>0</v>
      </c>
      <c r="Q1137">
        <v>60</v>
      </c>
      <c r="R1137">
        <v>0</v>
      </c>
      <c r="S1137">
        <v>0</v>
      </c>
      <c r="T1137">
        <v>24</v>
      </c>
      <c r="U1137">
        <v>1232</v>
      </c>
      <c r="V1137">
        <v>3</v>
      </c>
      <c r="W1137">
        <v>9</v>
      </c>
      <c r="X1137">
        <v>5</v>
      </c>
      <c r="Y1137">
        <v>4</v>
      </c>
      <c r="Z1137">
        <v>18</v>
      </c>
      <c r="AA1137">
        <v>7</v>
      </c>
      <c r="AB1137" t="str">
        <f t="shared" si="53"/>
        <v>Below average customer</v>
      </c>
    </row>
    <row r="1138" spans="1:28" x14ac:dyDescent="0.35">
      <c r="A1138">
        <v>3839</v>
      </c>
      <c r="B1138">
        <v>1958</v>
      </c>
      <c r="C1138" t="s">
        <v>25</v>
      </c>
      <c r="D1138" t="s">
        <v>37</v>
      </c>
      <c r="E1138" t="s">
        <v>27</v>
      </c>
      <c r="F1138">
        <v>15056</v>
      </c>
      <c r="G1138" t="str">
        <f t="shared" si="51"/>
        <v>Low</v>
      </c>
      <c r="H1138">
        <v>1</v>
      </c>
      <c r="I1138">
        <v>1</v>
      </c>
      <c r="J1138">
        <v>2</v>
      </c>
      <c r="K1138" s="1">
        <v>41397</v>
      </c>
      <c r="L1138">
        <v>76</v>
      </c>
      <c r="M1138" t="str">
        <f t="shared" si="52"/>
        <v>Inactive</v>
      </c>
      <c r="N1138">
        <v>0</v>
      </c>
      <c r="O1138">
        <v>6</v>
      </c>
      <c r="P1138">
        <v>12</v>
      </c>
      <c r="Q1138">
        <v>3</v>
      </c>
      <c r="R1138">
        <v>21</v>
      </c>
      <c r="S1138">
        <v>6</v>
      </c>
      <c r="T1138">
        <v>40</v>
      </c>
      <c r="U1138">
        <v>88</v>
      </c>
      <c r="V1138">
        <v>5</v>
      </c>
      <c r="W1138">
        <v>2</v>
      </c>
      <c r="X1138">
        <v>2</v>
      </c>
      <c r="Y1138">
        <v>3</v>
      </c>
      <c r="Z1138">
        <v>7</v>
      </c>
      <c r="AA1138">
        <v>5</v>
      </c>
      <c r="AB1138" t="str">
        <f t="shared" si="53"/>
        <v>Below average customer</v>
      </c>
    </row>
    <row r="1139" spans="1:28" x14ac:dyDescent="0.35">
      <c r="A1139">
        <v>9392</v>
      </c>
      <c r="B1139">
        <v>1971</v>
      </c>
      <c r="C1139" t="s">
        <v>28</v>
      </c>
      <c r="D1139" t="s">
        <v>26</v>
      </c>
      <c r="E1139" t="s">
        <v>27</v>
      </c>
      <c r="F1139">
        <v>26954</v>
      </c>
      <c r="G1139" t="str">
        <f t="shared" si="51"/>
        <v>Low</v>
      </c>
      <c r="H1139">
        <v>1</v>
      </c>
      <c r="I1139">
        <v>0</v>
      </c>
      <c r="J1139">
        <v>1</v>
      </c>
      <c r="K1139" s="1">
        <v>41767</v>
      </c>
      <c r="L1139">
        <v>17</v>
      </c>
      <c r="M1139" t="str">
        <f t="shared" si="52"/>
        <v>Active</v>
      </c>
      <c r="N1139">
        <v>0</v>
      </c>
      <c r="O1139">
        <v>4</v>
      </c>
      <c r="P1139">
        <v>1</v>
      </c>
      <c r="Q1139">
        <v>11</v>
      </c>
      <c r="R1139">
        <v>0</v>
      </c>
      <c r="S1139">
        <v>0</v>
      </c>
      <c r="T1139">
        <v>1</v>
      </c>
      <c r="U1139">
        <v>17</v>
      </c>
      <c r="V1139">
        <v>1</v>
      </c>
      <c r="W1139">
        <v>1</v>
      </c>
      <c r="X1139">
        <v>0</v>
      </c>
      <c r="Y1139">
        <v>2</v>
      </c>
      <c r="Z1139">
        <v>3</v>
      </c>
      <c r="AA1139">
        <v>7</v>
      </c>
      <c r="AB1139" t="str">
        <f t="shared" si="53"/>
        <v>Below average customer</v>
      </c>
    </row>
    <row r="1140" spans="1:28" x14ac:dyDescent="0.35">
      <c r="A1140">
        <v>2292</v>
      </c>
      <c r="B1140">
        <v>1985</v>
      </c>
      <c r="C1140" t="s">
        <v>30</v>
      </c>
      <c r="D1140" t="s">
        <v>26</v>
      </c>
      <c r="E1140" t="s">
        <v>27</v>
      </c>
      <c r="F1140">
        <v>22327</v>
      </c>
      <c r="G1140" t="str">
        <f t="shared" si="51"/>
        <v>Low</v>
      </c>
      <c r="H1140">
        <v>1</v>
      </c>
      <c r="I1140">
        <v>0</v>
      </c>
      <c r="J1140">
        <v>1</v>
      </c>
      <c r="K1140" s="1">
        <v>41488</v>
      </c>
      <c r="L1140">
        <v>94</v>
      </c>
      <c r="M1140" t="str">
        <f t="shared" si="52"/>
        <v>Inactive</v>
      </c>
      <c r="N1140">
        <v>0</v>
      </c>
      <c r="O1140">
        <v>5</v>
      </c>
      <c r="P1140">
        <v>4</v>
      </c>
      <c r="Q1140">
        <v>8</v>
      </c>
      <c r="R1140">
        <v>2</v>
      </c>
      <c r="S1140">
        <v>0</v>
      </c>
      <c r="T1140">
        <v>5</v>
      </c>
      <c r="U1140">
        <v>24</v>
      </c>
      <c r="V1140">
        <v>1</v>
      </c>
      <c r="W1140">
        <v>1</v>
      </c>
      <c r="X1140">
        <v>0</v>
      </c>
      <c r="Y1140">
        <v>3</v>
      </c>
      <c r="Z1140">
        <v>4</v>
      </c>
      <c r="AA1140">
        <v>5</v>
      </c>
      <c r="AB1140" t="str">
        <f t="shared" si="53"/>
        <v>Below average customer</v>
      </c>
    </row>
    <row r="1141" spans="1:28" x14ac:dyDescent="0.35">
      <c r="A1141">
        <v>10466</v>
      </c>
      <c r="B1141">
        <v>1965</v>
      </c>
      <c r="C1141" t="s">
        <v>28</v>
      </c>
      <c r="D1141" t="s">
        <v>26</v>
      </c>
      <c r="E1141" t="s">
        <v>33</v>
      </c>
      <c r="F1141">
        <v>44393</v>
      </c>
      <c r="G1141" t="str">
        <f t="shared" si="51"/>
        <v>Mid-low</v>
      </c>
      <c r="H1141">
        <v>1</v>
      </c>
      <c r="I1141">
        <v>1</v>
      </c>
      <c r="J1141">
        <v>2</v>
      </c>
      <c r="K1141" s="1">
        <v>41508</v>
      </c>
      <c r="L1141">
        <v>86</v>
      </c>
      <c r="M1141" t="str">
        <f t="shared" si="52"/>
        <v>Inactive</v>
      </c>
      <c r="N1141">
        <v>0</v>
      </c>
      <c r="O1141">
        <v>24</v>
      </c>
      <c r="P1141">
        <v>2</v>
      </c>
      <c r="Q1141">
        <v>20</v>
      </c>
      <c r="R1141">
        <v>2</v>
      </c>
      <c r="S1141">
        <v>2</v>
      </c>
      <c r="T1141">
        <v>10</v>
      </c>
      <c r="U1141">
        <v>60</v>
      </c>
      <c r="V1141">
        <v>2</v>
      </c>
      <c r="W1141">
        <v>1</v>
      </c>
      <c r="X1141">
        <v>0</v>
      </c>
      <c r="Y1141">
        <v>4</v>
      </c>
      <c r="Z1141">
        <v>5</v>
      </c>
      <c r="AA1141">
        <v>4</v>
      </c>
      <c r="AB1141" t="str">
        <f t="shared" si="53"/>
        <v>Below average customer</v>
      </c>
    </row>
    <row r="1142" spans="1:28" x14ac:dyDescent="0.35">
      <c r="A1142">
        <v>9855</v>
      </c>
      <c r="B1142">
        <v>1952</v>
      </c>
      <c r="C1142" t="s">
        <v>36</v>
      </c>
      <c r="D1142" t="s">
        <v>32</v>
      </c>
      <c r="E1142" t="s">
        <v>27</v>
      </c>
      <c r="F1142">
        <v>62000</v>
      </c>
      <c r="G1142" t="str">
        <f t="shared" si="51"/>
        <v>Mid-high</v>
      </c>
      <c r="H1142">
        <v>0</v>
      </c>
      <c r="I1142">
        <v>1</v>
      </c>
      <c r="J1142">
        <v>1</v>
      </c>
      <c r="K1142" s="1">
        <v>41511</v>
      </c>
      <c r="L1142">
        <v>25</v>
      </c>
      <c r="M1142" t="str">
        <f t="shared" si="52"/>
        <v>Active</v>
      </c>
      <c r="N1142">
        <v>0</v>
      </c>
      <c r="O1142">
        <v>899</v>
      </c>
      <c r="P1142">
        <v>0</v>
      </c>
      <c r="Q1142">
        <v>101</v>
      </c>
      <c r="R1142">
        <v>0</v>
      </c>
      <c r="S1142">
        <v>0</v>
      </c>
      <c r="T1142">
        <v>20</v>
      </c>
      <c r="U1142">
        <v>1020</v>
      </c>
      <c r="V1142">
        <v>1</v>
      </c>
      <c r="W1142">
        <v>6</v>
      </c>
      <c r="X1142">
        <v>6</v>
      </c>
      <c r="Y1142">
        <v>13</v>
      </c>
      <c r="Z1142">
        <v>25</v>
      </c>
      <c r="AA1142">
        <v>4</v>
      </c>
      <c r="AB1142" t="str">
        <f t="shared" si="53"/>
        <v>Above average customer</v>
      </c>
    </row>
    <row r="1143" spans="1:28" x14ac:dyDescent="0.35">
      <c r="A1143">
        <v>4088</v>
      </c>
      <c r="B1143">
        <v>1962</v>
      </c>
      <c r="C1143" t="s">
        <v>25</v>
      </c>
      <c r="D1143" t="s">
        <v>32</v>
      </c>
      <c r="E1143" t="s">
        <v>29</v>
      </c>
      <c r="F1143">
        <v>31497</v>
      </c>
      <c r="G1143" t="str">
        <f t="shared" si="51"/>
        <v>Low</v>
      </c>
      <c r="H1143">
        <v>0</v>
      </c>
      <c r="I1143">
        <v>1</v>
      </c>
      <c r="J1143">
        <v>1</v>
      </c>
      <c r="K1143" s="1">
        <v>41249</v>
      </c>
      <c r="L1143">
        <v>22</v>
      </c>
      <c r="M1143" t="str">
        <f t="shared" si="52"/>
        <v>Active</v>
      </c>
      <c r="N1143">
        <v>0</v>
      </c>
      <c r="O1143">
        <v>108</v>
      </c>
      <c r="P1143">
        <v>1</v>
      </c>
      <c r="Q1143">
        <v>28</v>
      </c>
      <c r="R1143">
        <v>13</v>
      </c>
      <c r="S1143">
        <v>1</v>
      </c>
      <c r="T1143">
        <v>4</v>
      </c>
      <c r="U1143">
        <v>155</v>
      </c>
      <c r="V1143">
        <v>2</v>
      </c>
      <c r="W1143">
        <v>3</v>
      </c>
      <c r="X1143">
        <v>1</v>
      </c>
      <c r="Y1143">
        <v>4</v>
      </c>
      <c r="Z1143">
        <v>8</v>
      </c>
      <c r="AA1143">
        <v>8</v>
      </c>
      <c r="AB1143" t="str">
        <f t="shared" si="53"/>
        <v>Below average customer</v>
      </c>
    </row>
    <row r="1144" spans="1:28" x14ac:dyDescent="0.35">
      <c r="A1144">
        <v>5231</v>
      </c>
      <c r="B1144">
        <v>1974</v>
      </c>
      <c r="C1144" t="s">
        <v>31</v>
      </c>
      <c r="D1144" t="s">
        <v>34</v>
      </c>
      <c r="E1144" t="s">
        <v>33</v>
      </c>
      <c r="F1144">
        <v>45894</v>
      </c>
      <c r="G1144" t="str">
        <f t="shared" si="51"/>
        <v>Mid-low</v>
      </c>
      <c r="H1144">
        <v>0</v>
      </c>
      <c r="I1144">
        <v>2</v>
      </c>
      <c r="J1144">
        <v>2</v>
      </c>
      <c r="K1144" s="1">
        <v>41697</v>
      </c>
      <c r="L1144">
        <v>15</v>
      </c>
      <c r="M1144" t="str">
        <f t="shared" si="52"/>
        <v>Active</v>
      </c>
      <c r="N1144">
        <v>0</v>
      </c>
      <c r="O1144">
        <v>27</v>
      </c>
      <c r="P1144">
        <v>2</v>
      </c>
      <c r="Q1144">
        <v>7</v>
      </c>
      <c r="R1144">
        <v>0</v>
      </c>
      <c r="S1144">
        <v>2</v>
      </c>
      <c r="T1144">
        <v>13</v>
      </c>
      <c r="U1144">
        <v>51</v>
      </c>
      <c r="V1144">
        <v>1</v>
      </c>
      <c r="W1144">
        <v>1</v>
      </c>
      <c r="X1144">
        <v>0</v>
      </c>
      <c r="Y1144">
        <v>3</v>
      </c>
      <c r="Z1144">
        <v>4</v>
      </c>
      <c r="AA1144">
        <v>5</v>
      </c>
      <c r="AB1144" t="str">
        <f t="shared" si="53"/>
        <v>Below average customer</v>
      </c>
    </row>
    <row r="1145" spans="1:28" x14ac:dyDescent="0.35">
      <c r="A1145">
        <v>590</v>
      </c>
      <c r="B1145">
        <v>1970</v>
      </c>
      <c r="C1145" t="s">
        <v>28</v>
      </c>
      <c r="D1145" t="s">
        <v>34</v>
      </c>
      <c r="E1145" t="s">
        <v>35</v>
      </c>
      <c r="F1145">
        <v>78579</v>
      </c>
      <c r="G1145" t="str">
        <f t="shared" si="51"/>
        <v>High</v>
      </c>
      <c r="H1145">
        <v>0</v>
      </c>
      <c r="I1145">
        <v>0</v>
      </c>
      <c r="J1145">
        <v>0</v>
      </c>
      <c r="K1145" s="1">
        <v>41265</v>
      </c>
      <c r="L1145">
        <v>35</v>
      </c>
      <c r="M1145" t="str">
        <f t="shared" si="52"/>
        <v>Active</v>
      </c>
      <c r="N1145">
        <v>0</v>
      </c>
      <c r="O1145">
        <v>816</v>
      </c>
      <c r="P1145">
        <v>66</v>
      </c>
      <c r="Q1145">
        <v>549</v>
      </c>
      <c r="R1145">
        <v>216</v>
      </c>
      <c r="S1145">
        <v>66</v>
      </c>
      <c r="T1145">
        <v>99</v>
      </c>
      <c r="U1145">
        <v>1812</v>
      </c>
      <c r="V1145">
        <v>1</v>
      </c>
      <c r="W1145">
        <v>5</v>
      </c>
      <c r="X1145">
        <v>6</v>
      </c>
      <c r="Y1145">
        <v>4</v>
      </c>
      <c r="Z1145">
        <v>15</v>
      </c>
      <c r="AA1145">
        <v>3</v>
      </c>
      <c r="AB1145" t="str">
        <f t="shared" si="53"/>
        <v>Above average customer</v>
      </c>
    </row>
    <row r="1146" spans="1:28" x14ac:dyDescent="0.35">
      <c r="A1146">
        <v>8732</v>
      </c>
      <c r="B1146">
        <v>1969</v>
      </c>
      <c r="C1146" t="s">
        <v>28</v>
      </c>
      <c r="D1146" t="s">
        <v>34</v>
      </c>
      <c r="E1146" t="s">
        <v>38</v>
      </c>
      <c r="F1146">
        <v>67369</v>
      </c>
      <c r="G1146" t="str">
        <f t="shared" si="51"/>
        <v>Mid-high</v>
      </c>
      <c r="H1146">
        <v>0</v>
      </c>
      <c r="I1146">
        <v>1</v>
      </c>
      <c r="J1146">
        <v>1</v>
      </c>
      <c r="K1146" s="1">
        <v>41230</v>
      </c>
      <c r="L1146">
        <v>81</v>
      </c>
      <c r="M1146" t="str">
        <f t="shared" si="52"/>
        <v>Inactive</v>
      </c>
      <c r="N1146">
        <v>0</v>
      </c>
      <c r="O1146">
        <v>1298</v>
      </c>
      <c r="P1146">
        <v>0</v>
      </c>
      <c r="Q1146">
        <v>70</v>
      </c>
      <c r="R1146">
        <v>37</v>
      </c>
      <c r="S1146">
        <v>14</v>
      </c>
      <c r="T1146">
        <v>42</v>
      </c>
      <c r="U1146">
        <v>1461</v>
      </c>
      <c r="V1146">
        <v>4</v>
      </c>
      <c r="W1146">
        <v>7</v>
      </c>
      <c r="X1146">
        <v>4</v>
      </c>
      <c r="Y1146">
        <v>10</v>
      </c>
      <c r="Z1146">
        <v>21</v>
      </c>
      <c r="AA1146">
        <v>4</v>
      </c>
      <c r="AB1146" t="str">
        <f t="shared" si="53"/>
        <v>Below average customer</v>
      </c>
    </row>
    <row r="1147" spans="1:28" x14ac:dyDescent="0.35">
      <c r="A1147">
        <v>2315</v>
      </c>
      <c r="B1147">
        <v>1960</v>
      </c>
      <c r="C1147" t="s">
        <v>25</v>
      </c>
      <c r="D1147" t="s">
        <v>26</v>
      </c>
      <c r="E1147" t="s">
        <v>35</v>
      </c>
      <c r="F1147">
        <v>58401</v>
      </c>
      <c r="G1147" t="str">
        <f t="shared" si="51"/>
        <v>Mid-high</v>
      </c>
      <c r="H1147">
        <v>0</v>
      </c>
      <c r="I1147">
        <v>1</v>
      </c>
      <c r="J1147">
        <v>1</v>
      </c>
      <c r="K1147" s="1">
        <v>41749</v>
      </c>
      <c r="L1147">
        <v>55</v>
      </c>
      <c r="M1147" t="str">
        <f t="shared" si="52"/>
        <v>Inactive</v>
      </c>
      <c r="N1147">
        <v>0</v>
      </c>
      <c r="O1147">
        <v>10</v>
      </c>
      <c r="P1147">
        <v>0</v>
      </c>
      <c r="Q1147">
        <v>11</v>
      </c>
      <c r="R1147">
        <v>17</v>
      </c>
      <c r="S1147">
        <v>29</v>
      </c>
      <c r="T1147">
        <v>29</v>
      </c>
      <c r="U1147">
        <v>96</v>
      </c>
      <c r="V1147">
        <v>1</v>
      </c>
      <c r="W1147">
        <v>1</v>
      </c>
      <c r="X1147">
        <v>2</v>
      </c>
      <c r="Y1147">
        <v>2</v>
      </c>
      <c r="Z1147">
        <v>5</v>
      </c>
      <c r="AA1147">
        <v>4</v>
      </c>
      <c r="AB1147" t="str">
        <f t="shared" si="53"/>
        <v>Below average customer</v>
      </c>
    </row>
    <row r="1148" spans="1:28" x14ac:dyDescent="0.35">
      <c r="A1148">
        <v>3515</v>
      </c>
      <c r="B1148">
        <v>1952</v>
      </c>
      <c r="C1148" t="s">
        <v>36</v>
      </c>
      <c r="D1148" t="s">
        <v>26</v>
      </c>
      <c r="E1148" t="s">
        <v>27</v>
      </c>
      <c r="F1148">
        <v>62307</v>
      </c>
      <c r="G1148" t="str">
        <f t="shared" si="51"/>
        <v>Mid-high</v>
      </c>
      <c r="H1148">
        <v>0</v>
      </c>
      <c r="I1148">
        <v>1</v>
      </c>
      <c r="J1148">
        <v>1</v>
      </c>
      <c r="K1148" s="1">
        <v>41687</v>
      </c>
      <c r="L1148">
        <v>94</v>
      </c>
      <c r="M1148" t="str">
        <f t="shared" si="52"/>
        <v>Inactive</v>
      </c>
      <c r="N1148">
        <v>0</v>
      </c>
      <c r="O1148">
        <v>87</v>
      </c>
      <c r="P1148">
        <v>13</v>
      </c>
      <c r="Q1148">
        <v>34</v>
      </c>
      <c r="R1148">
        <v>10</v>
      </c>
      <c r="S1148">
        <v>6</v>
      </c>
      <c r="T1148">
        <v>10</v>
      </c>
      <c r="U1148">
        <v>160</v>
      </c>
      <c r="V1148">
        <v>1</v>
      </c>
      <c r="W1148">
        <v>4</v>
      </c>
      <c r="X1148">
        <v>0</v>
      </c>
      <c r="Y1148">
        <v>4</v>
      </c>
      <c r="Z1148">
        <v>8</v>
      </c>
      <c r="AA1148">
        <v>5</v>
      </c>
      <c r="AB1148" t="str">
        <f t="shared" si="53"/>
        <v>Below average customer</v>
      </c>
    </row>
    <row r="1149" spans="1:28" x14ac:dyDescent="0.35">
      <c r="A1149">
        <v>2245</v>
      </c>
      <c r="B1149">
        <v>1969</v>
      </c>
      <c r="C1149" t="s">
        <v>28</v>
      </c>
      <c r="D1149" t="s">
        <v>34</v>
      </c>
      <c r="E1149" t="s">
        <v>33</v>
      </c>
      <c r="F1149">
        <v>43641</v>
      </c>
      <c r="G1149" t="str">
        <f t="shared" si="51"/>
        <v>Mid-low</v>
      </c>
      <c r="H1149">
        <v>1</v>
      </c>
      <c r="I1149">
        <v>1</v>
      </c>
      <c r="J1149">
        <v>2</v>
      </c>
      <c r="K1149" s="1">
        <v>41386</v>
      </c>
      <c r="L1149">
        <v>50</v>
      </c>
      <c r="M1149" t="str">
        <f t="shared" si="52"/>
        <v>Inactive</v>
      </c>
      <c r="N1149">
        <v>0</v>
      </c>
      <c r="O1149">
        <v>57</v>
      </c>
      <c r="P1149">
        <v>2</v>
      </c>
      <c r="Q1149">
        <v>51</v>
      </c>
      <c r="R1149">
        <v>4</v>
      </c>
      <c r="S1149">
        <v>2</v>
      </c>
      <c r="T1149">
        <v>23</v>
      </c>
      <c r="U1149">
        <v>139</v>
      </c>
      <c r="V1149">
        <v>3</v>
      </c>
      <c r="W1149">
        <v>2</v>
      </c>
      <c r="X1149">
        <v>1</v>
      </c>
      <c r="Y1149">
        <v>4</v>
      </c>
      <c r="Z1149">
        <v>7</v>
      </c>
      <c r="AA1149">
        <v>6</v>
      </c>
      <c r="AB1149" t="str">
        <f t="shared" si="53"/>
        <v>Below average customer</v>
      </c>
    </row>
    <row r="1150" spans="1:28" x14ac:dyDescent="0.35">
      <c r="A1150">
        <v>6606</v>
      </c>
      <c r="B1150">
        <v>1969</v>
      </c>
      <c r="C1150" t="s">
        <v>28</v>
      </c>
      <c r="D1150" t="s">
        <v>34</v>
      </c>
      <c r="E1150" t="s">
        <v>33</v>
      </c>
      <c r="F1150">
        <v>70091</v>
      </c>
      <c r="G1150" t="str">
        <f t="shared" si="51"/>
        <v>High</v>
      </c>
      <c r="H1150">
        <v>1</v>
      </c>
      <c r="I1150">
        <v>0</v>
      </c>
      <c r="J1150">
        <v>1</v>
      </c>
      <c r="K1150" s="1">
        <v>41364</v>
      </c>
      <c r="L1150">
        <v>11</v>
      </c>
      <c r="M1150" t="str">
        <f t="shared" si="52"/>
        <v>Active</v>
      </c>
      <c r="N1150">
        <v>0</v>
      </c>
      <c r="O1150">
        <v>964</v>
      </c>
      <c r="P1150">
        <v>34</v>
      </c>
      <c r="Q1150">
        <v>137</v>
      </c>
      <c r="R1150">
        <v>15</v>
      </c>
      <c r="S1150">
        <v>0</v>
      </c>
      <c r="T1150">
        <v>11</v>
      </c>
      <c r="U1150">
        <v>1161</v>
      </c>
      <c r="V1150">
        <v>2</v>
      </c>
      <c r="W1150">
        <v>5</v>
      </c>
      <c r="X1150">
        <v>2</v>
      </c>
      <c r="Y1150">
        <v>10</v>
      </c>
      <c r="Z1150">
        <v>17</v>
      </c>
      <c r="AA1150">
        <v>8</v>
      </c>
      <c r="AB1150" t="str">
        <f t="shared" si="53"/>
        <v>Above average customer</v>
      </c>
    </row>
    <row r="1151" spans="1:28" x14ac:dyDescent="0.35">
      <c r="A1151">
        <v>5545</v>
      </c>
      <c r="B1151">
        <v>1972</v>
      </c>
      <c r="C1151" t="s">
        <v>28</v>
      </c>
      <c r="D1151" t="s">
        <v>32</v>
      </c>
      <c r="E1151" t="s">
        <v>33</v>
      </c>
      <c r="F1151">
        <v>78075</v>
      </c>
      <c r="G1151" t="str">
        <f t="shared" si="51"/>
        <v>High</v>
      </c>
      <c r="H1151">
        <v>0</v>
      </c>
      <c r="I1151">
        <v>0</v>
      </c>
      <c r="J1151">
        <v>0</v>
      </c>
      <c r="K1151" s="1">
        <v>41734</v>
      </c>
      <c r="L1151">
        <v>72</v>
      </c>
      <c r="M1151" t="str">
        <f t="shared" si="52"/>
        <v>Inactive</v>
      </c>
      <c r="N1151">
        <v>0</v>
      </c>
      <c r="O1151">
        <v>572</v>
      </c>
      <c r="P1151">
        <v>8</v>
      </c>
      <c r="Q1151">
        <v>259</v>
      </c>
      <c r="R1151">
        <v>34</v>
      </c>
      <c r="S1151">
        <v>35</v>
      </c>
      <c r="T1151">
        <v>80</v>
      </c>
      <c r="U1151">
        <v>988</v>
      </c>
      <c r="V1151">
        <v>1</v>
      </c>
      <c r="W1151">
        <v>3</v>
      </c>
      <c r="X1151">
        <v>5</v>
      </c>
      <c r="Y1151">
        <v>5</v>
      </c>
      <c r="Z1151">
        <v>13</v>
      </c>
      <c r="AA1151">
        <v>1</v>
      </c>
      <c r="AB1151" t="str">
        <f t="shared" si="53"/>
        <v>Below average customer</v>
      </c>
    </row>
    <row r="1152" spans="1:28" x14ac:dyDescent="0.35">
      <c r="A1152">
        <v>7342</v>
      </c>
      <c r="B1152">
        <v>1961</v>
      </c>
      <c r="C1152" t="s">
        <v>25</v>
      </c>
      <c r="D1152" t="s">
        <v>34</v>
      </c>
      <c r="E1152" t="s">
        <v>38</v>
      </c>
      <c r="F1152">
        <v>59184</v>
      </c>
      <c r="G1152" t="str">
        <f t="shared" si="51"/>
        <v>Mid-high</v>
      </c>
      <c r="H1152">
        <v>0</v>
      </c>
      <c r="I1152">
        <v>1</v>
      </c>
      <c r="J1152">
        <v>1</v>
      </c>
      <c r="K1152" s="1">
        <v>41161</v>
      </c>
      <c r="L1152">
        <v>6</v>
      </c>
      <c r="M1152" t="str">
        <f t="shared" si="52"/>
        <v>Active</v>
      </c>
      <c r="N1152">
        <v>0</v>
      </c>
      <c r="O1152">
        <v>341</v>
      </c>
      <c r="P1152">
        <v>142</v>
      </c>
      <c r="Q1152">
        <v>113</v>
      </c>
      <c r="R1152">
        <v>259</v>
      </c>
      <c r="S1152">
        <v>151</v>
      </c>
      <c r="T1152">
        <v>66</v>
      </c>
      <c r="U1152">
        <v>1072</v>
      </c>
      <c r="V1152">
        <v>3</v>
      </c>
      <c r="W1152">
        <v>6</v>
      </c>
      <c r="X1152">
        <v>6</v>
      </c>
      <c r="Y1152">
        <v>12</v>
      </c>
      <c r="Z1152">
        <v>24</v>
      </c>
      <c r="AA1152">
        <v>5</v>
      </c>
      <c r="AB1152" t="str">
        <f t="shared" si="53"/>
        <v>Above average customer</v>
      </c>
    </row>
    <row r="1153" spans="1:28" x14ac:dyDescent="0.35">
      <c r="A1153">
        <v>837</v>
      </c>
      <c r="B1153">
        <v>1977</v>
      </c>
      <c r="C1153" t="s">
        <v>31</v>
      </c>
      <c r="D1153" t="s">
        <v>26</v>
      </c>
      <c r="E1153" t="s">
        <v>33</v>
      </c>
      <c r="F1153">
        <v>54809</v>
      </c>
      <c r="G1153" t="str">
        <f t="shared" si="51"/>
        <v>Mid-high</v>
      </c>
      <c r="H1153">
        <v>1</v>
      </c>
      <c r="I1153">
        <v>1</v>
      </c>
      <c r="J1153">
        <v>2</v>
      </c>
      <c r="K1153" s="1">
        <v>41528</v>
      </c>
      <c r="L1153">
        <v>0</v>
      </c>
      <c r="M1153" t="str">
        <f t="shared" si="52"/>
        <v>Active</v>
      </c>
      <c r="N1153">
        <v>0</v>
      </c>
      <c r="O1153">
        <v>63</v>
      </c>
      <c r="P1153">
        <v>6</v>
      </c>
      <c r="Q1153">
        <v>57</v>
      </c>
      <c r="R1153">
        <v>13</v>
      </c>
      <c r="S1153">
        <v>13</v>
      </c>
      <c r="T1153">
        <v>22</v>
      </c>
      <c r="U1153">
        <v>174</v>
      </c>
      <c r="V1153">
        <v>4</v>
      </c>
      <c r="W1153">
        <v>2</v>
      </c>
      <c r="X1153">
        <v>1</v>
      </c>
      <c r="Y1153">
        <v>5</v>
      </c>
      <c r="Z1153">
        <v>8</v>
      </c>
      <c r="AA1153">
        <v>4</v>
      </c>
      <c r="AB1153" t="str">
        <f t="shared" si="53"/>
        <v>Below average customer</v>
      </c>
    </row>
    <row r="1154" spans="1:28" x14ac:dyDescent="0.35">
      <c r="A1154">
        <v>9500</v>
      </c>
      <c r="B1154">
        <v>1959</v>
      </c>
      <c r="C1154" t="s">
        <v>25</v>
      </c>
      <c r="D1154" t="s">
        <v>26</v>
      </c>
      <c r="E1154" t="s">
        <v>33</v>
      </c>
      <c r="F1154">
        <v>58113</v>
      </c>
      <c r="G1154" t="str">
        <f t="shared" ref="G1154:G1217" si="54">IF(F1154&lt;=_xlfn.PERCENTILE.INC($F$2:$F$2056,0.25),"Low",IF(F1154&lt;=_xlfn.PERCENTILE.INC($F$2:$F$2056,0.5),"Mid-low",IF(F1154&lt;=_xlfn.PERCENTILE.INC($F$2:$F$2056,0.75),"Mid-high","High")))</f>
        <v>Mid-high</v>
      </c>
      <c r="H1154">
        <v>0</v>
      </c>
      <c r="I1154">
        <v>1</v>
      </c>
      <c r="J1154">
        <v>1</v>
      </c>
      <c r="K1154" s="1">
        <v>41299</v>
      </c>
      <c r="L1154">
        <v>66</v>
      </c>
      <c r="M1154" t="str">
        <f t="shared" ref="M1154:M1217" si="55">IF(L1154&gt;AVERAGE($L$2:$L$2056),"Inactive","Active")</f>
        <v>Inactive</v>
      </c>
      <c r="N1154">
        <v>1</v>
      </c>
      <c r="O1154">
        <v>221</v>
      </c>
      <c r="P1154">
        <v>104</v>
      </c>
      <c r="Q1154">
        <v>169</v>
      </c>
      <c r="R1154">
        <v>102</v>
      </c>
      <c r="S1154">
        <v>78</v>
      </c>
      <c r="T1154">
        <v>84</v>
      </c>
      <c r="U1154">
        <v>758</v>
      </c>
      <c r="V1154">
        <v>3</v>
      </c>
      <c r="W1154">
        <v>9</v>
      </c>
      <c r="X1154">
        <v>2</v>
      </c>
      <c r="Y1154">
        <v>8</v>
      </c>
      <c r="Z1154">
        <v>19</v>
      </c>
      <c r="AA1154">
        <v>7</v>
      </c>
      <c r="AB1154" t="str">
        <f t="shared" ref="AB1154:AB1217" si="56">IF(AND(Z1154&gt;AVERAGE($Z$2:$Z$2056),U1154&gt;AVERAGE($U$2:$U$2056),N1154=0,L1154&lt;AVERAGE($L$2:$L$2056),F1154&gt;AVERAGE($F$2:$F$2240)),"Above average customer","Below average customer")</f>
        <v>Below average customer</v>
      </c>
    </row>
    <row r="1155" spans="1:28" x14ac:dyDescent="0.35">
      <c r="A1155">
        <v>3602</v>
      </c>
      <c r="B1155">
        <v>1958</v>
      </c>
      <c r="C1155" t="s">
        <v>25</v>
      </c>
      <c r="D1155" t="s">
        <v>34</v>
      </c>
      <c r="E1155" t="s">
        <v>33</v>
      </c>
      <c r="F1155">
        <v>51412</v>
      </c>
      <c r="G1155" t="str">
        <f t="shared" si="54"/>
        <v>Mid-low</v>
      </c>
      <c r="H1155">
        <v>0</v>
      </c>
      <c r="I1155">
        <v>1</v>
      </c>
      <c r="J1155">
        <v>1</v>
      </c>
      <c r="K1155" s="1">
        <v>41639</v>
      </c>
      <c r="L1155">
        <v>42</v>
      </c>
      <c r="M1155" t="str">
        <f t="shared" si="55"/>
        <v>Active</v>
      </c>
      <c r="N1155">
        <v>0</v>
      </c>
      <c r="O1155">
        <v>140</v>
      </c>
      <c r="P1155">
        <v>3</v>
      </c>
      <c r="Q1155">
        <v>29</v>
      </c>
      <c r="R1155">
        <v>4</v>
      </c>
      <c r="S1155">
        <v>5</v>
      </c>
      <c r="T1155">
        <v>14</v>
      </c>
      <c r="U1155">
        <v>195</v>
      </c>
      <c r="V1155">
        <v>2</v>
      </c>
      <c r="W1155">
        <v>3</v>
      </c>
      <c r="X1155">
        <v>2</v>
      </c>
      <c r="Y1155">
        <v>4</v>
      </c>
      <c r="Z1155">
        <v>9</v>
      </c>
      <c r="AA1155">
        <v>4</v>
      </c>
      <c r="AB1155" t="str">
        <f t="shared" si="56"/>
        <v>Below average customer</v>
      </c>
    </row>
    <row r="1156" spans="1:28" x14ac:dyDescent="0.35">
      <c r="A1156">
        <v>2995</v>
      </c>
      <c r="B1156">
        <v>1957</v>
      </c>
      <c r="C1156" t="s">
        <v>25</v>
      </c>
      <c r="D1156" t="s">
        <v>34</v>
      </c>
      <c r="E1156" t="s">
        <v>29</v>
      </c>
      <c r="F1156">
        <v>66636</v>
      </c>
      <c r="G1156" t="str">
        <f t="shared" si="54"/>
        <v>Mid-high</v>
      </c>
      <c r="H1156">
        <v>0</v>
      </c>
      <c r="I1156">
        <v>0</v>
      </c>
      <c r="J1156">
        <v>0</v>
      </c>
      <c r="K1156" s="1">
        <v>41503</v>
      </c>
      <c r="L1156">
        <v>64</v>
      </c>
      <c r="M1156" t="str">
        <f t="shared" si="55"/>
        <v>Inactive</v>
      </c>
      <c r="N1156">
        <v>0</v>
      </c>
      <c r="O1156">
        <v>291</v>
      </c>
      <c r="P1156">
        <v>10</v>
      </c>
      <c r="Q1156">
        <v>689</v>
      </c>
      <c r="R1156">
        <v>84</v>
      </c>
      <c r="S1156">
        <v>10</v>
      </c>
      <c r="T1156">
        <v>0</v>
      </c>
      <c r="U1156">
        <v>1084</v>
      </c>
      <c r="V1156">
        <v>1</v>
      </c>
      <c r="W1156">
        <v>3</v>
      </c>
      <c r="X1156">
        <v>4</v>
      </c>
      <c r="Y1156">
        <v>9</v>
      </c>
      <c r="Z1156">
        <v>16</v>
      </c>
      <c r="AA1156">
        <v>1</v>
      </c>
      <c r="AB1156" t="str">
        <f t="shared" si="56"/>
        <v>Below average customer</v>
      </c>
    </row>
    <row r="1157" spans="1:28" x14ac:dyDescent="0.35">
      <c r="A1157">
        <v>1118</v>
      </c>
      <c r="B1157">
        <v>1956</v>
      </c>
      <c r="C1157" t="s">
        <v>25</v>
      </c>
      <c r="D1157" t="s">
        <v>34</v>
      </c>
      <c r="E1157" t="s">
        <v>33</v>
      </c>
      <c r="F1157">
        <v>50965</v>
      </c>
      <c r="G1157" t="str">
        <f t="shared" si="54"/>
        <v>Mid-low</v>
      </c>
      <c r="H1157">
        <v>0</v>
      </c>
      <c r="I1157">
        <v>1</v>
      </c>
      <c r="J1157">
        <v>1</v>
      </c>
      <c r="K1157" s="1">
        <v>41325</v>
      </c>
      <c r="L1157">
        <v>87</v>
      </c>
      <c r="M1157" t="str">
        <f t="shared" si="55"/>
        <v>Inactive</v>
      </c>
      <c r="N1157">
        <v>0</v>
      </c>
      <c r="O1157">
        <v>544</v>
      </c>
      <c r="P1157">
        <v>13</v>
      </c>
      <c r="Q1157">
        <v>85</v>
      </c>
      <c r="R1157">
        <v>8</v>
      </c>
      <c r="S1157">
        <v>6</v>
      </c>
      <c r="T1157">
        <v>29</v>
      </c>
      <c r="U1157">
        <v>685</v>
      </c>
      <c r="V1157">
        <v>3</v>
      </c>
      <c r="W1157">
        <v>10</v>
      </c>
      <c r="X1157">
        <v>4</v>
      </c>
      <c r="Y1157">
        <v>5</v>
      </c>
      <c r="Z1157">
        <v>19</v>
      </c>
      <c r="AA1157">
        <v>8</v>
      </c>
      <c r="AB1157" t="str">
        <f t="shared" si="56"/>
        <v>Below average customer</v>
      </c>
    </row>
    <row r="1158" spans="1:28" x14ac:dyDescent="0.35">
      <c r="A1158">
        <v>3068</v>
      </c>
      <c r="B1158">
        <v>1990</v>
      </c>
      <c r="C1158" t="s">
        <v>30</v>
      </c>
      <c r="D1158" t="s">
        <v>26</v>
      </c>
      <c r="E1158" t="s">
        <v>33</v>
      </c>
      <c r="F1158">
        <v>18351</v>
      </c>
      <c r="G1158" t="str">
        <f t="shared" si="54"/>
        <v>Low</v>
      </c>
      <c r="H1158">
        <v>0</v>
      </c>
      <c r="I1158">
        <v>0</v>
      </c>
      <c r="J1158">
        <v>0</v>
      </c>
      <c r="K1158" s="1">
        <v>41576</v>
      </c>
      <c r="L1158">
        <v>1</v>
      </c>
      <c r="M1158" t="str">
        <f t="shared" si="55"/>
        <v>Active</v>
      </c>
      <c r="N1158">
        <v>0</v>
      </c>
      <c r="O1158">
        <v>1</v>
      </c>
      <c r="P1158">
        <v>12</v>
      </c>
      <c r="Q1158">
        <v>9</v>
      </c>
      <c r="R1158">
        <v>0</v>
      </c>
      <c r="S1158">
        <v>14</v>
      </c>
      <c r="T1158">
        <v>7</v>
      </c>
      <c r="U1158">
        <v>43</v>
      </c>
      <c r="V1158">
        <v>1</v>
      </c>
      <c r="W1158">
        <v>2</v>
      </c>
      <c r="X1158">
        <v>0</v>
      </c>
      <c r="Y1158">
        <v>3</v>
      </c>
      <c r="Z1158">
        <v>5</v>
      </c>
      <c r="AA1158">
        <v>7</v>
      </c>
      <c r="AB1158" t="str">
        <f t="shared" si="56"/>
        <v>Below average customer</v>
      </c>
    </row>
    <row r="1159" spans="1:28" x14ac:dyDescent="0.35">
      <c r="A1159">
        <v>8955</v>
      </c>
      <c r="B1159">
        <v>1957</v>
      </c>
      <c r="C1159" t="s">
        <v>25</v>
      </c>
      <c r="D1159" t="s">
        <v>32</v>
      </c>
      <c r="E1159" t="s">
        <v>29</v>
      </c>
      <c r="F1159">
        <v>40451</v>
      </c>
      <c r="G1159" t="str">
        <f t="shared" si="54"/>
        <v>Mid-low</v>
      </c>
      <c r="H1159">
        <v>0</v>
      </c>
      <c r="I1159">
        <v>2</v>
      </c>
      <c r="J1159">
        <v>2</v>
      </c>
      <c r="K1159" s="1">
        <v>41686</v>
      </c>
      <c r="L1159">
        <v>54</v>
      </c>
      <c r="M1159" t="str">
        <f t="shared" si="55"/>
        <v>Inactive</v>
      </c>
      <c r="N1159">
        <v>0</v>
      </c>
      <c r="O1159">
        <v>35</v>
      </c>
      <c r="P1159">
        <v>0</v>
      </c>
      <c r="Q1159">
        <v>4</v>
      </c>
      <c r="R1159">
        <v>0</v>
      </c>
      <c r="S1159">
        <v>0</v>
      </c>
      <c r="T1159">
        <v>10</v>
      </c>
      <c r="U1159">
        <v>49</v>
      </c>
      <c r="V1159">
        <v>1</v>
      </c>
      <c r="W1159">
        <v>1</v>
      </c>
      <c r="X1159">
        <v>1</v>
      </c>
      <c r="Y1159">
        <v>2</v>
      </c>
      <c r="Z1159">
        <v>4</v>
      </c>
      <c r="AA1159">
        <v>5</v>
      </c>
      <c r="AB1159" t="str">
        <f t="shared" si="56"/>
        <v>Below average customer</v>
      </c>
    </row>
    <row r="1160" spans="1:28" x14ac:dyDescent="0.35">
      <c r="A1160">
        <v>945</v>
      </c>
      <c r="B1160">
        <v>1965</v>
      </c>
      <c r="C1160" t="s">
        <v>28</v>
      </c>
      <c r="D1160" t="s">
        <v>26</v>
      </c>
      <c r="E1160" t="s">
        <v>29</v>
      </c>
      <c r="F1160">
        <v>36317</v>
      </c>
      <c r="G1160" t="str">
        <f t="shared" si="54"/>
        <v>Mid-low</v>
      </c>
      <c r="H1160">
        <v>0</v>
      </c>
      <c r="I1160">
        <v>1</v>
      </c>
      <c r="J1160">
        <v>1</v>
      </c>
      <c r="K1160" s="1">
        <v>41416</v>
      </c>
      <c r="L1160">
        <v>53</v>
      </c>
      <c r="M1160" t="str">
        <f t="shared" si="55"/>
        <v>Inactive</v>
      </c>
      <c r="N1160">
        <v>0</v>
      </c>
      <c r="O1160">
        <v>87</v>
      </c>
      <c r="P1160">
        <v>3</v>
      </c>
      <c r="Q1160">
        <v>25</v>
      </c>
      <c r="R1160">
        <v>3</v>
      </c>
      <c r="S1160">
        <v>2</v>
      </c>
      <c r="T1160">
        <v>13</v>
      </c>
      <c r="U1160">
        <v>133</v>
      </c>
      <c r="V1160">
        <v>2</v>
      </c>
      <c r="W1160">
        <v>3</v>
      </c>
      <c r="X1160">
        <v>0</v>
      </c>
      <c r="Y1160">
        <v>4</v>
      </c>
      <c r="Z1160">
        <v>7</v>
      </c>
      <c r="AA1160">
        <v>7</v>
      </c>
      <c r="AB1160" t="str">
        <f t="shared" si="56"/>
        <v>Below average customer</v>
      </c>
    </row>
    <row r="1161" spans="1:28" x14ac:dyDescent="0.35">
      <c r="A1161">
        <v>5644</v>
      </c>
      <c r="B1161">
        <v>1957</v>
      </c>
      <c r="C1161" t="s">
        <v>25</v>
      </c>
      <c r="D1161" t="s">
        <v>26</v>
      </c>
      <c r="E1161" t="s">
        <v>29</v>
      </c>
      <c r="F1161">
        <v>42213</v>
      </c>
      <c r="G1161" t="str">
        <f t="shared" si="54"/>
        <v>Mid-low</v>
      </c>
      <c r="H1161">
        <v>0</v>
      </c>
      <c r="I1161">
        <v>1</v>
      </c>
      <c r="J1161">
        <v>1</v>
      </c>
      <c r="K1161" s="1">
        <v>41559</v>
      </c>
      <c r="L1161">
        <v>96</v>
      </c>
      <c r="M1161" t="str">
        <f t="shared" si="55"/>
        <v>Inactive</v>
      </c>
      <c r="N1161">
        <v>0</v>
      </c>
      <c r="O1161">
        <v>309</v>
      </c>
      <c r="P1161">
        <v>3</v>
      </c>
      <c r="Q1161">
        <v>24</v>
      </c>
      <c r="R1161">
        <v>4</v>
      </c>
      <c r="S1161">
        <v>3</v>
      </c>
      <c r="T1161">
        <v>20</v>
      </c>
      <c r="U1161">
        <v>363</v>
      </c>
      <c r="V1161">
        <v>2</v>
      </c>
      <c r="W1161">
        <v>5</v>
      </c>
      <c r="X1161">
        <v>1</v>
      </c>
      <c r="Y1161">
        <v>7</v>
      </c>
      <c r="Z1161">
        <v>13</v>
      </c>
      <c r="AA1161">
        <v>7</v>
      </c>
      <c r="AB1161" t="str">
        <f t="shared" si="56"/>
        <v>Below average customer</v>
      </c>
    </row>
    <row r="1162" spans="1:28" x14ac:dyDescent="0.35">
      <c r="A1162">
        <v>7192</v>
      </c>
      <c r="B1162">
        <v>1955</v>
      </c>
      <c r="C1162" t="s">
        <v>25</v>
      </c>
      <c r="D1162" t="s">
        <v>26</v>
      </c>
      <c r="E1162" t="s">
        <v>29</v>
      </c>
      <c r="F1162">
        <v>65748</v>
      </c>
      <c r="G1162" t="str">
        <f t="shared" si="54"/>
        <v>Mid-high</v>
      </c>
      <c r="H1162">
        <v>0</v>
      </c>
      <c r="I1162">
        <v>1</v>
      </c>
      <c r="J1162">
        <v>1</v>
      </c>
      <c r="K1162" s="1">
        <v>41379</v>
      </c>
      <c r="L1162">
        <v>58</v>
      </c>
      <c r="M1162" t="str">
        <f t="shared" si="55"/>
        <v>Inactive</v>
      </c>
      <c r="N1162">
        <v>1</v>
      </c>
      <c r="O1162">
        <v>172</v>
      </c>
      <c r="P1162">
        <v>73</v>
      </c>
      <c r="Q1162">
        <v>93</v>
      </c>
      <c r="R1162">
        <v>95</v>
      </c>
      <c r="S1162">
        <v>78</v>
      </c>
      <c r="T1162">
        <v>34</v>
      </c>
      <c r="U1162">
        <v>545</v>
      </c>
      <c r="V1162">
        <v>2</v>
      </c>
      <c r="W1162">
        <v>2</v>
      </c>
      <c r="X1162">
        <v>4</v>
      </c>
      <c r="Y1162">
        <v>10</v>
      </c>
      <c r="Z1162">
        <v>16</v>
      </c>
      <c r="AA1162">
        <v>1</v>
      </c>
      <c r="AB1162" t="str">
        <f t="shared" si="56"/>
        <v>Below average customer</v>
      </c>
    </row>
    <row r="1163" spans="1:28" x14ac:dyDescent="0.35">
      <c r="A1163">
        <v>2324</v>
      </c>
      <c r="B1163">
        <v>1972</v>
      </c>
      <c r="C1163" t="s">
        <v>28</v>
      </c>
      <c r="D1163" t="s">
        <v>26</v>
      </c>
      <c r="E1163" t="s">
        <v>29</v>
      </c>
      <c r="F1163">
        <v>77044</v>
      </c>
      <c r="G1163" t="str">
        <f t="shared" si="54"/>
        <v>High</v>
      </c>
      <c r="H1163">
        <v>0</v>
      </c>
      <c r="I1163">
        <v>1</v>
      </c>
      <c r="J1163">
        <v>1</v>
      </c>
      <c r="K1163" s="1">
        <v>41574</v>
      </c>
      <c r="L1163">
        <v>12</v>
      </c>
      <c r="M1163" t="str">
        <f t="shared" si="55"/>
        <v>Active</v>
      </c>
      <c r="N1163">
        <v>0</v>
      </c>
      <c r="O1163">
        <v>625</v>
      </c>
      <c r="P1163">
        <v>38</v>
      </c>
      <c r="Q1163">
        <v>242</v>
      </c>
      <c r="R1163">
        <v>50</v>
      </c>
      <c r="S1163">
        <v>34</v>
      </c>
      <c r="T1163">
        <v>76</v>
      </c>
      <c r="U1163">
        <v>1065</v>
      </c>
      <c r="V1163">
        <v>2</v>
      </c>
      <c r="W1163">
        <v>7</v>
      </c>
      <c r="X1163">
        <v>11</v>
      </c>
      <c r="Y1163">
        <v>11</v>
      </c>
      <c r="Z1163">
        <v>29</v>
      </c>
      <c r="AA1163">
        <v>4</v>
      </c>
      <c r="AB1163" t="str">
        <f t="shared" si="56"/>
        <v>Above average customer</v>
      </c>
    </row>
    <row r="1164" spans="1:28" x14ac:dyDescent="0.35">
      <c r="A1164">
        <v>697</v>
      </c>
      <c r="B1164">
        <v>1969</v>
      </c>
      <c r="C1164" t="s">
        <v>28</v>
      </c>
      <c r="D1164" t="s">
        <v>26</v>
      </c>
      <c r="E1164" t="s">
        <v>29</v>
      </c>
      <c r="F1164">
        <v>74918</v>
      </c>
      <c r="G1164" t="str">
        <f t="shared" si="54"/>
        <v>High</v>
      </c>
      <c r="H1164">
        <v>0</v>
      </c>
      <c r="I1164">
        <v>0</v>
      </c>
      <c r="J1164">
        <v>0</v>
      </c>
      <c r="K1164" s="1">
        <v>41345</v>
      </c>
      <c r="L1164">
        <v>78</v>
      </c>
      <c r="M1164" t="str">
        <f t="shared" si="55"/>
        <v>Inactive</v>
      </c>
      <c r="N1164">
        <v>0</v>
      </c>
      <c r="O1164">
        <v>972</v>
      </c>
      <c r="P1164">
        <v>59</v>
      </c>
      <c r="Q1164">
        <v>913</v>
      </c>
      <c r="R1164">
        <v>25</v>
      </c>
      <c r="S1164">
        <v>19</v>
      </c>
      <c r="T1164">
        <v>59</v>
      </c>
      <c r="U1164">
        <v>2047</v>
      </c>
      <c r="V1164">
        <v>1</v>
      </c>
      <c r="W1164">
        <v>5</v>
      </c>
      <c r="X1164">
        <v>9</v>
      </c>
      <c r="Y1164">
        <v>6</v>
      </c>
      <c r="Z1164">
        <v>20</v>
      </c>
      <c r="AA1164">
        <v>3</v>
      </c>
      <c r="AB1164" t="str">
        <f t="shared" si="56"/>
        <v>Below average customer</v>
      </c>
    </row>
    <row r="1165" spans="1:28" x14ac:dyDescent="0.35">
      <c r="A1165">
        <v>3439</v>
      </c>
      <c r="B1165">
        <v>1972</v>
      </c>
      <c r="C1165" t="s">
        <v>28</v>
      </c>
      <c r="D1165" t="s">
        <v>26</v>
      </c>
      <c r="E1165" t="s">
        <v>33</v>
      </c>
      <c r="F1165">
        <v>56721</v>
      </c>
      <c r="G1165" t="str">
        <f t="shared" si="54"/>
        <v>Mid-high</v>
      </c>
      <c r="H1165">
        <v>1</v>
      </c>
      <c r="I1165">
        <v>1</v>
      </c>
      <c r="J1165">
        <v>2</v>
      </c>
      <c r="K1165" s="1">
        <v>41213</v>
      </c>
      <c r="L1165">
        <v>64</v>
      </c>
      <c r="M1165" t="str">
        <f t="shared" si="55"/>
        <v>Inactive</v>
      </c>
      <c r="N1165">
        <v>0</v>
      </c>
      <c r="O1165">
        <v>157</v>
      </c>
      <c r="P1165">
        <v>6</v>
      </c>
      <c r="Q1165">
        <v>39</v>
      </c>
      <c r="R1165">
        <v>6</v>
      </c>
      <c r="S1165">
        <v>13</v>
      </c>
      <c r="T1165">
        <v>75</v>
      </c>
      <c r="U1165">
        <v>296</v>
      </c>
      <c r="V1165">
        <v>5</v>
      </c>
      <c r="W1165">
        <v>4</v>
      </c>
      <c r="X1165">
        <v>1</v>
      </c>
      <c r="Y1165">
        <v>5</v>
      </c>
      <c r="Z1165">
        <v>10</v>
      </c>
      <c r="AA1165">
        <v>6</v>
      </c>
      <c r="AB1165" t="str">
        <f t="shared" si="56"/>
        <v>Below average customer</v>
      </c>
    </row>
    <row r="1166" spans="1:28" x14ac:dyDescent="0.35">
      <c r="A1166">
        <v>1506</v>
      </c>
      <c r="B1166">
        <v>1975</v>
      </c>
      <c r="C1166" t="s">
        <v>31</v>
      </c>
      <c r="D1166" t="s">
        <v>26</v>
      </c>
      <c r="E1166" t="s">
        <v>27</v>
      </c>
      <c r="F1166">
        <v>42160</v>
      </c>
      <c r="G1166" t="str">
        <f t="shared" si="54"/>
        <v>Mid-low</v>
      </c>
      <c r="H1166">
        <v>1</v>
      </c>
      <c r="I1166">
        <v>1</v>
      </c>
      <c r="J1166">
        <v>2</v>
      </c>
      <c r="K1166" s="1">
        <v>41453</v>
      </c>
      <c r="L1166">
        <v>26</v>
      </c>
      <c r="M1166" t="str">
        <f t="shared" si="55"/>
        <v>Active</v>
      </c>
      <c r="N1166">
        <v>0</v>
      </c>
      <c r="O1166">
        <v>48</v>
      </c>
      <c r="P1166">
        <v>9</v>
      </c>
      <c r="Q1166">
        <v>45</v>
      </c>
      <c r="R1166">
        <v>3</v>
      </c>
      <c r="S1166">
        <v>15</v>
      </c>
      <c r="T1166">
        <v>20</v>
      </c>
      <c r="U1166">
        <v>140</v>
      </c>
      <c r="V1166">
        <v>4</v>
      </c>
      <c r="W1166">
        <v>2</v>
      </c>
      <c r="X1166">
        <v>1</v>
      </c>
      <c r="Y1166">
        <v>4</v>
      </c>
      <c r="Z1166">
        <v>7</v>
      </c>
      <c r="AA1166">
        <v>6</v>
      </c>
      <c r="AB1166" t="str">
        <f t="shared" si="56"/>
        <v>Below average customer</v>
      </c>
    </row>
    <row r="1167" spans="1:28" x14ac:dyDescent="0.35">
      <c r="A1167">
        <v>232</v>
      </c>
      <c r="B1167">
        <v>1965</v>
      </c>
      <c r="C1167" t="s">
        <v>28</v>
      </c>
      <c r="D1167" t="s">
        <v>26</v>
      </c>
      <c r="E1167" t="s">
        <v>27</v>
      </c>
      <c r="F1167">
        <v>61559</v>
      </c>
      <c r="G1167" t="str">
        <f t="shared" si="54"/>
        <v>Mid-high</v>
      </c>
      <c r="H1167">
        <v>0</v>
      </c>
      <c r="I1167">
        <v>1</v>
      </c>
      <c r="J1167">
        <v>1</v>
      </c>
      <c r="K1167" s="1">
        <v>41472</v>
      </c>
      <c r="L1167">
        <v>8</v>
      </c>
      <c r="M1167" t="str">
        <f t="shared" si="55"/>
        <v>Active</v>
      </c>
      <c r="N1167">
        <v>0</v>
      </c>
      <c r="O1167">
        <v>279</v>
      </c>
      <c r="P1167">
        <v>83</v>
      </c>
      <c r="Q1167">
        <v>88</v>
      </c>
      <c r="R1167">
        <v>32</v>
      </c>
      <c r="S1167">
        <v>14</v>
      </c>
      <c r="T1167">
        <v>34</v>
      </c>
      <c r="U1167">
        <v>530</v>
      </c>
      <c r="V1167">
        <v>1</v>
      </c>
      <c r="W1167">
        <v>4</v>
      </c>
      <c r="X1167">
        <v>2</v>
      </c>
      <c r="Y1167">
        <v>10</v>
      </c>
      <c r="Z1167">
        <v>16</v>
      </c>
      <c r="AA1167">
        <v>3</v>
      </c>
      <c r="AB1167" t="str">
        <f t="shared" si="56"/>
        <v>Below average customer</v>
      </c>
    </row>
    <row r="1168" spans="1:28" x14ac:dyDescent="0.35">
      <c r="A1168">
        <v>8876</v>
      </c>
      <c r="B1168">
        <v>1963</v>
      </c>
      <c r="C1168" t="s">
        <v>28</v>
      </c>
      <c r="D1168" t="s">
        <v>32</v>
      </c>
      <c r="E1168" t="s">
        <v>29</v>
      </c>
      <c r="F1168">
        <v>33629</v>
      </c>
      <c r="G1168" t="str">
        <f t="shared" si="54"/>
        <v>Low</v>
      </c>
      <c r="H1168">
        <v>1</v>
      </c>
      <c r="I1168">
        <v>1</v>
      </c>
      <c r="J1168">
        <v>2</v>
      </c>
      <c r="K1168" s="1">
        <v>41129</v>
      </c>
      <c r="L1168">
        <v>49</v>
      </c>
      <c r="M1168" t="str">
        <f t="shared" si="55"/>
        <v>Inactive</v>
      </c>
      <c r="N1168">
        <v>0</v>
      </c>
      <c r="O1168">
        <v>132</v>
      </c>
      <c r="P1168">
        <v>0</v>
      </c>
      <c r="Q1168">
        <v>16</v>
      </c>
      <c r="R1168">
        <v>0</v>
      </c>
      <c r="S1168">
        <v>0</v>
      </c>
      <c r="T1168">
        <v>4</v>
      </c>
      <c r="U1168">
        <v>152</v>
      </c>
      <c r="V1168">
        <v>5</v>
      </c>
      <c r="W1168">
        <v>3</v>
      </c>
      <c r="X1168">
        <v>1</v>
      </c>
      <c r="Y1168">
        <v>4</v>
      </c>
      <c r="Z1168">
        <v>8</v>
      </c>
      <c r="AA1168">
        <v>9</v>
      </c>
      <c r="AB1168" t="str">
        <f t="shared" si="56"/>
        <v>Below average customer</v>
      </c>
    </row>
    <row r="1169" spans="1:28" x14ac:dyDescent="0.35">
      <c r="A1169">
        <v>9739</v>
      </c>
      <c r="B1169">
        <v>1963</v>
      </c>
      <c r="C1169" t="s">
        <v>28</v>
      </c>
      <c r="D1169" t="s">
        <v>26</v>
      </c>
      <c r="E1169" t="s">
        <v>27</v>
      </c>
      <c r="F1169">
        <v>34377</v>
      </c>
      <c r="G1169" t="str">
        <f t="shared" si="54"/>
        <v>Low</v>
      </c>
      <c r="H1169">
        <v>0</v>
      </c>
      <c r="I1169">
        <v>1</v>
      </c>
      <c r="J1169">
        <v>1</v>
      </c>
      <c r="K1169" s="1">
        <v>41293</v>
      </c>
      <c r="L1169">
        <v>55</v>
      </c>
      <c r="M1169" t="str">
        <f t="shared" si="55"/>
        <v>Inactive</v>
      </c>
      <c r="N1169">
        <v>0</v>
      </c>
      <c r="O1169">
        <v>62</v>
      </c>
      <c r="P1169">
        <v>0</v>
      </c>
      <c r="Q1169">
        <v>22</v>
      </c>
      <c r="R1169">
        <v>3</v>
      </c>
      <c r="S1169">
        <v>1</v>
      </c>
      <c r="T1169">
        <v>26</v>
      </c>
      <c r="U1169">
        <v>114</v>
      </c>
      <c r="V1169">
        <v>2</v>
      </c>
      <c r="W1169">
        <v>2</v>
      </c>
      <c r="X1169">
        <v>2</v>
      </c>
      <c r="Y1169">
        <v>2</v>
      </c>
      <c r="Z1169">
        <v>6</v>
      </c>
      <c r="AA1169">
        <v>7</v>
      </c>
      <c r="AB1169" t="str">
        <f t="shared" si="56"/>
        <v>Below average customer</v>
      </c>
    </row>
    <row r="1170" spans="1:28" x14ac:dyDescent="0.35">
      <c r="A1170">
        <v>10395</v>
      </c>
      <c r="B1170">
        <v>1986</v>
      </c>
      <c r="C1170" t="s">
        <v>30</v>
      </c>
      <c r="D1170" t="s">
        <v>37</v>
      </c>
      <c r="E1170" t="s">
        <v>27</v>
      </c>
      <c r="F1170">
        <v>8940</v>
      </c>
      <c r="G1170" t="str">
        <f t="shared" si="54"/>
        <v>Low</v>
      </c>
      <c r="H1170">
        <v>1</v>
      </c>
      <c r="I1170">
        <v>0</v>
      </c>
      <c r="J1170">
        <v>1</v>
      </c>
      <c r="K1170" s="1">
        <v>41143</v>
      </c>
      <c r="L1170">
        <v>25</v>
      </c>
      <c r="M1170" t="str">
        <f t="shared" si="55"/>
        <v>Active</v>
      </c>
      <c r="N1170">
        <v>0</v>
      </c>
      <c r="O1170">
        <v>1</v>
      </c>
      <c r="P1170">
        <v>45</v>
      </c>
      <c r="Q1170">
        <v>3</v>
      </c>
      <c r="R1170">
        <v>4</v>
      </c>
      <c r="S1170">
        <v>6</v>
      </c>
      <c r="T1170">
        <v>42</v>
      </c>
      <c r="U1170">
        <v>101</v>
      </c>
      <c r="V1170">
        <v>3</v>
      </c>
      <c r="W1170">
        <v>3</v>
      </c>
      <c r="X1170">
        <v>1</v>
      </c>
      <c r="Y1170">
        <v>3</v>
      </c>
      <c r="Z1170">
        <v>7</v>
      </c>
      <c r="AA1170">
        <v>8</v>
      </c>
      <c r="AB1170" t="str">
        <f t="shared" si="56"/>
        <v>Below average customer</v>
      </c>
    </row>
    <row r="1171" spans="1:28" x14ac:dyDescent="0.35">
      <c r="A1171">
        <v>1176</v>
      </c>
      <c r="B1171">
        <v>1973</v>
      </c>
      <c r="C1171" t="s">
        <v>31</v>
      </c>
      <c r="D1171" t="s">
        <v>26</v>
      </c>
      <c r="E1171" t="s">
        <v>33</v>
      </c>
      <c r="F1171">
        <v>26228</v>
      </c>
      <c r="G1171" t="str">
        <f t="shared" si="54"/>
        <v>Low</v>
      </c>
      <c r="H1171">
        <v>1</v>
      </c>
      <c r="I1171">
        <v>0</v>
      </c>
      <c r="J1171">
        <v>1</v>
      </c>
      <c r="K1171" s="1">
        <v>41539</v>
      </c>
      <c r="L1171">
        <v>50</v>
      </c>
      <c r="M1171" t="str">
        <f t="shared" si="55"/>
        <v>Inactive</v>
      </c>
      <c r="N1171">
        <v>0</v>
      </c>
      <c r="O1171">
        <v>2</v>
      </c>
      <c r="P1171">
        <v>6</v>
      </c>
      <c r="Q1171">
        <v>4</v>
      </c>
      <c r="R1171">
        <v>3</v>
      </c>
      <c r="S1171">
        <v>1</v>
      </c>
      <c r="T1171">
        <v>9</v>
      </c>
      <c r="U1171">
        <v>25</v>
      </c>
      <c r="V1171">
        <v>1</v>
      </c>
      <c r="W1171">
        <v>1</v>
      </c>
      <c r="X1171">
        <v>0</v>
      </c>
      <c r="Y1171">
        <v>2</v>
      </c>
      <c r="Z1171">
        <v>3</v>
      </c>
      <c r="AA1171">
        <v>8</v>
      </c>
      <c r="AB1171" t="str">
        <f t="shared" si="56"/>
        <v>Below average customer</v>
      </c>
    </row>
    <row r="1172" spans="1:28" x14ac:dyDescent="0.35">
      <c r="A1172">
        <v>1627</v>
      </c>
      <c r="B1172">
        <v>1957</v>
      </c>
      <c r="C1172" t="s">
        <v>25</v>
      </c>
      <c r="D1172" t="s">
        <v>34</v>
      </c>
      <c r="E1172" t="s">
        <v>35</v>
      </c>
      <c r="F1172">
        <v>77297</v>
      </c>
      <c r="G1172" t="str">
        <f t="shared" si="54"/>
        <v>High</v>
      </c>
      <c r="H1172">
        <v>0</v>
      </c>
      <c r="I1172">
        <v>0</v>
      </c>
      <c r="J1172">
        <v>0</v>
      </c>
      <c r="K1172" s="1">
        <v>41300</v>
      </c>
      <c r="L1172">
        <v>84</v>
      </c>
      <c r="M1172" t="str">
        <f t="shared" si="55"/>
        <v>Inactive</v>
      </c>
      <c r="N1172">
        <v>0</v>
      </c>
      <c r="O1172">
        <v>408</v>
      </c>
      <c r="P1172">
        <v>61</v>
      </c>
      <c r="Q1172">
        <v>109</v>
      </c>
      <c r="R1172">
        <v>48</v>
      </c>
      <c r="S1172">
        <v>122</v>
      </c>
      <c r="T1172">
        <v>41</v>
      </c>
      <c r="U1172">
        <v>789</v>
      </c>
      <c r="V1172">
        <v>1</v>
      </c>
      <c r="W1172">
        <v>5</v>
      </c>
      <c r="X1172">
        <v>7</v>
      </c>
      <c r="Y1172">
        <v>9</v>
      </c>
      <c r="Z1172">
        <v>21</v>
      </c>
      <c r="AA1172">
        <v>4</v>
      </c>
      <c r="AB1172" t="str">
        <f t="shared" si="56"/>
        <v>Below average customer</v>
      </c>
    </row>
    <row r="1173" spans="1:28" x14ac:dyDescent="0.35">
      <c r="A1173">
        <v>938</v>
      </c>
      <c r="B1173">
        <v>1981</v>
      </c>
      <c r="C1173" t="s">
        <v>31</v>
      </c>
      <c r="D1173" t="s">
        <v>26</v>
      </c>
      <c r="E1173" t="s">
        <v>33</v>
      </c>
      <c r="F1173">
        <v>40211</v>
      </c>
      <c r="G1173" t="str">
        <f t="shared" si="54"/>
        <v>Mid-low</v>
      </c>
      <c r="H1173">
        <v>1</v>
      </c>
      <c r="I1173">
        <v>1</v>
      </c>
      <c r="J1173">
        <v>2</v>
      </c>
      <c r="K1173" s="1">
        <v>41485</v>
      </c>
      <c r="L1173">
        <v>30</v>
      </c>
      <c r="M1173" t="str">
        <f t="shared" si="55"/>
        <v>Active</v>
      </c>
      <c r="N1173">
        <v>0</v>
      </c>
      <c r="O1173">
        <v>51</v>
      </c>
      <c r="P1173">
        <v>1</v>
      </c>
      <c r="Q1173">
        <v>7</v>
      </c>
      <c r="R1173">
        <v>2</v>
      </c>
      <c r="S1173">
        <v>1</v>
      </c>
      <c r="T1173">
        <v>25</v>
      </c>
      <c r="U1173">
        <v>87</v>
      </c>
      <c r="V1173">
        <v>2</v>
      </c>
      <c r="W1173">
        <v>2</v>
      </c>
      <c r="X1173">
        <v>1</v>
      </c>
      <c r="Y1173">
        <v>2</v>
      </c>
      <c r="Z1173">
        <v>5</v>
      </c>
      <c r="AA1173">
        <v>8</v>
      </c>
      <c r="AB1173" t="str">
        <f t="shared" si="56"/>
        <v>Below average customer</v>
      </c>
    </row>
    <row r="1174" spans="1:28" x14ac:dyDescent="0.35">
      <c r="A1174">
        <v>2740</v>
      </c>
      <c r="B1174">
        <v>1958</v>
      </c>
      <c r="C1174" t="s">
        <v>25</v>
      </c>
      <c r="D1174" t="s">
        <v>32</v>
      </c>
      <c r="E1174" t="s">
        <v>38</v>
      </c>
      <c r="F1174">
        <v>33438</v>
      </c>
      <c r="G1174" t="str">
        <f t="shared" si="54"/>
        <v>Low</v>
      </c>
      <c r="H1174">
        <v>1</v>
      </c>
      <c r="I1174">
        <v>1</v>
      </c>
      <c r="J1174">
        <v>2</v>
      </c>
      <c r="K1174" s="1">
        <v>41539</v>
      </c>
      <c r="L1174">
        <v>81</v>
      </c>
      <c r="M1174" t="str">
        <f t="shared" si="55"/>
        <v>Inactive</v>
      </c>
      <c r="N1174">
        <v>0</v>
      </c>
      <c r="O1174">
        <v>62</v>
      </c>
      <c r="P1174">
        <v>1</v>
      </c>
      <c r="Q1174">
        <v>16</v>
      </c>
      <c r="R1174">
        <v>3</v>
      </c>
      <c r="S1174">
        <v>2</v>
      </c>
      <c r="T1174">
        <v>6</v>
      </c>
      <c r="U1174">
        <v>90</v>
      </c>
      <c r="V1174">
        <v>4</v>
      </c>
      <c r="W1174">
        <v>2</v>
      </c>
      <c r="X1174">
        <v>1</v>
      </c>
      <c r="Y1174">
        <v>4</v>
      </c>
      <c r="Z1174">
        <v>7</v>
      </c>
      <c r="AA1174">
        <v>5</v>
      </c>
      <c r="AB1174" t="str">
        <f t="shared" si="56"/>
        <v>Below average customer</v>
      </c>
    </row>
    <row r="1175" spans="1:28" x14ac:dyDescent="0.35">
      <c r="A1175">
        <v>257</v>
      </c>
      <c r="B1175">
        <v>1959</v>
      </c>
      <c r="C1175" t="s">
        <v>25</v>
      </c>
      <c r="D1175" t="s">
        <v>32</v>
      </c>
      <c r="E1175" t="s">
        <v>33</v>
      </c>
      <c r="F1175">
        <v>75032</v>
      </c>
      <c r="G1175" t="str">
        <f t="shared" si="54"/>
        <v>High</v>
      </c>
      <c r="H1175">
        <v>0</v>
      </c>
      <c r="I1175">
        <v>1</v>
      </c>
      <c r="J1175">
        <v>1</v>
      </c>
      <c r="K1175" s="1">
        <v>41392</v>
      </c>
      <c r="L1175">
        <v>74</v>
      </c>
      <c r="M1175" t="str">
        <f t="shared" si="55"/>
        <v>Inactive</v>
      </c>
      <c r="N1175">
        <v>0</v>
      </c>
      <c r="O1175">
        <v>952</v>
      </c>
      <c r="P1175">
        <v>12</v>
      </c>
      <c r="Q1175">
        <v>180</v>
      </c>
      <c r="R1175">
        <v>47</v>
      </c>
      <c r="S1175">
        <v>12</v>
      </c>
      <c r="T1175">
        <v>12</v>
      </c>
      <c r="U1175">
        <v>1215</v>
      </c>
      <c r="V1175">
        <v>2</v>
      </c>
      <c r="W1175">
        <v>5</v>
      </c>
      <c r="X1175">
        <v>4</v>
      </c>
      <c r="Y1175">
        <v>9</v>
      </c>
      <c r="Z1175">
        <v>18</v>
      </c>
      <c r="AA1175">
        <v>3</v>
      </c>
      <c r="AB1175" t="str">
        <f t="shared" si="56"/>
        <v>Below average customer</v>
      </c>
    </row>
    <row r="1176" spans="1:28" x14ac:dyDescent="0.35">
      <c r="A1176">
        <v>4058</v>
      </c>
      <c r="B1176">
        <v>1955</v>
      </c>
      <c r="C1176" t="s">
        <v>25</v>
      </c>
      <c r="D1176" t="s">
        <v>32</v>
      </c>
      <c r="E1176" t="s">
        <v>27</v>
      </c>
      <c r="F1176">
        <v>61284</v>
      </c>
      <c r="G1176" t="str">
        <f t="shared" si="54"/>
        <v>Mid-high</v>
      </c>
      <c r="H1176">
        <v>0</v>
      </c>
      <c r="I1176">
        <v>0</v>
      </c>
      <c r="J1176">
        <v>0</v>
      </c>
      <c r="K1176" s="1">
        <v>41559</v>
      </c>
      <c r="L1176">
        <v>76</v>
      </c>
      <c r="M1176" t="str">
        <f t="shared" si="55"/>
        <v>Inactive</v>
      </c>
      <c r="N1176">
        <v>0</v>
      </c>
      <c r="O1176">
        <v>618</v>
      </c>
      <c r="P1176">
        <v>15</v>
      </c>
      <c r="Q1176">
        <v>106</v>
      </c>
      <c r="R1176">
        <v>20</v>
      </c>
      <c r="S1176">
        <v>7</v>
      </c>
      <c r="T1176">
        <v>45</v>
      </c>
      <c r="U1176">
        <v>811</v>
      </c>
      <c r="V1176">
        <v>1</v>
      </c>
      <c r="W1176">
        <v>11</v>
      </c>
      <c r="X1176">
        <v>2</v>
      </c>
      <c r="Y1176">
        <v>8</v>
      </c>
      <c r="Z1176">
        <v>21</v>
      </c>
      <c r="AA1176">
        <v>6</v>
      </c>
      <c r="AB1176" t="str">
        <f t="shared" si="56"/>
        <v>Below average customer</v>
      </c>
    </row>
    <row r="1177" spans="1:28" x14ac:dyDescent="0.35">
      <c r="A1177">
        <v>7736</v>
      </c>
      <c r="B1177">
        <v>1986</v>
      </c>
      <c r="C1177" t="s">
        <v>30</v>
      </c>
      <c r="D1177" t="s">
        <v>26</v>
      </c>
      <c r="E1177" t="s">
        <v>33</v>
      </c>
      <c r="F1177">
        <v>22518</v>
      </c>
      <c r="G1177" t="str">
        <f t="shared" si="54"/>
        <v>Low</v>
      </c>
      <c r="H1177">
        <v>1</v>
      </c>
      <c r="I1177">
        <v>0</v>
      </c>
      <c r="J1177">
        <v>1</v>
      </c>
      <c r="K1177" s="1">
        <v>41204</v>
      </c>
      <c r="L1177">
        <v>36</v>
      </c>
      <c r="M1177" t="str">
        <f t="shared" si="55"/>
        <v>Active</v>
      </c>
      <c r="N1177">
        <v>0</v>
      </c>
      <c r="O1177">
        <v>11</v>
      </c>
      <c r="P1177">
        <v>7</v>
      </c>
      <c r="Q1177">
        <v>12</v>
      </c>
      <c r="R1177">
        <v>2</v>
      </c>
      <c r="S1177">
        <v>2</v>
      </c>
      <c r="T1177">
        <v>27</v>
      </c>
      <c r="U1177">
        <v>61</v>
      </c>
      <c r="V1177">
        <v>2</v>
      </c>
      <c r="W1177">
        <v>2</v>
      </c>
      <c r="X1177">
        <v>1</v>
      </c>
      <c r="Y1177">
        <v>2</v>
      </c>
      <c r="Z1177">
        <v>5</v>
      </c>
      <c r="AA1177">
        <v>5</v>
      </c>
      <c r="AB1177" t="str">
        <f t="shared" si="56"/>
        <v>Below average customer</v>
      </c>
    </row>
    <row r="1178" spans="1:28" x14ac:dyDescent="0.35">
      <c r="A1178">
        <v>8210</v>
      </c>
      <c r="B1178">
        <v>1975</v>
      </c>
      <c r="C1178" t="s">
        <v>31</v>
      </c>
      <c r="D1178" t="s">
        <v>34</v>
      </c>
      <c r="E1178" t="s">
        <v>33</v>
      </c>
      <c r="F1178">
        <v>54730</v>
      </c>
      <c r="G1178" t="str">
        <f t="shared" si="54"/>
        <v>Mid-high</v>
      </c>
      <c r="H1178">
        <v>0</v>
      </c>
      <c r="I1178">
        <v>1</v>
      </c>
      <c r="J1178">
        <v>1</v>
      </c>
      <c r="K1178" s="1">
        <v>41501</v>
      </c>
      <c r="L1178">
        <v>64</v>
      </c>
      <c r="M1178" t="str">
        <f t="shared" si="55"/>
        <v>Inactive</v>
      </c>
      <c r="N1178">
        <v>0</v>
      </c>
      <c r="O1178">
        <v>318</v>
      </c>
      <c r="P1178">
        <v>3</v>
      </c>
      <c r="Q1178">
        <v>17</v>
      </c>
      <c r="R1178">
        <v>4</v>
      </c>
      <c r="S1178">
        <v>7</v>
      </c>
      <c r="T1178">
        <v>56</v>
      </c>
      <c r="U1178">
        <v>405</v>
      </c>
      <c r="V1178">
        <v>5</v>
      </c>
      <c r="W1178">
        <v>4</v>
      </c>
      <c r="X1178">
        <v>1</v>
      </c>
      <c r="Y1178">
        <v>8</v>
      </c>
      <c r="Z1178">
        <v>13</v>
      </c>
      <c r="AA1178">
        <v>4</v>
      </c>
      <c r="AB1178" t="str">
        <f t="shared" si="56"/>
        <v>Below average customer</v>
      </c>
    </row>
    <row r="1179" spans="1:28" x14ac:dyDescent="0.35">
      <c r="A1179">
        <v>833</v>
      </c>
      <c r="B1179">
        <v>1955</v>
      </c>
      <c r="C1179" t="s">
        <v>25</v>
      </c>
      <c r="D1179" t="s">
        <v>34</v>
      </c>
      <c r="E1179" t="s">
        <v>33</v>
      </c>
      <c r="F1179">
        <v>38452</v>
      </c>
      <c r="G1179" t="str">
        <f t="shared" si="54"/>
        <v>Mid-low</v>
      </c>
      <c r="H1179">
        <v>1</v>
      </c>
      <c r="I1179">
        <v>1</v>
      </c>
      <c r="J1179">
        <v>2</v>
      </c>
      <c r="K1179" s="1">
        <v>41728</v>
      </c>
      <c r="L1179">
        <v>62</v>
      </c>
      <c r="M1179" t="str">
        <f t="shared" si="55"/>
        <v>Inactive</v>
      </c>
      <c r="N1179">
        <v>0</v>
      </c>
      <c r="O1179">
        <v>56</v>
      </c>
      <c r="P1179">
        <v>0</v>
      </c>
      <c r="Q1179">
        <v>14</v>
      </c>
      <c r="R1179">
        <v>0</v>
      </c>
      <c r="S1179">
        <v>0</v>
      </c>
      <c r="T1179">
        <v>2</v>
      </c>
      <c r="U1179">
        <v>72</v>
      </c>
      <c r="V1179">
        <v>3</v>
      </c>
      <c r="W1179">
        <v>3</v>
      </c>
      <c r="X1179">
        <v>0</v>
      </c>
      <c r="Y1179">
        <v>3</v>
      </c>
      <c r="Z1179">
        <v>6</v>
      </c>
      <c r="AA1179">
        <v>7</v>
      </c>
      <c r="AB1179" t="str">
        <f t="shared" si="56"/>
        <v>Below average customer</v>
      </c>
    </row>
    <row r="1180" spans="1:28" x14ac:dyDescent="0.35">
      <c r="A1180">
        <v>6230</v>
      </c>
      <c r="B1180">
        <v>1971</v>
      </c>
      <c r="C1180" t="s">
        <v>28</v>
      </c>
      <c r="D1180" t="s">
        <v>26</v>
      </c>
      <c r="E1180" t="s">
        <v>35</v>
      </c>
      <c r="F1180">
        <v>44421</v>
      </c>
      <c r="G1180" t="str">
        <f t="shared" si="54"/>
        <v>Mid-low</v>
      </c>
      <c r="H1180">
        <v>1</v>
      </c>
      <c r="I1180">
        <v>1</v>
      </c>
      <c r="J1180">
        <v>2</v>
      </c>
      <c r="K1180" s="1">
        <v>41320</v>
      </c>
      <c r="L1180">
        <v>53</v>
      </c>
      <c r="M1180" t="str">
        <f t="shared" si="55"/>
        <v>Inactive</v>
      </c>
      <c r="N1180">
        <v>0</v>
      </c>
      <c r="O1180">
        <v>110</v>
      </c>
      <c r="P1180">
        <v>5</v>
      </c>
      <c r="Q1180">
        <v>59</v>
      </c>
      <c r="R1180">
        <v>7</v>
      </c>
      <c r="S1180">
        <v>1</v>
      </c>
      <c r="T1180">
        <v>7</v>
      </c>
      <c r="U1180">
        <v>189</v>
      </c>
      <c r="V1180">
        <v>5</v>
      </c>
      <c r="W1180">
        <v>5</v>
      </c>
      <c r="X1180">
        <v>0</v>
      </c>
      <c r="Y1180">
        <v>4</v>
      </c>
      <c r="Z1180">
        <v>9</v>
      </c>
      <c r="AA1180">
        <v>8</v>
      </c>
      <c r="AB1180" t="str">
        <f t="shared" si="56"/>
        <v>Below average customer</v>
      </c>
    </row>
    <row r="1181" spans="1:28" x14ac:dyDescent="0.35">
      <c r="A1181">
        <v>7325</v>
      </c>
      <c r="B1181">
        <v>1986</v>
      </c>
      <c r="C1181" t="s">
        <v>30</v>
      </c>
      <c r="D1181" t="s">
        <v>32</v>
      </c>
      <c r="E1181" t="s">
        <v>29</v>
      </c>
      <c r="F1181">
        <v>38197</v>
      </c>
      <c r="G1181" t="str">
        <f t="shared" si="54"/>
        <v>Mid-low</v>
      </c>
      <c r="H1181">
        <v>1</v>
      </c>
      <c r="I1181">
        <v>0</v>
      </c>
      <c r="J1181">
        <v>1</v>
      </c>
      <c r="K1181" s="1">
        <v>41454</v>
      </c>
      <c r="L1181">
        <v>86</v>
      </c>
      <c r="M1181" t="str">
        <f t="shared" si="55"/>
        <v>Inactive</v>
      </c>
      <c r="N1181">
        <v>0</v>
      </c>
      <c r="O1181">
        <v>23</v>
      </c>
      <c r="P1181">
        <v>0</v>
      </c>
      <c r="Q1181">
        <v>11</v>
      </c>
      <c r="R1181">
        <v>2</v>
      </c>
      <c r="S1181">
        <v>1</v>
      </c>
      <c r="T1181">
        <v>3</v>
      </c>
      <c r="U1181">
        <v>40</v>
      </c>
      <c r="V1181">
        <v>1</v>
      </c>
      <c r="W1181">
        <v>1</v>
      </c>
      <c r="X1181">
        <v>0</v>
      </c>
      <c r="Y1181">
        <v>3</v>
      </c>
      <c r="Z1181">
        <v>4</v>
      </c>
      <c r="AA1181">
        <v>5</v>
      </c>
      <c r="AB1181" t="str">
        <f t="shared" si="56"/>
        <v>Below average customer</v>
      </c>
    </row>
    <row r="1182" spans="1:28" x14ac:dyDescent="0.35">
      <c r="A1182">
        <v>1307</v>
      </c>
      <c r="B1182">
        <v>1978</v>
      </c>
      <c r="C1182" t="s">
        <v>31</v>
      </c>
      <c r="D1182" t="s">
        <v>26</v>
      </c>
      <c r="E1182" t="s">
        <v>35</v>
      </c>
      <c r="F1182">
        <v>41986</v>
      </c>
      <c r="G1182" t="str">
        <f t="shared" si="54"/>
        <v>Mid-low</v>
      </c>
      <c r="H1182">
        <v>0</v>
      </c>
      <c r="I1182">
        <v>1</v>
      </c>
      <c r="J1182">
        <v>1</v>
      </c>
      <c r="K1182" s="1">
        <v>41679</v>
      </c>
      <c r="L1182">
        <v>15</v>
      </c>
      <c r="M1182" t="str">
        <f t="shared" si="55"/>
        <v>Active</v>
      </c>
      <c r="N1182">
        <v>0</v>
      </c>
      <c r="O1182">
        <v>27</v>
      </c>
      <c r="P1182">
        <v>5</v>
      </c>
      <c r="Q1182">
        <v>8</v>
      </c>
      <c r="R1182">
        <v>8</v>
      </c>
      <c r="S1182">
        <v>3</v>
      </c>
      <c r="T1182">
        <v>12</v>
      </c>
      <c r="U1182">
        <v>63</v>
      </c>
      <c r="V1182">
        <v>3</v>
      </c>
      <c r="W1182">
        <v>3</v>
      </c>
      <c r="X1182">
        <v>0</v>
      </c>
      <c r="Y1182">
        <v>4</v>
      </c>
      <c r="Z1182">
        <v>7</v>
      </c>
      <c r="AA1182">
        <v>4</v>
      </c>
      <c r="AB1182" t="str">
        <f t="shared" si="56"/>
        <v>Below average customer</v>
      </c>
    </row>
    <row r="1183" spans="1:28" x14ac:dyDescent="0.35">
      <c r="A1183">
        <v>1502</v>
      </c>
      <c r="B1183">
        <v>1983</v>
      </c>
      <c r="C1183" t="s">
        <v>30</v>
      </c>
      <c r="D1183" t="s">
        <v>26</v>
      </c>
      <c r="E1183" t="s">
        <v>29</v>
      </c>
      <c r="F1183">
        <v>28427</v>
      </c>
      <c r="G1183" t="str">
        <f t="shared" si="54"/>
        <v>Low</v>
      </c>
      <c r="H1183">
        <v>1</v>
      </c>
      <c r="I1183">
        <v>0</v>
      </c>
      <c r="J1183">
        <v>1</v>
      </c>
      <c r="K1183" s="1">
        <v>41354</v>
      </c>
      <c r="L1183">
        <v>67</v>
      </c>
      <c r="M1183" t="str">
        <f t="shared" si="55"/>
        <v>Inactive</v>
      </c>
      <c r="N1183">
        <v>0</v>
      </c>
      <c r="O1183">
        <v>18</v>
      </c>
      <c r="P1183">
        <v>3</v>
      </c>
      <c r="Q1183">
        <v>19</v>
      </c>
      <c r="R1183">
        <v>3</v>
      </c>
      <c r="S1183">
        <v>3</v>
      </c>
      <c r="T1183">
        <v>6</v>
      </c>
      <c r="U1183">
        <v>52</v>
      </c>
      <c r="V1183">
        <v>2</v>
      </c>
      <c r="W1183">
        <v>2</v>
      </c>
      <c r="X1183">
        <v>0</v>
      </c>
      <c r="Y1183">
        <v>3</v>
      </c>
      <c r="Z1183">
        <v>5</v>
      </c>
      <c r="AA1183">
        <v>8</v>
      </c>
      <c r="AB1183" t="str">
        <f t="shared" si="56"/>
        <v>Below average customer</v>
      </c>
    </row>
    <row r="1184" spans="1:28" x14ac:dyDescent="0.35">
      <c r="A1184">
        <v>6211</v>
      </c>
      <c r="B1184">
        <v>1976</v>
      </c>
      <c r="C1184" t="s">
        <v>31</v>
      </c>
      <c r="D1184" t="s">
        <v>32</v>
      </c>
      <c r="E1184" t="s">
        <v>29</v>
      </c>
      <c r="F1184">
        <v>37395</v>
      </c>
      <c r="G1184" t="str">
        <f t="shared" si="54"/>
        <v>Mid-low</v>
      </c>
      <c r="H1184">
        <v>1</v>
      </c>
      <c r="I1184">
        <v>0</v>
      </c>
      <c r="J1184">
        <v>1</v>
      </c>
      <c r="K1184" s="1">
        <v>41761</v>
      </c>
      <c r="L1184">
        <v>47</v>
      </c>
      <c r="M1184" t="str">
        <f t="shared" si="55"/>
        <v>Active</v>
      </c>
      <c r="N1184">
        <v>0</v>
      </c>
      <c r="O1184">
        <v>18</v>
      </c>
      <c r="P1184">
        <v>0</v>
      </c>
      <c r="Q1184">
        <v>9</v>
      </c>
      <c r="R1184">
        <v>0</v>
      </c>
      <c r="S1184">
        <v>1</v>
      </c>
      <c r="T1184">
        <v>11</v>
      </c>
      <c r="U1184">
        <v>39</v>
      </c>
      <c r="V1184">
        <v>1</v>
      </c>
      <c r="W1184">
        <v>1</v>
      </c>
      <c r="X1184">
        <v>0</v>
      </c>
      <c r="Y1184">
        <v>3</v>
      </c>
      <c r="Z1184">
        <v>4</v>
      </c>
      <c r="AA1184">
        <v>6</v>
      </c>
      <c r="AB1184" t="str">
        <f t="shared" si="56"/>
        <v>Below average customer</v>
      </c>
    </row>
    <row r="1185" spans="1:28" x14ac:dyDescent="0.35">
      <c r="A1185">
        <v>843</v>
      </c>
      <c r="B1185">
        <v>1971</v>
      </c>
      <c r="C1185" t="s">
        <v>28</v>
      </c>
      <c r="D1185" t="s">
        <v>26</v>
      </c>
      <c r="E1185" t="s">
        <v>33</v>
      </c>
      <c r="F1185">
        <v>64722</v>
      </c>
      <c r="G1185" t="str">
        <f t="shared" si="54"/>
        <v>Mid-high</v>
      </c>
      <c r="H1185">
        <v>1</v>
      </c>
      <c r="I1185">
        <v>0</v>
      </c>
      <c r="J1185">
        <v>1</v>
      </c>
      <c r="K1185" s="1">
        <v>41785</v>
      </c>
      <c r="L1185">
        <v>47</v>
      </c>
      <c r="M1185" t="str">
        <f t="shared" si="55"/>
        <v>Active</v>
      </c>
      <c r="N1185">
        <v>0</v>
      </c>
      <c r="O1185">
        <v>303</v>
      </c>
      <c r="P1185">
        <v>0</v>
      </c>
      <c r="Q1185">
        <v>280</v>
      </c>
      <c r="R1185">
        <v>60</v>
      </c>
      <c r="S1185">
        <v>147</v>
      </c>
      <c r="T1185">
        <v>15</v>
      </c>
      <c r="U1185">
        <v>805</v>
      </c>
      <c r="V1185">
        <v>4</v>
      </c>
      <c r="W1185">
        <v>8</v>
      </c>
      <c r="X1185">
        <v>2</v>
      </c>
      <c r="Y1185">
        <v>11</v>
      </c>
      <c r="Z1185">
        <v>21</v>
      </c>
      <c r="AA1185">
        <v>6</v>
      </c>
      <c r="AB1185" t="str">
        <f t="shared" si="56"/>
        <v>Above average customer</v>
      </c>
    </row>
    <row r="1186" spans="1:28" x14ac:dyDescent="0.35">
      <c r="A1186">
        <v>4174</v>
      </c>
      <c r="B1186">
        <v>1956</v>
      </c>
      <c r="C1186" t="s">
        <v>25</v>
      </c>
      <c r="D1186" t="s">
        <v>34</v>
      </c>
      <c r="E1186" t="s">
        <v>29</v>
      </c>
      <c r="F1186">
        <v>55249</v>
      </c>
      <c r="G1186" t="str">
        <f t="shared" si="54"/>
        <v>Mid-high</v>
      </c>
      <c r="H1186">
        <v>0</v>
      </c>
      <c r="I1186">
        <v>1</v>
      </c>
      <c r="J1186">
        <v>1</v>
      </c>
      <c r="K1186" s="1">
        <v>41746</v>
      </c>
      <c r="L1186">
        <v>81</v>
      </c>
      <c r="M1186" t="str">
        <f t="shared" si="55"/>
        <v>Inactive</v>
      </c>
      <c r="N1186">
        <v>0</v>
      </c>
      <c r="O1186">
        <v>97</v>
      </c>
      <c r="P1186">
        <v>1</v>
      </c>
      <c r="Q1186">
        <v>19</v>
      </c>
      <c r="R1186">
        <v>2</v>
      </c>
      <c r="S1186">
        <v>0</v>
      </c>
      <c r="T1186">
        <v>11</v>
      </c>
      <c r="U1186">
        <v>130</v>
      </c>
      <c r="V1186">
        <v>1</v>
      </c>
      <c r="W1186">
        <v>2</v>
      </c>
      <c r="X1186">
        <v>1</v>
      </c>
      <c r="Y1186">
        <v>4</v>
      </c>
      <c r="Z1186">
        <v>7</v>
      </c>
      <c r="AA1186">
        <v>3</v>
      </c>
      <c r="AB1186" t="str">
        <f t="shared" si="56"/>
        <v>Below average customer</v>
      </c>
    </row>
    <row r="1187" spans="1:28" x14ac:dyDescent="0.35">
      <c r="A1187">
        <v>9757</v>
      </c>
      <c r="B1187">
        <v>1972</v>
      </c>
      <c r="C1187" t="s">
        <v>28</v>
      </c>
      <c r="D1187" t="s">
        <v>26</v>
      </c>
      <c r="E1187" t="s">
        <v>29</v>
      </c>
      <c r="F1187">
        <v>84906</v>
      </c>
      <c r="G1187" t="str">
        <f t="shared" si="54"/>
        <v>High</v>
      </c>
      <c r="H1187">
        <v>0</v>
      </c>
      <c r="I1187">
        <v>0</v>
      </c>
      <c r="J1187">
        <v>0</v>
      </c>
      <c r="K1187" s="1">
        <v>41551</v>
      </c>
      <c r="L1187">
        <v>98</v>
      </c>
      <c r="M1187" t="str">
        <f t="shared" si="55"/>
        <v>Inactive</v>
      </c>
      <c r="N1187">
        <v>0</v>
      </c>
      <c r="O1187">
        <v>997</v>
      </c>
      <c r="P1187">
        <v>15</v>
      </c>
      <c r="Q1187">
        <v>414</v>
      </c>
      <c r="R1187">
        <v>99</v>
      </c>
      <c r="S1187">
        <v>30</v>
      </c>
      <c r="T1187">
        <v>76</v>
      </c>
      <c r="U1187">
        <v>1631</v>
      </c>
      <c r="V1187">
        <v>1</v>
      </c>
      <c r="W1187">
        <v>5</v>
      </c>
      <c r="X1187">
        <v>6</v>
      </c>
      <c r="Y1187">
        <v>12</v>
      </c>
      <c r="Z1187">
        <v>23</v>
      </c>
      <c r="AA1187">
        <v>2</v>
      </c>
      <c r="AB1187" t="str">
        <f t="shared" si="56"/>
        <v>Below average customer</v>
      </c>
    </row>
    <row r="1188" spans="1:28" x14ac:dyDescent="0.35">
      <c r="A1188">
        <v>286</v>
      </c>
      <c r="B1188">
        <v>1952</v>
      </c>
      <c r="C1188" t="s">
        <v>36</v>
      </c>
      <c r="D1188" t="s">
        <v>26</v>
      </c>
      <c r="E1188" t="s">
        <v>27</v>
      </c>
      <c r="F1188">
        <v>44213</v>
      </c>
      <c r="G1188" t="str">
        <f t="shared" si="54"/>
        <v>Mid-low</v>
      </c>
      <c r="H1188">
        <v>1</v>
      </c>
      <c r="I1188">
        <v>1</v>
      </c>
      <c r="J1188">
        <v>2</v>
      </c>
      <c r="K1188" s="1">
        <v>41607</v>
      </c>
      <c r="L1188">
        <v>48</v>
      </c>
      <c r="M1188" t="str">
        <f t="shared" si="55"/>
        <v>Active</v>
      </c>
      <c r="N1188">
        <v>0</v>
      </c>
      <c r="O1188">
        <v>95</v>
      </c>
      <c r="P1188">
        <v>11</v>
      </c>
      <c r="Q1188">
        <v>35</v>
      </c>
      <c r="R1188">
        <v>0</v>
      </c>
      <c r="S1188">
        <v>4</v>
      </c>
      <c r="T1188">
        <v>7</v>
      </c>
      <c r="U1188">
        <v>152</v>
      </c>
      <c r="V1188">
        <v>4</v>
      </c>
      <c r="W1188">
        <v>2</v>
      </c>
      <c r="X1188">
        <v>1</v>
      </c>
      <c r="Y1188">
        <v>5</v>
      </c>
      <c r="Z1188">
        <v>8</v>
      </c>
      <c r="AA1188">
        <v>6</v>
      </c>
      <c r="AB1188" t="str">
        <f t="shared" si="56"/>
        <v>Below average customer</v>
      </c>
    </row>
    <row r="1189" spans="1:28" x14ac:dyDescent="0.35">
      <c r="A1189">
        <v>11086</v>
      </c>
      <c r="B1189">
        <v>1984</v>
      </c>
      <c r="C1189" t="s">
        <v>30</v>
      </c>
      <c r="D1189" t="s">
        <v>37</v>
      </c>
      <c r="E1189" t="s">
        <v>27</v>
      </c>
      <c r="F1189">
        <v>25707</v>
      </c>
      <c r="G1189" t="str">
        <f t="shared" si="54"/>
        <v>Low</v>
      </c>
      <c r="H1189">
        <v>1</v>
      </c>
      <c r="I1189">
        <v>0</v>
      </c>
      <c r="J1189">
        <v>1</v>
      </c>
      <c r="K1189" s="1">
        <v>41657</v>
      </c>
      <c r="L1189">
        <v>18</v>
      </c>
      <c r="M1189" t="str">
        <f t="shared" si="55"/>
        <v>Active</v>
      </c>
      <c r="N1189">
        <v>0</v>
      </c>
      <c r="O1189">
        <v>1</v>
      </c>
      <c r="P1189">
        <v>6</v>
      </c>
      <c r="Q1189">
        <v>2</v>
      </c>
      <c r="R1189">
        <v>3</v>
      </c>
      <c r="S1189">
        <v>6</v>
      </c>
      <c r="T1189">
        <v>3</v>
      </c>
      <c r="U1189">
        <v>21</v>
      </c>
      <c r="V1189">
        <v>1</v>
      </c>
      <c r="W1189">
        <v>1</v>
      </c>
      <c r="X1189">
        <v>0</v>
      </c>
      <c r="Y1189">
        <v>3</v>
      </c>
      <c r="Z1189">
        <v>4</v>
      </c>
      <c r="AA1189">
        <v>7</v>
      </c>
      <c r="AB1189" t="str">
        <f t="shared" si="56"/>
        <v>Below average customer</v>
      </c>
    </row>
    <row r="1190" spans="1:28" x14ac:dyDescent="0.35">
      <c r="A1190">
        <v>1921</v>
      </c>
      <c r="B1190">
        <v>1967</v>
      </c>
      <c r="C1190" t="s">
        <v>28</v>
      </c>
      <c r="D1190" t="s">
        <v>32</v>
      </c>
      <c r="E1190" t="s">
        <v>33</v>
      </c>
      <c r="F1190">
        <v>59062</v>
      </c>
      <c r="G1190" t="str">
        <f t="shared" si="54"/>
        <v>Mid-high</v>
      </c>
      <c r="H1190">
        <v>2</v>
      </c>
      <c r="I1190">
        <v>1</v>
      </c>
      <c r="J1190">
        <v>3</v>
      </c>
      <c r="K1190" s="1">
        <v>41550</v>
      </c>
      <c r="L1190">
        <v>74</v>
      </c>
      <c r="M1190" t="str">
        <f t="shared" si="55"/>
        <v>Inactive</v>
      </c>
      <c r="N1190">
        <v>0</v>
      </c>
      <c r="O1190">
        <v>46</v>
      </c>
      <c r="P1190">
        <v>1</v>
      </c>
      <c r="Q1190">
        <v>12</v>
      </c>
      <c r="R1190">
        <v>3</v>
      </c>
      <c r="S1190">
        <v>0</v>
      </c>
      <c r="T1190">
        <v>9</v>
      </c>
      <c r="U1190">
        <v>71</v>
      </c>
      <c r="V1190">
        <v>2</v>
      </c>
      <c r="W1190">
        <v>2</v>
      </c>
      <c r="X1190">
        <v>0</v>
      </c>
      <c r="Y1190">
        <v>3</v>
      </c>
      <c r="Z1190">
        <v>5</v>
      </c>
      <c r="AA1190">
        <v>4</v>
      </c>
      <c r="AB1190" t="str">
        <f t="shared" si="56"/>
        <v>Below average customer</v>
      </c>
    </row>
    <row r="1191" spans="1:28" x14ac:dyDescent="0.35">
      <c r="A1191">
        <v>4138</v>
      </c>
      <c r="B1191">
        <v>1962</v>
      </c>
      <c r="C1191" t="s">
        <v>25</v>
      </c>
      <c r="D1191" t="s">
        <v>26</v>
      </c>
      <c r="E1191" t="s">
        <v>27</v>
      </c>
      <c r="F1191">
        <v>76624</v>
      </c>
      <c r="G1191" t="str">
        <f t="shared" si="54"/>
        <v>High</v>
      </c>
      <c r="H1191">
        <v>0</v>
      </c>
      <c r="I1191">
        <v>1</v>
      </c>
      <c r="J1191">
        <v>1</v>
      </c>
      <c r="K1191" s="1">
        <v>41783</v>
      </c>
      <c r="L1191">
        <v>68</v>
      </c>
      <c r="M1191" t="str">
        <f t="shared" si="55"/>
        <v>Inactive</v>
      </c>
      <c r="N1191">
        <v>0</v>
      </c>
      <c r="O1191">
        <v>411</v>
      </c>
      <c r="P1191">
        <v>106</v>
      </c>
      <c r="Q1191">
        <v>147</v>
      </c>
      <c r="R1191">
        <v>54</v>
      </c>
      <c r="S1191">
        <v>115</v>
      </c>
      <c r="T1191">
        <v>66</v>
      </c>
      <c r="U1191">
        <v>899</v>
      </c>
      <c r="V1191">
        <v>1</v>
      </c>
      <c r="W1191">
        <v>5</v>
      </c>
      <c r="X1191">
        <v>10</v>
      </c>
      <c r="Y1191">
        <v>7</v>
      </c>
      <c r="Z1191">
        <v>22</v>
      </c>
      <c r="AA1191">
        <v>1</v>
      </c>
      <c r="AB1191" t="str">
        <f t="shared" si="56"/>
        <v>Below average customer</v>
      </c>
    </row>
    <row r="1192" spans="1:28" x14ac:dyDescent="0.35">
      <c r="A1192">
        <v>7718</v>
      </c>
      <c r="B1192">
        <v>1947</v>
      </c>
      <c r="C1192" t="s">
        <v>36</v>
      </c>
      <c r="D1192" t="s">
        <v>34</v>
      </c>
      <c r="E1192" t="s">
        <v>29</v>
      </c>
      <c r="F1192">
        <v>66000</v>
      </c>
      <c r="G1192" t="str">
        <f t="shared" si="54"/>
        <v>Mid-high</v>
      </c>
      <c r="H1192">
        <v>0</v>
      </c>
      <c r="I1192">
        <v>0</v>
      </c>
      <c r="J1192">
        <v>0</v>
      </c>
      <c r="K1192" s="1">
        <v>41749</v>
      </c>
      <c r="L1192">
        <v>36</v>
      </c>
      <c r="M1192" t="str">
        <f t="shared" si="55"/>
        <v>Active</v>
      </c>
      <c r="N1192">
        <v>0</v>
      </c>
      <c r="O1192">
        <v>244</v>
      </c>
      <c r="P1192">
        <v>51</v>
      </c>
      <c r="Q1192">
        <v>270</v>
      </c>
      <c r="R1192">
        <v>101</v>
      </c>
      <c r="S1192">
        <v>0</v>
      </c>
      <c r="T1192">
        <v>45</v>
      </c>
      <c r="U1192">
        <v>711</v>
      </c>
      <c r="V1192">
        <v>1</v>
      </c>
      <c r="W1192">
        <v>1</v>
      </c>
      <c r="X1192">
        <v>3</v>
      </c>
      <c r="Y1192">
        <v>5</v>
      </c>
      <c r="Z1192">
        <v>9</v>
      </c>
      <c r="AA1192">
        <v>1</v>
      </c>
      <c r="AB1192" t="str">
        <f t="shared" si="56"/>
        <v>Below average customer</v>
      </c>
    </row>
    <row r="1193" spans="1:28" x14ac:dyDescent="0.35">
      <c r="A1193">
        <v>1291</v>
      </c>
      <c r="B1193">
        <v>1978</v>
      </c>
      <c r="C1193" t="s">
        <v>31</v>
      </c>
      <c r="D1193" t="s">
        <v>32</v>
      </c>
      <c r="E1193" t="s">
        <v>29</v>
      </c>
      <c r="F1193">
        <v>27683</v>
      </c>
      <c r="G1193" t="str">
        <f t="shared" si="54"/>
        <v>Low</v>
      </c>
      <c r="H1193">
        <v>1</v>
      </c>
      <c r="I1193">
        <v>0</v>
      </c>
      <c r="J1193">
        <v>1</v>
      </c>
      <c r="K1193" s="1">
        <v>41125</v>
      </c>
      <c r="L1193">
        <v>90</v>
      </c>
      <c r="M1193" t="str">
        <f t="shared" si="55"/>
        <v>Inactive</v>
      </c>
      <c r="N1193">
        <v>0</v>
      </c>
      <c r="O1193">
        <v>152</v>
      </c>
      <c r="P1193">
        <v>9</v>
      </c>
      <c r="Q1193">
        <v>121</v>
      </c>
      <c r="R1193">
        <v>12</v>
      </c>
      <c r="S1193">
        <v>12</v>
      </c>
      <c r="T1193">
        <v>45</v>
      </c>
      <c r="U1193">
        <v>351</v>
      </c>
      <c r="V1193">
        <v>4</v>
      </c>
      <c r="W1193">
        <v>6</v>
      </c>
      <c r="X1193">
        <v>2</v>
      </c>
      <c r="Y1193">
        <v>4</v>
      </c>
      <c r="Z1193">
        <v>12</v>
      </c>
      <c r="AA1193">
        <v>8</v>
      </c>
      <c r="AB1193" t="str">
        <f t="shared" si="56"/>
        <v>Below average customer</v>
      </c>
    </row>
    <row r="1194" spans="1:28" x14ac:dyDescent="0.35">
      <c r="A1194">
        <v>6862</v>
      </c>
      <c r="B1194">
        <v>1971</v>
      </c>
      <c r="C1194" t="s">
        <v>28</v>
      </c>
      <c r="D1194" t="s">
        <v>26</v>
      </c>
      <c r="E1194" t="s">
        <v>35</v>
      </c>
      <c r="F1194">
        <v>1730</v>
      </c>
      <c r="G1194" t="str">
        <f t="shared" si="54"/>
        <v>Low</v>
      </c>
      <c r="H1194">
        <v>0</v>
      </c>
      <c r="I1194">
        <v>0</v>
      </c>
      <c r="J1194">
        <v>0</v>
      </c>
      <c r="K1194" s="1">
        <v>41777</v>
      </c>
      <c r="L1194">
        <v>65</v>
      </c>
      <c r="M1194" t="str">
        <f t="shared" si="55"/>
        <v>Inactive</v>
      </c>
      <c r="N1194">
        <v>0</v>
      </c>
      <c r="O1194">
        <v>1</v>
      </c>
      <c r="P1194">
        <v>1</v>
      </c>
      <c r="Q1194">
        <v>3</v>
      </c>
      <c r="R1194">
        <v>1</v>
      </c>
      <c r="S1194">
        <v>1</v>
      </c>
      <c r="T1194">
        <v>1</v>
      </c>
      <c r="U1194">
        <v>8</v>
      </c>
      <c r="V1194">
        <v>15</v>
      </c>
      <c r="W1194">
        <v>0</v>
      </c>
      <c r="X1194">
        <v>0</v>
      </c>
      <c r="Y1194">
        <v>0</v>
      </c>
      <c r="Z1194">
        <v>0</v>
      </c>
      <c r="AA1194">
        <v>20</v>
      </c>
      <c r="AB1194" t="str">
        <f t="shared" si="56"/>
        <v>Below average customer</v>
      </c>
    </row>
    <row r="1195" spans="1:28" x14ac:dyDescent="0.35">
      <c r="A1195">
        <v>4136</v>
      </c>
      <c r="B1195">
        <v>1992</v>
      </c>
      <c r="C1195" t="s">
        <v>30</v>
      </c>
      <c r="D1195" t="s">
        <v>37</v>
      </c>
      <c r="E1195" t="s">
        <v>27</v>
      </c>
      <c r="F1195">
        <v>7500</v>
      </c>
      <c r="G1195" t="str">
        <f t="shared" si="54"/>
        <v>Low</v>
      </c>
      <c r="H1195">
        <v>1</v>
      </c>
      <c r="I1195">
        <v>0</v>
      </c>
      <c r="J1195">
        <v>1</v>
      </c>
      <c r="K1195" s="1">
        <v>41246</v>
      </c>
      <c r="L1195">
        <v>63</v>
      </c>
      <c r="M1195" t="str">
        <f t="shared" si="55"/>
        <v>Inactive</v>
      </c>
      <c r="N1195">
        <v>0</v>
      </c>
      <c r="O1195">
        <v>10</v>
      </c>
      <c r="P1195">
        <v>17</v>
      </c>
      <c r="Q1195">
        <v>18</v>
      </c>
      <c r="R1195">
        <v>8</v>
      </c>
      <c r="S1195">
        <v>26</v>
      </c>
      <c r="T1195">
        <v>40</v>
      </c>
      <c r="U1195">
        <v>119</v>
      </c>
      <c r="V1195">
        <v>4</v>
      </c>
      <c r="W1195">
        <v>3</v>
      </c>
      <c r="X1195">
        <v>2</v>
      </c>
      <c r="Y1195">
        <v>2</v>
      </c>
      <c r="Z1195">
        <v>7</v>
      </c>
      <c r="AA1195">
        <v>9</v>
      </c>
      <c r="AB1195" t="str">
        <f t="shared" si="56"/>
        <v>Below average customer</v>
      </c>
    </row>
    <row r="1196" spans="1:28" x14ac:dyDescent="0.35">
      <c r="A1196">
        <v>803</v>
      </c>
      <c r="B1196">
        <v>1968</v>
      </c>
      <c r="C1196" t="s">
        <v>28</v>
      </c>
      <c r="D1196" t="s">
        <v>26</v>
      </c>
      <c r="E1196" t="s">
        <v>29</v>
      </c>
      <c r="F1196">
        <v>40521</v>
      </c>
      <c r="G1196" t="str">
        <f t="shared" si="54"/>
        <v>Mid-low</v>
      </c>
      <c r="H1196">
        <v>1</v>
      </c>
      <c r="I1196">
        <v>1</v>
      </c>
      <c r="J1196">
        <v>2</v>
      </c>
      <c r="K1196" s="1">
        <v>41369</v>
      </c>
      <c r="L1196">
        <v>82</v>
      </c>
      <c r="M1196" t="str">
        <f t="shared" si="55"/>
        <v>Inactive</v>
      </c>
      <c r="N1196">
        <v>0</v>
      </c>
      <c r="O1196">
        <v>12</v>
      </c>
      <c r="P1196">
        <v>0</v>
      </c>
      <c r="Q1196">
        <v>5</v>
      </c>
      <c r="R1196">
        <v>0</v>
      </c>
      <c r="S1196">
        <v>0</v>
      </c>
      <c r="T1196">
        <v>4</v>
      </c>
      <c r="U1196">
        <v>21</v>
      </c>
      <c r="V1196">
        <v>1</v>
      </c>
      <c r="W1196">
        <v>0</v>
      </c>
      <c r="X1196">
        <v>1</v>
      </c>
      <c r="Y1196">
        <v>2</v>
      </c>
      <c r="Z1196">
        <v>3</v>
      </c>
      <c r="AA1196">
        <v>5</v>
      </c>
      <c r="AB1196" t="str">
        <f t="shared" si="56"/>
        <v>Below average customer</v>
      </c>
    </row>
    <row r="1197" spans="1:28" x14ac:dyDescent="0.35">
      <c r="A1197">
        <v>4298</v>
      </c>
      <c r="B1197">
        <v>1973</v>
      </c>
      <c r="C1197" t="s">
        <v>31</v>
      </c>
      <c r="D1197" t="s">
        <v>32</v>
      </c>
      <c r="E1197" t="s">
        <v>29</v>
      </c>
      <c r="F1197">
        <v>20427</v>
      </c>
      <c r="G1197" t="str">
        <f t="shared" si="54"/>
        <v>Low</v>
      </c>
      <c r="H1197">
        <v>1</v>
      </c>
      <c r="I1197">
        <v>0</v>
      </c>
      <c r="J1197">
        <v>1</v>
      </c>
      <c r="K1197" s="1">
        <v>41722</v>
      </c>
      <c r="L1197">
        <v>63</v>
      </c>
      <c r="M1197" t="str">
        <f t="shared" si="55"/>
        <v>Inactive</v>
      </c>
      <c r="N1197">
        <v>0</v>
      </c>
      <c r="O1197">
        <v>5</v>
      </c>
      <c r="P1197">
        <v>0</v>
      </c>
      <c r="Q1197">
        <v>4</v>
      </c>
      <c r="R1197">
        <v>0</v>
      </c>
      <c r="S1197">
        <v>0</v>
      </c>
      <c r="T1197">
        <v>1</v>
      </c>
      <c r="U1197">
        <v>10</v>
      </c>
      <c r="V1197">
        <v>1</v>
      </c>
      <c r="W1197">
        <v>1</v>
      </c>
      <c r="X1197">
        <v>0</v>
      </c>
      <c r="Y1197">
        <v>2</v>
      </c>
      <c r="Z1197">
        <v>3</v>
      </c>
      <c r="AA1197">
        <v>8</v>
      </c>
      <c r="AB1197" t="str">
        <f t="shared" si="56"/>
        <v>Below average customer</v>
      </c>
    </row>
    <row r="1198" spans="1:28" x14ac:dyDescent="0.35">
      <c r="A1198">
        <v>10833</v>
      </c>
      <c r="B1198">
        <v>1975</v>
      </c>
      <c r="C1198" t="s">
        <v>31</v>
      </c>
      <c r="D1198" t="s">
        <v>26</v>
      </c>
      <c r="E1198" t="s">
        <v>33</v>
      </c>
      <c r="F1198">
        <v>65106</v>
      </c>
      <c r="G1198" t="str">
        <f t="shared" si="54"/>
        <v>Mid-high</v>
      </c>
      <c r="H1198">
        <v>0</v>
      </c>
      <c r="I1198">
        <v>1</v>
      </c>
      <c r="J1198">
        <v>1</v>
      </c>
      <c r="K1198" s="1">
        <v>41783</v>
      </c>
      <c r="L1198">
        <v>55</v>
      </c>
      <c r="M1198" t="str">
        <f t="shared" si="55"/>
        <v>Inactive</v>
      </c>
      <c r="N1198">
        <v>0</v>
      </c>
      <c r="O1198">
        <v>790</v>
      </c>
      <c r="P1198">
        <v>19</v>
      </c>
      <c r="Q1198">
        <v>133</v>
      </c>
      <c r="R1198">
        <v>12</v>
      </c>
      <c r="S1198">
        <v>0</v>
      </c>
      <c r="T1198">
        <v>19</v>
      </c>
      <c r="U1198">
        <v>973</v>
      </c>
      <c r="V1198">
        <v>3</v>
      </c>
      <c r="W1198">
        <v>8</v>
      </c>
      <c r="X1198">
        <v>3</v>
      </c>
      <c r="Y1198">
        <v>13</v>
      </c>
      <c r="Z1198">
        <v>24</v>
      </c>
      <c r="AA1198">
        <v>6</v>
      </c>
      <c r="AB1198" t="str">
        <f t="shared" si="56"/>
        <v>Below average customer</v>
      </c>
    </row>
    <row r="1199" spans="1:28" x14ac:dyDescent="0.35">
      <c r="A1199">
        <v>9606</v>
      </c>
      <c r="B1199">
        <v>1965</v>
      </c>
      <c r="C1199" t="s">
        <v>28</v>
      </c>
      <c r="D1199" t="s">
        <v>32</v>
      </c>
      <c r="E1199" t="s">
        <v>33</v>
      </c>
      <c r="F1199">
        <v>69969</v>
      </c>
      <c r="G1199" t="str">
        <f t="shared" si="54"/>
        <v>High</v>
      </c>
      <c r="H1199">
        <v>0</v>
      </c>
      <c r="I1199">
        <v>0</v>
      </c>
      <c r="J1199">
        <v>0</v>
      </c>
      <c r="K1199" s="1">
        <v>41513</v>
      </c>
      <c r="L1199">
        <v>64</v>
      </c>
      <c r="M1199" t="str">
        <f t="shared" si="55"/>
        <v>Inactive</v>
      </c>
      <c r="N1199">
        <v>0</v>
      </c>
      <c r="O1199">
        <v>882</v>
      </c>
      <c r="P1199">
        <v>29</v>
      </c>
      <c r="Q1199">
        <v>514</v>
      </c>
      <c r="R1199">
        <v>38</v>
      </c>
      <c r="S1199">
        <v>29</v>
      </c>
      <c r="T1199">
        <v>44</v>
      </c>
      <c r="U1199">
        <v>1536</v>
      </c>
      <c r="V1199">
        <v>1</v>
      </c>
      <c r="W1199">
        <v>4</v>
      </c>
      <c r="X1199">
        <v>2</v>
      </c>
      <c r="Y1199">
        <v>6</v>
      </c>
      <c r="Z1199">
        <v>12</v>
      </c>
      <c r="AA1199">
        <v>3</v>
      </c>
      <c r="AB1199" t="str">
        <f t="shared" si="56"/>
        <v>Below average customer</v>
      </c>
    </row>
    <row r="1200" spans="1:28" x14ac:dyDescent="0.35">
      <c r="A1200">
        <v>8534</v>
      </c>
      <c r="B1200">
        <v>1952</v>
      </c>
      <c r="C1200" t="s">
        <v>36</v>
      </c>
      <c r="D1200" t="s">
        <v>26</v>
      </c>
      <c r="E1200" t="s">
        <v>33</v>
      </c>
      <c r="F1200">
        <v>67433</v>
      </c>
      <c r="G1200" t="str">
        <f t="shared" si="54"/>
        <v>Mid-high</v>
      </c>
      <c r="H1200">
        <v>0</v>
      </c>
      <c r="I1200">
        <v>2</v>
      </c>
      <c r="J1200">
        <v>2</v>
      </c>
      <c r="K1200" s="1">
        <v>41471</v>
      </c>
      <c r="L1200">
        <v>51</v>
      </c>
      <c r="M1200" t="str">
        <f t="shared" si="55"/>
        <v>Inactive</v>
      </c>
      <c r="N1200">
        <v>0</v>
      </c>
      <c r="O1200">
        <v>615</v>
      </c>
      <c r="P1200">
        <v>28</v>
      </c>
      <c r="Q1200">
        <v>259</v>
      </c>
      <c r="R1200">
        <v>12</v>
      </c>
      <c r="S1200">
        <v>48</v>
      </c>
      <c r="T1200">
        <v>30</v>
      </c>
      <c r="U1200">
        <v>992</v>
      </c>
      <c r="V1200">
        <v>4</v>
      </c>
      <c r="W1200">
        <v>6</v>
      </c>
      <c r="X1200">
        <v>5</v>
      </c>
      <c r="Y1200">
        <v>13</v>
      </c>
      <c r="Z1200">
        <v>24</v>
      </c>
      <c r="AA1200">
        <v>4</v>
      </c>
      <c r="AB1200" t="str">
        <f t="shared" si="56"/>
        <v>Below average customer</v>
      </c>
    </row>
    <row r="1201" spans="1:28" x14ac:dyDescent="0.35">
      <c r="A1201">
        <v>5153</v>
      </c>
      <c r="B1201">
        <v>1967</v>
      </c>
      <c r="C1201" t="s">
        <v>28</v>
      </c>
      <c r="D1201" t="s">
        <v>32</v>
      </c>
      <c r="E1201" t="s">
        <v>33</v>
      </c>
      <c r="F1201">
        <v>77766</v>
      </c>
      <c r="G1201" t="str">
        <f t="shared" si="54"/>
        <v>High</v>
      </c>
      <c r="H1201">
        <v>0</v>
      </c>
      <c r="I1201">
        <v>1</v>
      </c>
      <c r="J1201">
        <v>1</v>
      </c>
      <c r="K1201" s="1">
        <v>41327</v>
      </c>
      <c r="L1201">
        <v>97</v>
      </c>
      <c r="M1201" t="str">
        <f t="shared" si="55"/>
        <v>Inactive</v>
      </c>
      <c r="N1201">
        <v>0</v>
      </c>
      <c r="O1201">
        <v>1004</v>
      </c>
      <c r="P1201">
        <v>59</v>
      </c>
      <c r="Q1201">
        <v>265</v>
      </c>
      <c r="R1201">
        <v>115</v>
      </c>
      <c r="S1201">
        <v>59</v>
      </c>
      <c r="T1201">
        <v>27</v>
      </c>
      <c r="U1201">
        <v>1529</v>
      </c>
      <c r="V1201">
        <v>2</v>
      </c>
      <c r="W1201">
        <v>11</v>
      </c>
      <c r="X1201">
        <v>10</v>
      </c>
      <c r="Y1201">
        <v>11</v>
      </c>
      <c r="Z1201">
        <v>32</v>
      </c>
      <c r="AA1201">
        <v>6</v>
      </c>
      <c r="AB1201" t="str">
        <f t="shared" si="56"/>
        <v>Below average customer</v>
      </c>
    </row>
    <row r="1202" spans="1:28" x14ac:dyDescent="0.35">
      <c r="A1202">
        <v>961</v>
      </c>
      <c r="B1202">
        <v>1972</v>
      </c>
      <c r="C1202" t="s">
        <v>28</v>
      </c>
      <c r="D1202" t="s">
        <v>26</v>
      </c>
      <c r="E1202" t="s">
        <v>33</v>
      </c>
      <c r="F1202">
        <v>74716</v>
      </c>
      <c r="G1202" t="str">
        <f t="shared" si="54"/>
        <v>High</v>
      </c>
      <c r="H1202">
        <v>0</v>
      </c>
      <c r="I1202">
        <v>1</v>
      </c>
      <c r="J1202">
        <v>1</v>
      </c>
      <c r="K1202" s="1">
        <v>41529</v>
      </c>
      <c r="L1202">
        <v>92</v>
      </c>
      <c r="M1202" t="str">
        <f t="shared" si="55"/>
        <v>Inactive</v>
      </c>
      <c r="N1202">
        <v>0</v>
      </c>
      <c r="O1202">
        <v>133</v>
      </c>
      <c r="P1202">
        <v>27</v>
      </c>
      <c r="Q1202">
        <v>421</v>
      </c>
      <c r="R1202">
        <v>13</v>
      </c>
      <c r="S1202">
        <v>195</v>
      </c>
      <c r="T1202">
        <v>71</v>
      </c>
      <c r="U1202">
        <v>860</v>
      </c>
      <c r="V1202">
        <v>2</v>
      </c>
      <c r="W1202">
        <v>7</v>
      </c>
      <c r="X1202">
        <v>3</v>
      </c>
      <c r="Y1202">
        <v>5</v>
      </c>
      <c r="Z1202">
        <v>15</v>
      </c>
      <c r="AA1202">
        <v>4</v>
      </c>
      <c r="AB1202" t="str">
        <f t="shared" si="56"/>
        <v>Below average customer</v>
      </c>
    </row>
    <row r="1203" spans="1:28" x14ac:dyDescent="0.35">
      <c r="A1203">
        <v>6653</v>
      </c>
      <c r="B1203">
        <v>1970</v>
      </c>
      <c r="C1203" t="s">
        <v>28</v>
      </c>
      <c r="D1203" t="s">
        <v>32</v>
      </c>
      <c r="E1203" t="s">
        <v>33</v>
      </c>
      <c r="F1203">
        <v>55158</v>
      </c>
      <c r="G1203" t="str">
        <f t="shared" si="54"/>
        <v>Mid-high</v>
      </c>
      <c r="H1203">
        <v>1</v>
      </c>
      <c r="I1203">
        <v>1</v>
      </c>
      <c r="J1203">
        <v>2</v>
      </c>
      <c r="K1203" s="1">
        <v>41120</v>
      </c>
      <c r="L1203">
        <v>72</v>
      </c>
      <c r="M1203" t="str">
        <f t="shared" si="55"/>
        <v>Inactive</v>
      </c>
      <c r="N1203">
        <v>0</v>
      </c>
      <c r="O1203">
        <v>293</v>
      </c>
      <c r="P1203">
        <v>0</v>
      </c>
      <c r="Q1203">
        <v>87</v>
      </c>
      <c r="R1203">
        <v>4</v>
      </c>
      <c r="S1203">
        <v>11</v>
      </c>
      <c r="T1203">
        <v>23</v>
      </c>
      <c r="U1203">
        <v>418</v>
      </c>
      <c r="V1203">
        <v>4</v>
      </c>
      <c r="W1203">
        <v>7</v>
      </c>
      <c r="X1203">
        <v>2</v>
      </c>
      <c r="Y1203">
        <v>5</v>
      </c>
      <c r="Z1203">
        <v>14</v>
      </c>
      <c r="AA1203">
        <v>7</v>
      </c>
      <c r="AB1203" t="str">
        <f t="shared" si="56"/>
        <v>Below average customer</v>
      </c>
    </row>
    <row r="1204" spans="1:28" x14ac:dyDescent="0.35">
      <c r="A1204">
        <v>9094</v>
      </c>
      <c r="B1204">
        <v>1955</v>
      </c>
      <c r="C1204" t="s">
        <v>25</v>
      </c>
      <c r="D1204" t="s">
        <v>34</v>
      </c>
      <c r="E1204" t="s">
        <v>33</v>
      </c>
      <c r="F1204">
        <v>62972</v>
      </c>
      <c r="G1204" t="str">
        <f t="shared" si="54"/>
        <v>Mid-high</v>
      </c>
      <c r="H1204">
        <v>0</v>
      </c>
      <c r="I1204">
        <v>1</v>
      </c>
      <c r="J1204">
        <v>1</v>
      </c>
      <c r="K1204" s="1">
        <v>41124</v>
      </c>
      <c r="L1204">
        <v>39</v>
      </c>
      <c r="M1204" t="str">
        <f t="shared" si="55"/>
        <v>Active</v>
      </c>
      <c r="N1204">
        <v>0</v>
      </c>
      <c r="O1204">
        <v>313</v>
      </c>
      <c r="P1204">
        <v>15</v>
      </c>
      <c r="Q1204">
        <v>47</v>
      </c>
      <c r="R1204">
        <v>20</v>
      </c>
      <c r="S1204">
        <v>0</v>
      </c>
      <c r="T1204">
        <v>192</v>
      </c>
      <c r="U1204">
        <v>587</v>
      </c>
      <c r="V1204">
        <v>2</v>
      </c>
      <c r="W1204">
        <v>7</v>
      </c>
      <c r="X1204">
        <v>4</v>
      </c>
      <c r="Y1204">
        <v>3</v>
      </c>
      <c r="Z1204">
        <v>14</v>
      </c>
      <c r="AA1204">
        <v>6</v>
      </c>
      <c r="AB1204" t="str">
        <f t="shared" si="56"/>
        <v>Below average customer</v>
      </c>
    </row>
    <row r="1205" spans="1:28" x14ac:dyDescent="0.35">
      <c r="A1205">
        <v>810</v>
      </c>
      <c r="B1205">
        <v>1975</v>
      </c>
      <c r="C1205" t="s">
        <v>31</v>
      </c>
      <c r="D1205" t="s">
        <v>26</v>
      </c>
      <c r="E1205" t="s">
        <v>33</v>
      </c>
      <c r="F1205">
        <v>74190</v>
      </c>
      <c r="G1205" t="str">
        <f t="shared" si="54"/>
        <v>High</v>
      </c>
      <c r="H1205">
        <v>0</v>
      </c>
      <c r="I1205">
        <v>1</v>
      </c>
      <c r="J1205">
        <v>1</v>
      </c>
      <c r="K1205" s="1">
        <v>41771</v>
      </c>
      <c r="L1205">
        <v>49</v>
      </c>
      <c r="M1205" t="str">
        <f t="shared" si="55"/>
        <v>Inactive</v>
      </c>
      <c r="N1205">
        <v>0</v>
      </c>
      <c r="O1205">
        <v>151</v>
      </c>
      <c r="P1205">
        <v>81</v>
      </c>
      <c r="Q1205">
        <v>86</v>
      </c>
      <c r="R1205">
        <v>168</v>
      </c>
      <c r="S1205">
        <v>91</v>
      </c>
      <c r="T1205">
        <v>64</v>
      </c>
      <c r="U1205">
        <v>641</v>
      </c>
      <c r="V1205">
        <v>2</v>
      </c>
      <c r="W1205">
        <v>4</v>
      </c>
      <c r="X1205">
        <v>2</v>
      </c>
      <c r="Y1205">
        <v>11</v>
      </c>
      <c r="Z1205">
        <v>17</v>
      </c>
      <c r="AA1205">
        <v>2</v>
      </c>
      <c r="AB1205" t="str">
        <f t="shared" si="56"/>
        <v>Below average customer</v>
      </c>
    </row>
    <row r="1206" spans="1:28" x14ac:dyDescent="0.35">
      <c r="A1206">
        <v>5493</v>
      </c>
      <c r="B1206">
        <v>1976</v>
      </c>
      <c r="C1206" t="s">
        <v>31</v>
      </c>
      <c r="D1206" t="s">
        <v>26</v>
      </c>
      <c r="E1206" t="s">
        <v>33</v>
      </c>
      <c r="F1206">
        <v>39356</v>
      </c>
      <c r="G1206" t="str">
        <f t="shared" si="54"/>
        <v>Mid-low</v>
      </c>
      <c r="H1206">
        <v>1</v>
      </c>
      <c r="I1206">
        <v>1</v>
      </c>
      <c r="J1206">
        <v>2</v>
      </c>
      <c r="K1206" s="1">
        <v>41717</v>
      </c>
      <c r="L1206">
        <v>21</v>
      </c>
      <c r="M1206" t="str">
        <f t="shared" si="55"/>
        <v>Active</v>
      </c>
      <c r="N1206">
        <v>0</v>
      </c>
      <c r="O1206">
        <v>15</v>
      </c>
      <c r="P1206">
        <v>0</v>
      </c>
      <c r="Q1206">
        <v>2</v>
      </c>
      <c r="R1206">
        <v>0</v>
      </c>
      <c r="S1206">
        <v>0</v>
      </c>
      <c r="T1206">
        <v>6</v>
      </c>
      <c r="U1206">
        <v>23</v>
      </c>
      <c r="V1206">
        <v>1</v>
      </c>
      <c r="W1206">
        <v>1</v>
      </c>
      <c r="X1206">
        <v>0</v>
      </c>
      <c r="Y1206">
        <v>2</v>
      </c>
      <c r="Z1206">
        <v>3</v>
      </c>
      <c r="AA1206">
        <v>6</v>
      </c>
      <c r="AB1206" t="str">
        <f t="shared" si="56"/>
        <v>Below average customer</v>
      </c>
    </row>
    <row r="1207" spans="1:28" x14ac:dyDescent="0.35">
      <c r="A1207">
        <v>2147</v>
      </c>
      <c r="B1207">
        <v>1969</v>
      </c>
      <c r="C1207" t="s">
        <v>28</v>
      </c>
      <c r="D1207" t="s">
        <v>26</v>
      </c>
      <c r="E1207" t="s">
        <v>29</v>
      </c>
      <c r="F1207">
        <v>76653</v>
      </c>
      <c r="G1207" t="str">
        <f t="shared" si="54"/>
        <v>High</v>
      </c>
      <c r="H1207">
        <v>0</v>
      </c>
      <c r="I1207">
        <v>0</v>
      </c>
      <c r="J1207">
        <v>0</v>
      </c>
      <c r="K1207" s="1">
        <v>41502</v>
      </c>
      <c r="L1207">
        <v>91</v>
      </c>
      <c r="M1207" t="str">
        <f t="shared" si="55"/>
        <v>Inactive</v>
      </c>
      <c r="N1207">
        <v>0</v>
      </c>
      <c r="O1207">
        <v>736</v>
      </c>
      <c r="P1207">
        <v>63</v>
      </c>
      <c r="Q1207">
        <v>946</v>
      </c>
      <c r="R1207">
        <v>219</v>
      </c>
      <c r="S1207">
        <v>189</v>
      </c>
      <c r="T1207">
        <v>126</v>
      </c>
      <c r="U1207">
        <v>2279</v>
      </c>
      <c r="V1207">
        <v>1</v>
      </c>
      <c r="W1207">
        <v>4</v>
      </c>
      <c r="X1207">
        <v>7</v>
      </c>
      <c r="Y1207">
        <v>11</v>
      </c>
      <c r="Z1207">
        <v>22</v>
      </c>
      <c r="AA1207">
        <v>2</v>
      </c>
      <c r="AB1207" t="str">
        <f t="shared" si="56"/>
        <v>Below average customer</v>
      </c>
    </row>
    <row r="1208" spans="1:28" x14ac:dyDescent="0.35">
      <c r="A1208">
        <v>3979</v>
      </c>
      <c r="B1208">
        <v>1983</v>
      </c>
      <c r="C1208" t="s">
        <v>30</v>
      </c>
      <c r="D1208" t="s">
        <v>32</v>
      </c>
      <c r="E1208" t="s">
        <v>35</v>
      </c>
      <c r="F1208">
        <v>90687</v>
      </c>
      <c r="G1208" t="str">
        <f t="shared" si="54"/>
        <v>High</v>
      </c>
      <c r="H1208">
        <v>0</v>
      </c>
      <c r="I1208">
        <v>0</v>
      </c>
      <c r="J1208">
        <v>0</v>
      </c>
      <c r="K1208" s="1">
        <v>41416</v>
      </c>
      <c r="L1208">
        <v>98</v>
      </c>
      <c r="M1208" t="str">
        <f t="shared" si="55"/>
        <v>Inactive</v>
      </c>
      <c r="N1208">
        <v>0</v>
      </c>
      <c r="O1208">
        <v>982</v>
      </c>
      <c r="P1208">
        <v>17</v>
      </c>
      <c r="Q1208">
        <v>672</v>
      </c>
      <c r="R1208">
        <v>23</v>
      </c>
      <c r="S1208">
        <v>34</v>
      </c>
      <c r="T1208">
        <v>51</v>
      </c>
      <c r="U1208">
        <v>1779</v>
      </c>
      <c r="V1208">
        <v>1</v>
      </c>
      <c r="W1208">
        <v>6</v>
      </c>
      <c r="X1208">
        <v>2</v>
      </c>
      <c r="Y1208">
        <v>8</v>
      </c>
      <c r="Z1208">
        <v>16</v>
      </c>
      <c r="AA1208">
        <v>2</v>
      </c>
      <c r="AB1208" t="str">
        <f t="shared" si="56"/>
        <v>Below average customer</v>
      </c>
    </row>
    <row r="1209" spans="1:28" x14ac:dyDescent="0.35">
      <c r="A1209">
        <v>6049</v>
      </c>
      <c r="B1209">
        <v>1982</v>
      </c>
      <c r="C1209" t="s">
        <v>31</v>
      </c>
      <c r="D1209" t="s">
        <v>34</v>
      </c>
      <c r="E1209" t="s">
        <v>29</v>
      </c>
      <c r="F1209">
        <v>73450</v>
      </c>
      <c r="G1209" t="str">
        <f t="shared" si="54"/>
        <v>High</v>
      </c>
      <c r="H1209">
        <v>0</v>
      </c>
      <c r="I1209">
        <v>0</v>
      </c>
      <c r="J1209">
        <v>0</v>
      </c>
      <c r="K1209" s="1">
        <v>41613</v>
      </c>
      <c r="L1209">
        <v>85</v>
      </c>
      <c r="M1209" t="str">
        <f t="shared" si="55"/>
        <v>Inactive</v>
      </c>
      <c r="N1209">
        <v>0</v>
      </c>
      <c r="O1209">
        <v>1142</v>
      </c>
      <c r="P1209">
        <v>51</v>
      </c>
      <c r="Q1209">
        <v>415</v>
      </c>
      <c r="R1209">
        <v>90</v>
      </c>
      <c r="S1209">
        <v>69</v>
      </c>
      <c r="T1209">
        <v>37</v>
      </c>
      <c r="U1209">
        <v>1804</v>
      </c>
      <c r="V1209">
        <v>1</v>
      </c>
      <c r="W1209">
        <v>7</v>
      </c>
      <c r="X1209">
        <v>8</v>
      </c>
      <c r="Y1209">
        <v>11</v>
      </c>
      <c r="Z1209">
        <v>26</v>
      </c>
      <c r="AA1209">
        <v>3</v>
      </c>
      <c r="AB1209" t="str">
        <f t="shared" si="56"/>
        <v>Below average customer</v>
      </c>
    </row>
    <row r="1210" spans="1:28" x14ac:dyDescent="0.35">
      <c r="A1210">
        <v>8147</v>
      </c>
      <c r="B1210">
        <v>1960</v>
      </c>
      <c r="C1210" t="s">
        <v>25</v>
      </c>
      <c r="D1210" t="s">
        <v>26</v>
      </c>
      <c r="E1210" t="s">
        <v>33</v>
      </c>
      <c r="F1210">
        <v>31454</v>
      </c>
      <c r="G1210" t="str">
        <f t="shared" si="54"/>
        <v>Low</v>
      </c>
      <c r="H1210">
        <v>1</v>
      </c>
      <c r="I1210">
        <v>1</v>
      </c>
      <c r="J1210">
        <v>2</v>
      </c>
      <c r="K1210" s="1">
        <v>41461</v>
      </c>
      <c r="L1210">
        <v>40</v>
      </c>
      <c r="M1210" t="str">
        <f t="shared" si="55"/>
        <v>Active</v>
      </c>
      <c r="N1210">
        <v>0</v>
      </c>
      <c r="O1210">
        <v>28</v>
      </c>
      <c r="P1210">
        <v>0</v>
      </c>
      <c r="Q1210">
        <v>11</v>
      </c>
      <c r="R1210">
        <v>0</v>
      </c>
      <c r="S1210">
        <v>0</v>
      </c>
      <c r="T1210">
        <v>9</v>
      </c>
      <c r="U1210">
        <v>48</v>
      </c>
      <c r="V1210">
        <v>3</v>
      </c>
      <c r="W1210">
        <v>2</v>
      </c>
      <c r="X1210">
        <v>0</v>
      </c>
      <c r="Y1210">
        <v>3</v>
      </c>
      <c r="Z1210">
        <v>5</v>
      </c>
      <c r="AA1210">
        <v>8</v>
      </c>
      <c r="AB1210" t="str">
        <f t="shared" si="56"/>
        <v>Below average customer</v>
      </c>
    </row>
    <row r="1211" spans="1:28" x14ac:dyDescent="0.35">
      <c r="A1211">
        <v>1857</v>
      </c>
      <c r="B1211">
        <v>1952</v>
      </c>
      <c r="C1211" t="s">
        <v>36</v>
      </c>
      <c r="D1211" t="s">
        <v>26</v>
      </c>
      <c r="E1211" t="s">
        <v>27</v>
      </c>
      <c r="F1211">
        <v>47139</v>
      </c>
      <c r="G1211" t="str">
        <f t="shared" si="54"/>
        <v>Mid-low</v>
      </c>
      <c r="H1211">
        <v>1</v>
      </c>
      <c r="I1211">
        <v>1</v>
      </c>
      <c r="J1211">
        <v>2</v>
      </c>
      <c r="K1211" s="1">
        <v>41704</v>
      </c>
      <c r="L1211">
        <v>2</v>
      </c>
      <c r="M1211" t="str">
        <f t="shared" si="55"/>
        <v>Active</v>
      </c>
      <c r="N1211">
        <v>0</v>
      </c>
      <c r="O1211">
        <v>46</v>
      </c>
      <c r="P1211">
        <v>0</v>
      </c>
      <c r="Q1211">
        <v>12</v>
      </c>
      <c r="R1211">
        <v>0</v>
      </c>
      <c r="S1211">
        <v>2</v>
      </c>
      <c r="T1211">
        <v>23</v>
      </c>
      <c r="U1211">
        <v>83</v>
      </c>
      <c r="V1211">
        <v>2</v>
      </c>
      <c r="W1211">
        <v>2</v>
      </c>
      <c r="X1211">
        <v>1</v>
      </c>
      <c r="Y1211">
        <v>2</v>
      </c>
      <c r="Z1211">
        <v>5</v>
      </c>
      <c r="AA1211">
        <v>7</v>
      </c>
      <c r="AB1211" t="str">
        <f t="shared" si="56"/>
        <v>Below average customer</v>
      </c>
    </row>
    <row r="1212" spans="1:28" x14ac:dyDescent="0.35">
      <c r="A1212">
        <v>5207</v>
      </c>
      <c r="B1212">
        <v>1963</v>
      </c>
      <c r="C1212" t="s">
        <v>28</v>
      </c>
      <c r="D1212" t="s">
        <v>32</v>
      </c>
      <c r="E1212" t="s">
        <v>33</v>
      </c>
      <c r="F1212">
        <v>53378</v>
      </c>
      <c r="G1212" t="str">
        <f t="shared" si="54"/>
        <v>Mid-high</v>
      </c>
      <c r="H1212">
        <v>1</v>
      </c>
      <c r="I1212">
        <v>1</v>
      </c>
      <c r="J1212">
        <v>2</v>
      </c>
      <c r="K1212" s="1">
        <v>41176</v>
      </c>
      <c r="L1212">
        <v>41</v>
      </c>
      <c r="M1212" t="str">
        <f t="shared" si="55"/>
        <v>Active</v>
      </c>
      <c r="N1212">
        <v>0</v>
      </c>
      <c r="O1212">
        <v>489</v>
      </c>
      <c r="P1212">
        <v>6</v>
      </c>
      <c r="Q1212">
        <v>152</v>
      </c>
      <c r="R1212">
        <v>8</v>
      </c>
      <c r="S1212">
        <v>6</v>
      </c>
      <c r="T1212">
        <v>132</v>
      </c>
      <c r="U1212">
        <v>793</v>
      </c>
      <c r="V1212">
        <v>10</v>
      </c>
      <c r="W1212">
        <v>9</v>
      </c>
      <c r="X1212">
        <v>4</v>
      </c>
      <c r="Y1212">
        <v>6</v>
      </c>
      <c r="Z1212">
        <v>19</v>
      </c>
      <c r="AA1212">
        <v>8</v>
      </c>
      <c r="AB1212" t="str">
        <f t="shared" si="56"/>
        <v>Above average customer</v>
      </c>
    </row>
    <row r="1213" spans="1:28" x14ac:dyDescent="0.35">
      <c r="A1213">
        <v>11114</v>
      </c>
      <c r="B1213">
        <v>1970</v>
      </c>
      <c r="C1213" t="s">
        <v>28</v>
      </c>
      <c r="D1213" t="s">
        <v>26</v>
      </c>
      <c r="E1213" t="s">
        <v>29</v>
      </c>
      <c r="F1213">
        <v>19656</v>
      </c>
      <c r="G1213" t="str">
        <f t="shared" si="54"/>
        <v>Low</v>
      </c>
      <c r="H1213">
        <v>1</v>
      </c>
      <c r="I1213">
        <v>0</v>
      </c>
      <c r="J1213">
        <v>1</v>
      </c>
      <c r="K1213" s="1">
        <v>41313</v>
      </c>
      <c r="L1213">
        <v>94</v>
      </c>
      <c r="M1213" t="str">
        <f t="shared" si="55"/>
        <v>Inactive</v>
      </c>
      <c r="N1213">
        <v>0</v>
      </c>
      <c r="O1213">
        <v>25</v>
      </c>
      <c r="P1213">
        <v>4</v>
      </c>
      <c r="Q1213">
        <v>9</v>
      </c>
      <c r="R1213">
        <v>6</v>
      </c>
      <c r="S1213">
        <v>8</v>
      </c>
      <c r="T1213">
        <v>32</v>
      </c>
      <c r="U1213">
        <v>84</v>
      </c>
      <c r="V1213">
        <v>3</v>
      </c>
      <c r="W1213">
        <v>2</v>
      </c>
      <c r="X1213">
        <v>1</v>
      </c>
      <c r="Y1213">
        <v>3</v>
      </c>
      <c r="Z1213">
        <v>6</v>
      </c>
      <c r="AA1213">
        <v>7</v>
      </c>
      <c r="AB1213" t="str">
        <f t="shared" si="56"/>
        <v>Below average customer</v>
      </c>
    </row>
    <row r="1214" spans="1:28" x14ac:dyDescent="0.35">
      <c r="A1214">
        <v>5429</v>
      </c>
      <c r="B1214">
        <v>1948</v>
      </c>
      <c r="C1214" t="s">
        <v>36</v>
      </c>
      <c r="D1214" t="s">
        <v>32</v>
      </c>
      <c r="E1214" t="s">
        <v>33</v>
      </c>
      <c r="F1214">
        <v>45579</v>
      </c>
      <c r="G1214" t="str">
        <f t="shared" si="54"/>
        <v>Mid-low</v>
      </c>
      <c r="H1214">
        <v>0</v>
      </c>
      <c r="I1214">
        <v>1</v>
      </c>
      <c r="J1214">
        <v>1</v>
      </c>
      <c r="K1214" s="1">
        <v>41506</v>
      </c>
      <c r="L1214">
        <v>10</v>
      </c>
      <c r="M1214" t="str">
        <f t="shared" si="55"/>
        <v>Active</v>
      </c>
      <c r="N1214">
        <v>0</v>
      </c>
      <c r="O1214">
        <v>145</v>
      </c>
      <c r="P1214">
        <v>1</v>
      </c>
      <c r="Q1214">
        <v>33</v>
      </c>
      <c r="R1214">
        <v>2</v>
      </c>
      <c r="S1214">
        <v>1</v>
      </c>
      <c r="T1214">
        <v>1</v>
      </c>
      <c r="U1214">
        <v>183</v>
      </c>
      <c r="V1214">
        <v>1</v>
      </c>
      <c r="W1214">
        <v>4</v>
      </c>
      <c r="X1214">
        <v>1</v>
      </c>
      <c r="Y1214">
        <v>4</v>
      </c>
      <c r="Z1214">
        <v>9</v>
      </c>
      <c r="AA1214">
        <v>6</v>
      </c>
      <c r="AB1214" t="str">
        <f t="shared" si="56"/>
        <v>Below average customer</v>
      </c>
    </row>
    <row r="1215" spans="1:28" x14ac:dyDescent="0.35">
      <c r="A1215">
        <v>9400</v>
      </c>
      <c r="B1215">
        <v>1958</v>
      </c>
      <c r="C1215" t="s">
        <v>25</v>
      </c>
      <c r="D1215" t="s">
        <v>34</v>
      </c>
      <c r="E1215" t="s">
        <v>27</v>
      </c>
      <c r="F1215">
        <v>85485</v>
      </c>
      <c r="G1215" t="str">
        <f t="shared" si="54"/>
        <v>High</v>
      </c>
      <c r="H1215">
        <v>0</v>
      </c>
      <c r="I1215">
        <v>0</v>
      </c>
      <c r="J1215">
        <v>0</v>
      </c>
      <c r="K1215" s="1">
        <v>41811</v>
      </c>
      <c r="L1215">
        <v>73</v>
      </c>
      <c r="M1215" t="str">
        <f t="shared" si="55"/>
        <v>Inactive</v>
      </c>
      <c r="N1215">
        <v>0</v>
      </c>
      <c r="O1215">
        <v>630</v>
      </c>
      <c r="P1215">
        <v>26</v>
      </c>
      <c r="Q1215">
        <v>611</v>
      </c>
      <c r="R1215">
        <v>44</v>
      </c>
      <c r="S1215">
        <v>18</v>
      </c>
      <c r="T1215">
        <v>54</v>
      </c>
      <c r="U1215">
        <v>1383</v>
      </c>
      <c r="V1215">
        <v>1</v>
      </c>
      <c r="W1215">
        <v>6</v>
      </c>
      <c r="X1215">
        <v>6</v>
      </c>
      <c r="Y1215">
        <v>6</v>
      </c>
      <c r="Z1215">
        <v>18</v>
      </c>
      <c r="AA1215">
        <v>2</v>
      </c>
      <c r="AB1215" t="str">
        <f t="shared" si="56"/>
        <v>Below average customer</v>
      </c>
    </row>
    <row r="1216" spans="1:28" x14ac:dyDescent="0.35">
      <c r="A1216">
        <v>1740</v>
      </c>
      <c r="B1216">
        <v>1944</v>
      </c>
      <c r="C1216" t="s">
        <v>36</v>
      </c>
      <c r="D1216" t="s">
        <v>26</v>
      </c>
      <c r="E1216" t="s">
        <v>33</v>
      </c>
      <c r="F1216">
        <v>55956</v>
      </c>
      <c r="G1216" t="str">
        <f t="shared" si="54"/>
        <v>Mid-high</v>
      </c>
      <c r="H1216">
        <v>0</v>
      </c>
      <c r="I1216">
        <v>0</v>
      </c>
      <c r="J1216">
        <v>0</v>
      </c>
      <c r="K1216" s="1">
        <v>41736</v>
      </c>
      <c r="L1216">
        <v>22</v>
      </c>
      <c r="M1216" t="str">
        <f t="shared" si="55"/>
        <v>Active</v>
      </c>
      <c r="N1216">
        <v>0</v>
      </c>
      <c r="O1216">
        <v>760</v>
      </c>
      <c r="P1216">
        <v>38</v>
      </c>
      <c r="Q1216">
        <v>104</v>
      </c>
      <c r="R1216">
        <v>50</v>
      </c>
      <c r="S1216">
        <v>9</v>
      </c>
      <c r="T1216">
        <v>38</v>
      </c>
      <c r="U1216">
        <v>999</v>
      </c>
      <c r="V1216">
        <v>2</v>
      </c>
      <c r="W1216">
        <v>7</v>
      </c>
      <c r="X1216">
        <v>3</v>
      </c>
      <c r="Y1216">
        <v>4</v>
      </c>
      <c r="Z1216">
        <v>14</v>
      </c>
      <c r="AA1216">
        <v>4</v>
      </c>
      <c r="AB1216" t="str">
        <f t="shared" si="56"/>
        <v>Above average customer</v>
      </c>
    </row>
    <row r="1217" spans="1:28" x14ac:dyDescent="0.35">
      <c r="A1217">
        <v>7488</v>
      </c>
      <c r="B1217">
        <v>1963</v>
      </c>
      <c r="C1217" t="s">
        <v>28</v>
      </c>
      <c r="D1217" t="s">
        <v>34</v>
      </c>
      <c r="E1217" t="s">
        <v>27</v>
      </c>
      <c r="F1217">
        <v>64191</v>
      </c>
      <c r="G1217" t="str">
        <f t="shared" si="54"/>
        <v>Mid-high</v>
      </c>
      <c r="H1217">
        <v>0</v>
      </c>
      <c r="I1217">
        <v>1</v>
      </c>
      <c r="J1217">
        <v>1</v>
      </c>
      <c r="K1217" s="1">
        <v>41296</v>
      </c>
      <c r="L1217">
        <v>30</v>
      </c>
      <c r="M1217" t="str">
        <f t="shared" si="55"/>
        <v>Active</v>
      </c>
      <c r="N1217">
        <v>0</v>
      </c>
      <c r="O1217">
        <v>420</v>
      </c>
      <c r="P1217">
        <v>15</v>
      </c>
      <c r="Q1217">
        <v>186</v>
      </c>
      <c r="R1217">
        <v>151</v>
      </c>
      <c r="S1217">
        <v>38</v>
      </c>
      <c r="T1217">
        <v>15</v>
      </c>
      <c r="U1217">
        <v>825</v>
      </c>
      <c r="V1217">
        <v>3</v>
      </c>
      <c r="W1217">
        <v>5</v>
      </c>
      <c r="X1217">
        <v>3</v>
      </c>
      <c r="Y1217">
        <v>13</v>
      </c>
      <c r="Z1217">
        <v>21</v>
      </c>
      <c r="AA1217">
        <v>3</v>
      </c>
      <c r="AB1217" t="str">
        <f t="shared" si="56"/>
        <v>Above average customer</v>
      </c>
    </row>
    <row r="1218" spans="1:28" x14ac:dyDescent="0.35">
      <c r="A1218">
        <v>195</v>
      </c>
      <c r="B1218">
        <v>1972</v>
      </c>
      <c r="C1218" t="s">
        <v>28</v>
      </c>
      <c r="D1218" t="s">
        <v>26</v>
      </c>
      <c r="E1218" t="s">
        <v>27</v>
      </c>
      <c r="F1218">
        <v>38808</v>
      </c>
      <c r="G1218" t="str">
        <f t="shared" ref="G1218:G1281" si="57">IF(F1218&lt;=_xlfn.PERCENTILE.INC($F$2:$F$2056,0.25),"Low",IF(F1218&lt;=_xlfn.PERCENTILE.INC($F$2:$F$2056,0.5),"Mid-low",IF(F1218&lt;=_xlfn.PERCENTILE.INC($F$2:$F$2056,0.75),"Mid-high","High")))</f>
        <v>Mid-low</v>
      </c>
      <c r="H1218">
        <v>1</v>
      </c>
      <c r="I1218">
        <v>0</v>
      </c>
      <c r="J1218">
        <v>1</v>
      </c>
      <c r="K1218" s="1">
        <v>41147</v>
      </c>
      <c r="L1218">
        <v>21</v>
      </c>
      <c r="M1218" t="str">
        <f t="shared" ref="M1218:M1281" si="58">IF(L1218&gt;AVERAGE($L$2:$L$2056),"Inactive","Active")</f>
        <v>Active</v>
      </c>
      <c r="N1218">
        <v>0</v>
      </c>
      <c r="O1218">
        <v>125</v>
      </c>
      <c r="P1218">
        <v>17</v>
      </c>
      <c r="Q1218">
        <v>52</v>
      </c>
      <c r="R1218">
        <v>3</v>
      </c>
      <c r="S1218">
        <v>19</v>
      </c>
      <c r="T1218">
        <v>30</v>
      </c>
      <c r="U1218">
        <v>246</v>
      </c>
      <c r="V1218">
        <v>4</v>
      </c>
      <c r="W1218">
        <v>5</v>
      </c>
      <c r="X1218">
        <v>1</v>
      </c>
      <c r="Y1218">
        <v>4</v>
      </c>
      <c r="Z1218">
        <v>10</v>
      </c>
      <c r="AA1218">
        <v>8</v>
      </c>
      <c r="AB1218" t="str">
        <f t="shared" ref="AB1218:AB1281" si="59">IF(AND(Z1218&gt;AVERAGE($Z$2:$Z$2056),U1218&gt;AVERAGE($U$2:$U$2056),N1218=0,L1218&lt;AVERAGE($L$2:$L$2056),F1218&gt;AVERAGE($F$2:$F$2240)),"Above average customer","Below average customer")</f>
        <v>Below average customer</v>
      </c>
    </row>
    <row r="1219" spans="1:28" x14ac:dyDescent="0.35">
      <c r="A1219">
        <v>635</v>
      </c>
      <c r="B1219">
        <v>1966</v>
      </c>
      <c r="C1219" t="s">
        <v>28</v>
      </c>
      <c r="D1219" t="s">
        <v>34</v>
      </c>
      <c r="E1219" t="s">
        <v>33</v>
      </c>
      <c r="F1219">
        <v>57183</v>
      </c>
      <c r="G1219" t="str">
        <f t="shared" si="57"/>
        <v>Mid-high</v>
      </c>
      <c r="H1219">
        <v>1</v>
      </c>
      <c r="I1219">
        <v>1</v>
      </c>
      <c r="J1219">
        <v>2</v>
      </c>
      <c r="K1219" s="1">
        <v>41352</v>
      </c>
      <c r="L1219">
        <v>51</v>
      </c>
      <c r="M1219" t="str">
        <f t="shared" si="58"/>
        <v>Inactive</v>
      </c>
      <c r="N1219">
        <v>0</v>
      </c>
      <c r="O1219">
        <v>464</v>
      </c>
      <c r="P1219">
        <v>5</v>
      </c>
      <c r="Q1219">
        <v>64</v>
      </c>
      <c r="R1219">
        <v>7</v>
      </c>
      <c r="S1219">
        <v>0</v>
      </c>
      <c r="T1219">
        <v>70</v>
      </c>
      <c r="U1219">
        <v>610</v>
      </c>
      <c r="V1219">
        <v>8</v>
      </c>
      <c r="W1219">
        <v>9</v>
      </c>
      <c r="X1219">
        <v>1</v>
      </c>
      <c r="Y1219">
        <v>7</v>
      </c>
      <c r="Z1219">
        <v>17</v>
      </c>
      <c r="AA1219">
        <v>8</v>
      </c>
      <c r="AB1219" t="str">
        <f t="shared" si="59"/>
        <v>Below average customer</v>
      </c>
    </row>
    <row r="1220" spans="1:28" x14ac:dyDescent="0.35">
      <c r="A1220">
        <v>7527</v>
      </c>
      <c r="B1220">
        <v>1968</v>
      </c>
      <c r="C1220" t="s">
        <v>28</v>
      </c>
      <c r="D1220" t="s">
        <v>34</v>
      </c>
      <c r="E1220" t="s">
        <v>35</v>
      </c>
      <c r="F1220">
        <v>23748</v>
      </c>
      <c r="G1220" t="str">
        <f t="shared" si="57"/>
        <v>Low</v>
      </c>
      <c r="H1220">
        <v>1</v>
      </c>
      <c r="I1220">
        <v>0</v>
      </c>
      <c r="J1220">
        <v>1</v>
      </c>
      <c r="K1220" s="1">
        <v>41234</v>
      </c>
      <c r="L1220">
        <v>97</v>
      </c>
      <c r="M1220" t="str">
        <f t="shared" si="58"/>
        <v>Inactive</v>
      </c>
      <c r="N1220">
        <v>0</v>
      </c>
      <c r="O1220">
        <v>6</v>
      </c>
      <c r="P1220">
        <v>6</v>
      </c>
      <c r="Q1220">
        <v>29</v>
      </c>
      <c r="R1220">
        <v>12</v>
      </c>
      <c r="S1220">
        <v>15</v>
      </c>
      <c r="T1220">
        <v>8</v>
      </c>
      <c r="U1220">
        <v>76</v>
      </c>
      <c r="V1220">
        <v>3</v>
      </c>
      <c r="W1220">
        <v>2</v>
      </c>
      <c r="X1220">
        <v>1</v>
      </c>
      <c r="Y1220">
        <v>3</v>
      </c>
      <c r="Z1220">
        <v>6</v>
      </c>
      <c r="AA1220">
        <v>8</v>
      </c>
      <c r="AB1220" t="str">
        <f t="shared" si="59"/>
        <v>Below average customer</v>
      </c>
    </row>
    <row r="1221" spans="1:28" x14ac:dyDescent="0.35">
      <c r="A1221">
        <v>10319</v>
      </c>
      <c r="B1221">
        <v>1971</v>
      </c>
      <c r="C1221" t="s">
        <v>28</v>
      </c>
      <c r="D1221" t="s">
        <v>26</v>
      </c>
      <c r="E1221" t="s">
        <v>33</v>
      </c>
      <c r="F1221">
        <v>66303</v>
      </c>
      <c r="G1221" t="str">
        <f t="shared" si="57"/>
        <v>Mid-high</v>
      </c>
      <c r="H1221">
        <v>0</v>
      </c>
      <c r="I1221">
        <v>1</v>
      </c>
      <c r="J1221">
        <v>1</v>
      </c>
      <c r="K1221" s="1">
        <v>41331</v>
      </c>
      <c r="L1221">
        <v>56</v>
      </c>
      <c r="M1221" t="str">
        <f t="shared" si="58"/>
        <v>Inactive</v>
      </c>
      <c r="N1221">
        <v>0</v>
      </c>
      <c r="O1221">
        <v>1090</v>
      </c>
      <c r="P1221">
        <v>12</v>
      </c>
      <c r="Q1221">
        <v>96</v>
      </c>
      <c r="R1221">
        <v>16</v>
      </c>
      <c r="S1221">
        <v>12</v>
      </c>
      <c r="T1221">
        <v>60</v>
      </c>
      <c r="U1221">
        <v>1286</v>
      </c>
      <c r="V1221">
        <v>4</v>
      </c>
      <c r="W1221">
        <v>3</v>
      </c>
      <c r="X1221">
        <v>4</v>
      </c>
      <c r="Y1221">
        <v>11</v>
      </c>
      <c r="Z1221">
        <v>18</v>
      </c>
      <c r="AA1221">
        <v>8</v>
      </c>
      <c r="AB1221" t="str">
        <f t="shared" si="59"/>
        <v>Below average customer</v>
      </c>
    </row>
    <row r="1222" spans="1:28" x14ac:dyDescent="0.35">
      <c r="A1222">
        <v>2296</v>
      </c>
      <c r="B1222">
        <v>1975</v>
      </c>
      <c r="C1222" t="s">
        <v>31</v>
      </c>
      <c r="D1222" t="s">
        <v>34</v>
      </c>
      <c r="E1222" t="s">
        <v>33</v>
      </c>
      <c r="F1222">
        <v>37368</v>
      </c>
      <c r="G1222" t="str">
        <f t="shared" si="57"/>
        <v>Mid-low</v>
      </c>
      <c r="H1222">
        <v>1</v>
      </c>
      <c r="I1222">
        <v>0</v>
      </c>
      <c r="J1222">
        <v>1</v>
      </c>
      <c r="K1222" s="1">
        <v>41624</v>
      </c>
      <c r="L1222">
        <v>4</v>
      </c>
      <c r="M1222" t="str">
        <f t="shared" si="58"/>
        <v>Active</v>
      </c>
      <c r="N1222">
        <v>0</v>
      </c>
      <c r="O1222">
        <v>3</v>
      </c>
      <c r="P1222">
        <v>2</v>
      </c>
      <c r="Q1222">
        <v>11</v>
      </c>
      <c r="R1222">
        <v>2</v>
      </c>
      <c r="S1222">
        <v>2</v>
      </c>
      <c r="T1222">
        <v>10</v>
      </c>
      <c r="U1222">
        <v>30</v>
      </c>
      <c r="V1222">
        <v>1</v>
      </c>
      <c r="W1222">
        <v>1</v>
      </c>
      <c r="X1222">
        <v>0</v>
      </c>
      <c r="Y1222">
        <v>2</v>
      </c>
      <c r="Z1222">
        <v>3</v>
      </c>
      <c r="AA1222">
        <v>6</v>
      </c>
      <c r="AB1222" t="str">
        <f t="shared" si="59"/>
        <v>Below average customer</v>
      </c>
    </row>
    <row r="1223" spans="1:28" x14ac:dyDescent="0.35">
      <c r="A1223">
        <v>10637</v>
      </c>
      <c r="B1223">
        <v>1964</v>
      </c>
      <c r="C1223" t="s">
        <v>28</v>
      </c>
      <c r="D1223" t="s">
        <v>26</v>
      </c>
      <c r="E1223" t="s">
        <v>33</v>
      </c>
      <c r="F1223">
        <v>40800</v>
      </c>
      <c r="G1223" t="str">
        <f t="shared" si="57"/>
        <v>Mid-low</v>
      </c>
      <c r="H1223">
        <v>1</v>
      </c>
      <c r="I1223">
        <v>2</v>
      </c>
      <c r="J1223">
        <v>3</v>
      </c>
      <c r="K1223" s="1">
        <v>41275</v>
      </c>
      <c r="L1223">
        <v>77</v>
      </c>
      <c r="M1223" t="str">
        <f t="shared" si="58"/>
        <v>Inactive</v>
      </c>
      <c r="N1223">
        <v>1</v>
      </c>
      <c r="O1223">
        <v>24</v>
      </c>
      <c r="P1223">
        <v>0</v>
      </c>
      <c r="Q1223">
        <v>27</v>
      </c>
      <c r="R1223">
        <v>8</v>
      </c>
      <c r="S1223">
        <v>30</v>
      </c>
      <c r="T1223">
        <v>10</v>
      </c>
      <c r="U1223">
        <v>99</v>
      </c>
      <c r="V1223">
        <v>2</v>
      </c>
      <c r="W1223">
        <v>3</v>
      </c>
      <c r="X1223">
        <v>0</v>
      </c>
      <c r="Y1223">
        <v>3</v>
      </c>
      <c r="Z1223">
        <v>6</v>
      </c>
      <c r="AA1223">
        <v>7</v>
      </c>
      <c r="AB1223" t="str">
        <f t="shared" si="59"/>
        <v>Below average customer</v>
      </c>
    </row>
    <row r="1224" spans="1:28" x14ac:dyDescent="0.35">
      <c r="A1224">
        <v>2931</v>
      </c>
      <c r="B1224">
        <v>1978</v>
      </c>
      <c r="C1224" t="s">
        <v>31</v>
      </c>
      <c r="D1224" t="s">
        <v>26</v>
      </c>
      <c r="E1224" t="s">
        <v>35</v>
      </c>
      <c r="F1224">
        <v>71847</v>
      </c>
      <c r="G1224" t="str">
        <f t="shared" si="57"/>
        <v>High</v>
      </c>
      <c r="H1224">
        <v>0</v>
      </c>
      <c r="I1224">
        <v>0</v>
      </c>
      <c r="J1224">
        <v>0</v>
      </c>
      <c r="K1224" s="1">
        <v>41173</v>
      </c>
      <c r="L1224">
        <v>95</v>
      </c>
      <c r="M1224" t="str">
        <f t="shared" si="58"/>
        <v>Inactive</v>
      </c>
      <c r="N1224">
        <v>0</v>
      </c>
      <c r="O1224">
        <v>737</v>
      </c>
      <c r="P1224">
        <v>21</v>
      </c>
      <c r="Q1224">
        <v>106</v>
      </c>
      <c r="R1224">
        <v>55</v>
      </c>
      <c r="S1224">
        <v>63</v>
      </c>
      <c r="T1224">
        <v>210</v>
      </c>
      <c r="U1224">
        <v>1192</v>
      </c>
      <c r="V1224">
        <v>0</v>
      </c>
      <c r="W1224">
        <v>6</v>
      </c>
      <c r="X1224">
        <v>7</v>
      </c>
      <c r="Y1224">
        <v>9</v>
      </c>
      <c r="Z1224">
        <v>22</v>
      </c>
      <c r="AA1224">
        <v>3</v>
      </c>
      <c r="AB1224" t="str">
        <f t="shared" si="59"/>
        <v>Below average customer</v>
      </c>
    </row>
    <row r="1225" spans="1:28" x14ac:dyDescent="0.35">
      <c r="A1225">
        <v>907</v>
      </c>
      <c r="B1225">
        <v>1975</v>
      </c>
      <c r="C1225" t="s">
        <v>31</v>
      </c>
      <c r="D1225" t="s">
        <v>26</v>
      </c>
      <c r="E1225" t="s">
        <v>33</v>
      </c>
      <c r="F1225">
        <v>46149</v>
      </c>
      <c r="G1225" t="str">
        <f t="shared" si="57"/>
        <v>Mid-low</v>
      </c>
      <c r="H1225">
        <v>0</v>
      </c>
      <c r="I1225">
        <v>1</v>
      </c>
      <c r="J1225">
        <v>1</v>
      </c>
      <c r="K1225" s="1">
        <v>41607</v>
      </c>
      <c r="L1225">
        <v>36</v>
      </c>
      <c r="M1225" t="str">
        <f t="shared" si="58"/>
        <v>Active</v>
      </c>
      <c r="N1225">
        <v>0</v>
      </c>
      <c r="O1225">
        <v>254</v>
      </c>
      <c r="P1225">
        <v>6</v>
      </c>
      <c r="Q1225">
        <v>71</v>
      </c>
      <c r="R1225">
        <v>4</v>
      </c>
      <c r="S1225">
        <v>0</v>
      </c>
      <c r="T1225">
        <v>27</v>
      </c>
      <c r="U1225">
        <v>362</v>
      </c>
      <c r="V1225">
        <v>5</v>
      </c>
      <c r="W1225">
        <v>5</v>
      </c>
      <c r="X1225">
        <v>1</v>
      </c>
      <c r="Y1225">
        <v>7</v>
      </c>
      <c r="Z1225">
        <v>13</v>
      </c>
      <c r="AA1225">
        <v>5</v>
      </c>
      <c r="AB1225" t="str">
        <f t="shared" si="59"/>
        <v>Below average customer</v>
      </c>
    </row>
    <row r="1226" spans="1:28" x14ac:dyDescent="0.35">
      <c r="A1226">
        <v>3698</v>
      </c>
      <c r="B1226">
        <v>1983</v>
      </c>
      <c r="C1226" t="s">
        <v>30</v>
      </c>
      <c r="D1226" t="s">
        <v>26</v>
      </c>
      <c r="E1226" t="s">
        <v>29</v>
      </c>
      <c r="F1226">
        <v>78687</v>
      </c>
      <c r="G1226" t="str">
        <f t="shared" si="57"/>
        <v>High</v>
      </c>
      <c r="H1226">
        <v>0</v>
      </c>
      <c r="I1226">
        <v>0</v>
      </c>
      <c r="J1226">
        <v>0</v>
      </c>
      <c r="K1226" s="1">
        <v>41130</v>
      </c>
      <c r="L1226">
        <v>13</v>
      </c>
      <c r="M1226" t="str">
        <f t="shared" si="58"/>
        <v>Active</v>
      </c>
      <c r="N1226">
        <v>0</v>
      </c>
      <c r="O1226">
        <v>817</v>
      </c>
      <c r="P1226">
        <v>185</v>
      </c>
      <c r="Q1226">
        <v>687</v>
      </c>
      <c r="R1226">
        <v>145</v>
      </c>
      <c r="S1226">
        <v>55</v>
      </c>
      <c r="T1226">
        <v>241</v>
      </c>
      <c r="U1226">
        <v>2130</v>
      </c>
      <c r="V1226">
        <v>1</v>
      </c>
      <c r="W1226">
        <v>4</v>
      </c>
      <c r="X1226">
        <v>6</v>
      </c>
      <c r="Y1226">
        <v>8</v>
      </c>
      <c r="Z1226">
        <v>18</v>
      </c>
      <c r="AA1226">
        <v>2</v>
      </c>
      <c r="AB1226" t="str">
        <f t="shared" si="59"/>
        <v>Above average customer</v>
      </c>
    </row>
    <row r="1227" spans="1:28" x14ac:dyDescent="0.35">
      <c r="A1227">
        <v>9516</v>
      </c>
      <c r="B1227">
        <v>1971</v>
      </c>
      <c r="C1227" t="s">
        <v>28</v>
      </c>
      <c r="D1227" t="s">
        <v>34</v>
      </c>
      <c r="E1227" t="s">
        <v>35</v>
      </c>
      <c r="F1227">
        <v>49118</v>
      </c>
      <c r="G1227" t="str">
        <f t="shared" si="57"/>
        <v>Mid-low</v>
      </c>
      <c r="H1227">
        <v>0</v>
      </c>
      <c r="I1227">
        <v>0</v>
      </c>
      <c r="J1227">
        <v>0</v>
      </c>
      <c r="K1227" s="1">
        <v>41139</v>
      </c>
      <c r="L1227">
        <v>90</v>
      </c>
      <c r="M1227" t="str">
        <f t="shared" si="58"/>
        <v>Inactive</v>
      </c>
      <c r="N1227">
        <v>0</v>
      </c>
      <c r="O1227">
        <v>620</v>
      </c>
      <c r="P1227">
        <v>54</v>
      </c>
      <c r="Q1227">
        <v>239</v>
      </c>
      <c r="R1227">
        <v>99</v>
      </c>
      <c r="S1227">
        <v>98</v>
      </c>
      <c r="T1227">
        <v>119</v>
      </c>
      <c r="U1227">
        <v>1229</v>
      </c>
      <c r="V1227">
        <v>2</v>
      </c>
      <c r="W1227">
        <v>9</v>
      </c>
      <c r="X1227">
        <v>7</v>
      </c>
      <c r="Y1227">
        <v>10</v>
      </c>
      <c r="Z1227">
        <v>26</v>
      </c>
      <c r="AA1227">
        <v>7</v>
      </c>
      <c r="AB1227" t="str">
        <f t="shared" si="59"/>
        <v>Below average customer</v>
      </c>
    </row>
    <row r="1228" spans="1:28" x14ac:dyDescent="0.35">
      <c r="A1228">
        <v>679</v>
      </c>
      <c r="B1228">
        <v>1957</v>
      </c>
      <c r="C1228" t="s">
        <v>25</v>
      </c>
      <c r="D1228" t="s">
        <v>32</v>
      </c>
      <c r="E1228" t="s">
        <v>33</v>
      </c>
      <c r="F1228">
        <v>37633</v>
      </c>
      <c r="G1228" t="str">
        <f t="shared" si="57"/>
        <v>Mid-low</v>
      </c>
      <c r="H1228">
        <v>1</v>
      </c>
      <c r="I1228">
        <v>1</v>
      </c>
      <c r="J1228">
        <v>2</v>
      </c>
      <c r="K1228" s="1">
        <v>41172</v>
      </c>
      <c r="L1228">
        <v>49</v>
      </c>
      <c r="M1228" t="str">
        <f t="shared" si="58"/>
        <v>Inactive</v>
      </c>
      <c r="N1228">
        <v>0</v>
      </c>
      <c r="O1228">
        <v>13</v>
      </c>
      <c r="P1228">
        <v>4</v>
      </c>
      <c r="Q1228">
        <v>20</v>
      </c>
      <c r="R1228">
        <v>0</v>
      </c>
      <c r="S1228">
        <v>0</v>
      </c>
      <c r="T1228">
        <v>1</v>
      </c>
      <c r="U1228">
        <v>38</v>
      </c>
      <c r="V1228">
        <v>2</v>
      </c>
      <c r="W1228">
        <v>1</v>
      </c>
      <c r="X1228">
        <v>0</v>
      </c>
      <c r="Y1228">
        <v>3</v>
      </c>
      <c r="Z1228">
        <v>4</v>
      </c>
      <c r="AA1228">
        <v>9</v>
      </c>
      <c r="AB1228" t="str">
        <f t="shared" si="59"/>
        <v>Below average customer</v>
      </c>
    </row>
    <row r="1229" spans="1:28" x14ac:dyDescent="0.35">
      <c r="A1229">
        <v>7384</v>
      </c>
      <c r="B1229">
        <v>1951</v>
      </c>
      <c r="C1229" t="s">
        <v>36</v>
      </c>
      <c r="D1229" t="s">
        <v>34</v>
      </c>
      <c r="E1229" t="s">
        <v>29</v>
      </c>
      <c r="F1229">
        <v>39767</v>
      </c>
      <c r="G1229" t="str">
        <f t="shared" si="57"/>
        <v>Mid-low</v>
      </c>
      <c r="H1229">
        <v>0</v>
      </c>
      <c r="I1229">
        <v>0</v>
      </c>
      <c r="J1229">
        <v>0</v>
      </c>
      <c r="K1229" s="1">
        <v>41476</v>
      </c>
      <c r="L1229">
        <v>18</v>
      </c>
      <c r="M1229" t="str">
        <f t="shared" si="58"/>
        <v>Active</v>
      </c>
      <c r="N1229">
        <v>0</v>
      </c>
      <c r="O1229">
        <v>113</v>
      </c>
      <c r="P1229">
        <v>61</v>
      </c>
      <c r="Q1229">
        <v>204</v>
      </c>
      <c r="R1229">
        <v>34</v>
      </c>
      <c r="S1229">
        <v>26</v>
      </c>
      <c r="T1229">
        <v>47</v>
      </c>
      <c r="U1229">
        <v>485</v>
      </c>
      <c r="V1229">
        <v>2</v>
      </c>
      <c r="W1229">
        <v>7</v>
      </c>
      <c r="X1229">
        <v>1</v>
      </c>
      <c r="Y1229">
        <v>7</v>
      </c>
      <c r="Z1229">
        <v>15</v>
      </c>
      <c r="AA1229">
        <v>8</v>
      </c>
      <c r="AB1229" t="str">
        <f t="shared" si="59"/>
        <v>Below average customer</v>
      </c>
    </row>
    <row r="1230" spans="1:28" x14ac:dyDescent="0.35">
      <c r="A1230">
        <v>5043</v>
      </c>
      <c r="B1230">
        <v>1951</v>
      </c>
      <c r="C1230" t="s">
        <v>36</v>
      </c>
      <c r="D1230" t="s">
        <v>37</v>
      </c>
      <c r="E1230" t="s">
        <v>33</v>
      </c>
      <c r="F1230">
        <v>26997</v>
      </c>
      <c r="G1230" t="str">
        <f t="shared" si="57"/>
        <v>Low</v>
      </c>
      <c r="H1230">
        <v>0</v>
      </c>
      <c r="I1230">
        <v>0</v>
      </c>
      <c r="J1230">
        <v>0</v>
      </c>
      <c r="K1230" s="1">
        <v>41218</v>
      </c>
      <c r="L1230">
        <v>89</v>
      </c>
      <c r="M1230" t="str">
        <f t="shared" si="58"/>
        <v>Inactive</v>
      </c>
      <c r="N1230">
        <v>0</v>
      </c>
      <c r="O1230">
        <v>7</v>
      </c>
      <c r="P1230">
        <v>23</v>
      </c>
      <c r="Q1230">
        <v>78</v>
      </c>
      <c r="R1230">
        <v>133</v>
      </c>
      <c r="S1230">
        <v>49</v>
      </c>
      <c r="T1230">
        <v>144</v>
      </c>
      <c r="U1230">
        <v>434</v>
      </c>
      <c r="V1230">
        <v>2</v>
      </c>
      <c r="W1230">
        <v>4</v>
      </c>
      <c r="X1230">
        <v>2</v>
      </c>
      <c r="Y1230">
        <v>5</v>
      </c>
      <c r="Z1230">
        <v>11</v>
      </c>
      <c r="AA1230">
        <v>7</v>
      </c>
      <c r="AB1230" t="str">
        <f t="shared" si="59"/>
        <v>Below average customer</v>
      </c>
    </row>
    <row r="1231" spans="1:28" x14ac:dyDescent="0.35">
      <c r="A1231">
        <v>5267</v>
      </c>
      <c r="B1231">
        <v>1970</v>
      </c>
      <c r="C1231" t="s">
        <v>28</v>
      </c>
      <c r="D1231" t="s">
        <v>26</v>
      </c>
      <c r="E1231" t="s">
        <v>35</v>
      </c>
      <c r="F1231">
        <v>33986</v>
      </c>
      <c r="G1231" t="str">
        <f t="shared" si="57"/>
        <v>Low</v>
      </c>
      <c r="H1231">
        <v>1</v>
      </c>
      <c r="I1231">
        <v>0</v>
      </c>
      <c r="J1231">
        <v>1</v>
      </c>
      <c r="K1231" s="1">
        <v>41347</v>
      </c>
      <c r="L1231">
        <v>43</v>
      </c>
      <c r="M1231" t="str">
        <f t="shared" si="58"/>
        <v>Active</v>
      </c>
      <c r="N1231">
        <v>0</v>
      </c>
      <c r="O1231">
        <v>16</v>
      </c>
      <c r="P1231">
        <v>2</v>
      </c>
      <c r="Q1231">
        <v>18</v>
      </c>
      <c r="R1231">
        <v>2</v>
      </c>
      <c r="S1231">
        <v>1</v>
      </c>
      <c r="T1231">
        <v>5</v>
      </c>
      <c r="U1231">
        <v>44</v>
      </c>
      <c r="V1231">
        <v>1</v>
      </c>
      <c r="W1231">
        <v>1</v>
      </c>
      <c r="X1231">
        <v>0</v>
      </c>
      <c r="Y1231">
        <v>3</v>
      </c>
      <c r="Z1231">
        <v>4</v>
      </c>
      <c r="AA1231">
        <v>7</v>
      </c>
      <c r="AB1231" t="str">
        <f t="shared" si="59"/>
        <v>Below average customer</v>
      </c>
    </row>
    <row r="1232" spans="1:28" x14ac:dyDescent="0.35">
      <c r="A1232">
        <v>339</v>
      </c>
      <c r="B1232">
        <v>1972</v>
      </c>
      <c r="C1232" t="s">
        <v>28</v>
      </c>
      <c r="D1232" t="s">
        <v>32</v>
      </c>
      <c r="E1232" t="s">
        <v>33</v>
      </c>
      <c r="F1232">
        <v>57091</v>
      </c>
      <c r="G1232" t="str">
        <f t="shared" si="57"/>
        <v>Mid-high</v>
      </c>
      <c r="H1232">
        <v>0</v>
      </c>
      <c r="I1232">
        <v>1</v>
      </c>
      <c r="J1232">
        <v>1</v>
      </c>
      <c r="K1232" s="1">
        <v>41236</v>
      </c>
      <c r="L1232">
        <v>82</v>
      </c>
      <c r="M1232" t="str">
        <f t="shared" si="58"/>
        <v>Inactive</v>
      </c>
      <c r="N1232">
        <v>0</v>
      </c>
      <c r="O1232">
        <v>462</v>
      </c>
      <c r="P1232">
        <v>0</v>
      </c>
      <c r="Q1232">
        <v>24</v>
      </c>
      <c r="R1232">
        <v>6</v>
      </c>
      <c r="S1232">
        <v>0</v>
      </c>
      <c r="T1232">
        <v>4</v>
      </c>
      <c r="U1232">
        <v>496</v>
      </c>
      <c r="V1232">
        <v>2</v>
      </c>
      <c r="W1232">
        <v>9</v>
      </c>
      <c r="X1232">
        <v>2</v>
      </c>
      <c r="Y1232">
        <v>5</v>
      </c>
      <c r="Z1232">
        <v>16</v>
      </c>
      <c r="AA1232">
        <v>7</v>
      </c>
      <c r="AB1232" t="str">
        <f t="shared" si="59"/>
        <v>Below average customer</v>
      </c>
    </row>
    <row r="1233" spans="1:28" x14ac:dyDescent="0.35">
      <c r="A1233">
        <v>2516</v>
      </c>
      <c r="B1233">
        <v>1969</v>
      </c>
      <c r="C1233" t="s">
        <v>28</v>
      </c>
      <c r="D1233" t="s">
        <v>34</v>
      </c>
      <c r="E1233" t="s">
        <v>33</v>
      </c>
      <c r="F1233">
        <v>46831</v>
      </c>
      <c r="G1233" t="str">
        <f t="shared" si="57"/>
        <v>Mid-low</v>
      </c>
      <c r="H1233">
        <v>1</v>
      </c>
      <c r="I1233">
        <v>1</v>
      </c>
      <c r="J1233">
        <v>2</v>
      </c>
      <c r="K1233" s="1">
        <v>41433</v>
      </c>
      <c r="L1233">
        <v>84</v>
      </c>
      <c r="M1233" t="str">
        <f t="shared" si="58"/>
        <v>Inactive</v>
      </c>
      <c r="N1233">
        <v>0</v>
      </c>
      <c r="O1233">
        <v>22</v>
      </c>
      <c r="P1233">
        <v>2</v>
      </c>
      <c r="Q1233">
        <v>10</v>
      </c>
      <c r="R1233">
        <v>6</v>
      </c>
      <c r="S1233">
        <v>4</v>
      </c>
      <c r="T1233">
        <v>34</v>
      </c>
      <c r="U1233">
        <v>78</v>
      </c>
      <c r="V1233">
        <v>2</v>
      </c>
      <c r="W1233">
        <v>1</v>
      </c>
      <c r="X1233">
        <v>2</v>
      </c>
      <c r="Y1233">
        <v>2</v>
      </c>
      <c r="Z1233">
        <v>5</v>
      </c>
      <c r="AA1233">
        <v>4</v>
      </c>
      <c r="AB1233" t="str">
        <f t="shared" si="59"/>
        <v>Below average customer</v>
      </c>
    </row>
    <row r="1234" spans="1:28" x14ac:dyDescent="0.35">
      <c r="A1234">
        <v>9010</v>
      </c>
      <c r="B1234">
        <v>1972</v>
      </c>
      <c r="C1234" t="s">
        <v>28</v>
      </c>
      <c r="D1234" t="s">
        <v>34</v>
      </c>
      <c r="E1234" t="s">
        <v>33</v>
      </c>
      <c r="F1234">
        <v>83151</v>
      </c>
      <c r="G1234" t="str">
        <f t="shared" si="57"/>
        <v>High</v>
      </c>
      <c r="H1234">
        <v>0</v>
      </c>
      <c r="I1234">
        <v>0</v>
      </c>
      <c r="J1234">
        <v>0</v>
      </c>
      <c r="K1234" s="1">
        <v>41315</v>
      </c>
      <c r="L1234">
        <v>80</v>
      </c>
      <c r="M1234" t="str">
        <f t="shared" si="58"/>
        <v>Inactive</v>
      </c>
      <c r="N1234">
        <v>0</v>
      </c>
      <c r="O1234">
        <v>968</v>
      </c>
      <c r="P1234">
        <v>147</v>
      </c>
      <c r="Q1234">
        <v>842</v>
      </c>
      <c r="R1234">
        <v>137</v>
      </c>
      <c r="S1234">
        <v>42</v>
      </c>
      <c r="T1234">
        <v>210</v>
      </c>
      <c r="U1234">
        <v>2346</v>
      </c>
      <c r="V1234">
        <v>1</v>
      </c>
      <c r="W1234">
        <v>5</v>
      </c>
      <c r="X1234">
        <v>7</v>
      </c>
      <c r="Y1234">
        <v>10</v>
      </c>
      <c r="Z1234">
        <v>22</v>
      </c>
      <c r="AA1234">
        <v>2</v>
      </c>
      <c r="AB1234" t="str">
        <f t="shared" si="59"/>
        <v>Below average customer</v>
      </c>
    </row>
    <row r="1235" spans="1:28" x14ac:dyDescent="0.35">
      <c r="A1235">
        <v>378</v>
      </c>
      <c r="B1235">
        <v>1971</v>
      </c>
      <c r="C1235" t="s">
        <v>28</v>
      </c>
      <c r="D1235" t="s">
        <v>26</v>
      </c>
      <c r="E1235" t="s">
        <v>33</v>
      </c>
      <c r="F1235">
        <v>52531</v>
      </c>
      <c r="G1235" t="str">
        <f t="shared" si="57"/>
        <v>Mid-high</v>
      </c>
      <c r="H1235">
        <v>0</v>
      </c>
      <c r="I1235">
        <v>0</v>
      </c>
      <c r="J1235">
        <v>0</v>
      </c>
      <c r="K1235" s="1">
        <v>41273</v>
      </c>
      <c r="L1235">
        <v>68</v>
      </c>
      <c r="M1235" t="str">
        <f t="shared" si="58"/>
        <v>Inactive</v>
      </c>
      <c r="N1235">
        <v>0</v>
      </c>
      <c r="O1235">
        <v>283</v>
      </c>
      <c r="P1235">
        <v>112</v>
      </c>
      <c r="Q1235">
        <v>151</v>
      </c>
      <c r="R1235">
        <v>51</v>
      </c>
      <c r="S1235">
        <v>72</v>
      </c>
      <c r="T1235">
        <v>125</v>
      </c>
      <c r="U1235">
        <v>794</v>
      </c>
      <c r="V1235">
        <v>2</v>
      </c>
      <c r="W1235">
        <v>7</v>
      </c>
      <c r="X1235">
        <v>2</v>
      </c>
      <c r="Y1235">
        <v>10</v>
      </c>
      <c r="Z1235">
        <v>19</v>
      </c>
      <c r="AA1235">
        <v>6</v>
      </c>
      <c r="AB1235" t="str">
        <f t="shared" si="59"/>
        <v>Below average customer</v>
      </c>
    </row>
    <row r="1236" spans="1:28" x14ac:dyDescent="0.35">
      <c r="A1236">
        <v>4808</v>
      </c>
      <c r="B1236">
        <v>1956</v>
      </c>
      <c r="C1236" t="s">
        <v>25</v>
      </c>
      <c r="D1236" t="s">
        <v>26</v>
      </c>
      <c r="E1236" t="s">
        <v>33</v>
      </c>
      <c r="F1236">
        <v>15759</v>
      </c>
      <c r="G1236" t="str">
        <f t="shared" si="57"/>
        <v>Low</v>
      </c>
      <c r="H1236">
        <v>0</v>
      </c>
      <c r="I1236">
        <v>0</v>
      </c>
      <c r="J1236">
        <v>0</v>
      </c>
      <c r="K1236" s="1">
        <v>41522</v>
      </c>
      <c r="L1236">
        <v>12</v>
      </c>
      <c r="M1236" t="str">
        <f t="shared" si="58"/>
        <v>Active</v>
      </c>
      <c r="N1236">
        <v>0</v>
      </c>
      <c r="O1236">
        <v>1</v>
      </c>
      <c r="P1236">
        <v>2</v>
      </c>
      <c r="Q1236">
        <v>5</v>
      </c>
      <c r="R1236">
        <v>6</v>
      </c>
      <c r="S1236">
        <v>0</v>
      </c>
      <c r="T1236">
        <v>3</v>
      </c>
      <c r="U1236">
        <v>17</v>
      </c>
      <c r="V1236">
        <v>1</v>
      </c>
      <c r="W1236">
        <v>1</v>
      </c>
      <c r="X1236">
        <v>0</v>
      </c>
      <c r="Y1236">
        <v>2</v>
      </c>
      <c r="Z1236">
        <v>3</v>
      </c>
      <c r="AA1236">
        <v>7</v>
      </c>
      <c r="AB1236" t="str">
        <f t="shared" si="59"/>
        <v>Below average customer</v>
      </c>
    </row>
    <row r="1237" spans="1:28" x14ac:dyDescent="0.35">
      <c r="A1237">
        <v>7628</v>
      </c>
      <c r="B1237">
        <v>1973</v>
      </c>
      <c r="C1237" t="s">
        <v>31</v>
      </c>
      <c r="D1237" t="s">
        <v>34</v>
      </c>
      <c r="E1237" t="s">
        <v>33</v>
      </c>
      <c r="F1237">
        <v>43050</v>
      </c>
      <c r="G1237" t="str">
        <f t="shared" si="57"/>
        <v>Mid-low</v>
      </c>
      <c r="H1237">
        <v>1</v>
      </c>
      <c r="I1237">
        <v>0</v>
      </c>
      <c r="J1237">
        <v>1</v>
      </c>
      <c r="K1237" s="1">
        <v>41716</v>
      </c>
      <c r="L1237">
        <v>10</v>
      </c>
      <c r="M1237" t="str">
        <f t="shared" si="58"/>
        <v>Active</v>
      </c>
      <c r="N1237">
        <v>0</v>
      </c>
      <c r="O1237">
        <v>30</v>
      </c>
      <c r="P1237">
        <v>5</v>
      </c>
      <c r="Q1237">
        <v>24</v>
      </c>
      <c r="R1237">
        <v>6</v>
      </c>
      <c r="S1237">
        <v>3</v>
      </c>
      <c r="T1237">
        <v>8</v>
      </c>
      <c r="U1237">
        <v>76</v>
      </c>
      <c r="V1237">
        <v>2</v>
      </c>
      <c r="W1237">
        <v>2</v>
      </c>
      <c r="X1237">
        <v>0</v>
      </c>
      <c r="Y1237">
        <v>4</v>
      </c>
      <c r="Z1237">
        <v>6</v>
      </c>
      <c r="AA1237">
        <v>5</v>
      </c>
      <c r="AB1237" t="str">
        <f t="shared" si="59"/>
        <v>Below average customer</v>
      </c>
    </row>
    <row r="1238" spans="1:28" x14ac:dyDescent="0.35">
      <c r="A1238">
        <v>7128</v>
      </c>
      <c r="B1238">
        <v>1977</v>
      </c>
      <c r="C1238" t="s">
        <v>31</v>
      </c>
      <c r="D1238" t="s">
        <v>32</v>
      </c>
      <c r="E1238" t="s">
        <v>27</v>
      </c>
      <c r="F1238">
        <v>42997</v>
      </c>
      <c r="G1238" t="str">
        <f t="shared" si="57"/>
        <v>Mid-low</v>
      </c>
      <c r="H1238">
        <v>1</v>
      </c>
      <c r="I1238">
        <v>1</v>
      </c>
      <c r="J1238">
        <v>2</v>
      </c>
      <c r="K1238" s="1">
        <v>41615</v>
      </c>
      <c r="L1238">
        <v>91</v>
      </c>
      <c r="M1238" t="str">
        <f t="shared" si="58"/>
        <v>Inactive</v>
      </c>
      <c r="N1238">
        <v>0</v>
      </c>
      <c r="O1238">
        <v>4</v>
      </c>
      <c r="P1238">
        <v>0</v>
      </c>
      <c r="Q1238">
        <v>5</v>
      </c>
      <c r="R1238">
        <v>0</v>
      </c>
      <c r="S1238">
        <v>1</v>
      </c>
      <c r="T1238">
        <v>5</v>
      </c>
      <c r="U1238">
        <v>15</v>
      </c>
      <c r="V1238">
        <v>1</v>
      </c>
      <c r="W1238">
        <v>1</v>
      </c>
      <c r="X1238">
        <v>0</v>
      </c>
      <c r="Y1238">
        <v>2</v>
      </c>
      <c r="Z1238">
        <v>3</v>
      </c>
      <c r="AA1238">
        <v>7</v>
      </c>
      <c r="AB1238" t="str">
        <f t="shared" si="59"/>
        <v>Below average customer</v>
      </c>
    </row>
    <row r="1239" spans="1:28" x14ac:dyDescent="0.35">
      <c r="A1239">
        <v>2811</v>
      </c>
      <c r="B1239">
        <v>1963</v>
      </c>
      <c r="C1239" t="s">
        <v>28</v>
      </c>
      <c r="D1239" t="s">
        <v>32</v>
      </c>
      <c r="E1239" t="s">
        <v>27</v>
      </c>
      <c r="F1239">
        <v>48918</v>
      </c>
      <c r="G1239" t="str">
        <f t="shared" si="57"/>
        <v>Mid-low</v>
      </c>
      <c r="H1239">
        <v>1</v>
      </c>
      <c r="I1239">
        <v>1</v>
      </c>
      <c r="J1239">
        <v>2</v>
      </c>
      <c r="K1239" s="1">
        <v>41741</v>
      </c>
      <c r="L1239">
        <v>21</v>
      </c>
      <c r="M1239" t="str">
        <f t="shared" si="58"/>
        <v>Active</v>
      </c>
      <c r="N1239">
        <v>0</v>
      </c>
      <c r="O1239">
        <v>52</v>
      </c>
      <c r="P1239">
        <v>0</v>
      </c>
      <c r="Q1239">
        <v>9</v>
      </c>
      <c r="R1239">
        <v>0</v>
      </c>
      <c r="S1239">
        <v>0</v>
      </c>
      <c r="T1239">
        <v>1</v>
      </c>
      <c r="U1239">
        <v>62</v>
      </c>
      <c r="V1239">
        <v>2</v>
      </c>
      <c r="W1239">
        <v>1</v>
      </c>
      <c r="X1239">
        <v>0</v>
      </c>
      <c r="Y1239">
        <v>4</v>
      </c>
      <c r="Z1239">
        <v>5</v>
      </c>
      <c r="AA1239">
        <v>4</v>
      </c>
      <c r="AB1239" t="str">
        <f t="shared" si="59"/>
        <v>Below average customer</v>
      </c>
    </row>
    <row r="1240" spans="1:28" x14ac:dyDescent="0.35">
      <c r="A1240">
        <v>3551</v>
      </c>
      <c r="B1240">
        <v>1954</v>
      </c>
      <c r="C1240" t="s">
        <v>25</v>
      </c>
      <c r="D1240" t="s">
        <v>34</v>
      </c>
      <c r="E1240" t="s">
        <v>29</v>
      </c>
      <c r="F1240">
        <v>60033</v>
      </c>
      <c r="G1240" t="str">
        <f t="shared" si="57"/>
        <v>Mid-high</v>
      </c>
      <c r="H1240">
        <v>0</v>
      </c>
      <c r="I1240">
        <v>1</v>
      </c>
      <c r="J1240">
        <v>1</v>
      </c>
      <c r="K1240" s="1">
        <v>41727</v>
      </c>
      <c r="L1240">
        <v>28</v>
      </c>
      <c r="M1240" t="str">
        <f t="shared" si="58"/>
        <v>Active</v>
      </c>
      <c r="N1240">
        <v>0</v>
      </c>
      <c r="O1240">
        <v>62</v>
      </c>
      <c r="P1240">
        <v>1</v>
      </c>
      <c r="Q1240">
        <v>57</v>
      </c>
      <c r="R1240">
        <v>19</v>
      </c>
      <c r="S1240">
        <v>11</v>
      </c>
      <c r="T1240">
        <v>48</v>
      </c>
      <c r="U1240">
        <v>198</v>
      </c>
      <c r="V1240">
        <v>2</v>
      </c>
      <c r="W1240">
        <v>2</v>
      </c>
      <c r="X1240">
        <v>1</v>
      </c>
      <c r="Y1240">
        <v>5</v>
      </c>
      <c r="Z1240">
        <v>8</v>
      </c>
      <c r="AA1240">
        <v>2</v>
      </c>
      <c r="AB1240" t="str">
        <f t="shared" si="59"/>
        <v>Below average customer</v>
      </c>
    </row>
    <row r="1241" spans="1:28" x14ac:dyDescent="0.35">
      <c r="A1241">
        <v>1663</v>
      </c>
      <c r="B1241">
        <v>1978</v>
      </c>
      <c r="C1241" t="s">
        <v>31</v>
      </c>
      <c r="D1241" t="s">
        <v>32</v>
      </c>
      <c r="E1241" t="s">
        <v>29</v>
      </c>
      <c r="F1241">
        <v>34043</v>
      </c>
      <c r="G1241" t="str">
        <f t="shared" si="57"/>
        <v>Low</v>
      </c>
      <c r="H1241">
        <v>1</v>
      </c>
      <c r="I1241">
        <v>0</v>
      </c>
      <c r="J1241">
        <v>1</v>
      </c>
      <c r="K1241" s="1">
        <v>41572</v>
      </c>
      <c r="L1241">
        <v>97</v>
      </c>
      <c r="M1241" t="str">
        <f t="shared" si="58"/>
        <v>Inactive</v>
      </c>
      <c r="N1241">
        <v>0</v>
      </c>
      <c r="O1241">
        <v>20</v>
      </c>
      <c r="P1241">
        <v>2</v>
      </c>
      <c r="Q1241">
        <v>14</v>
      </c>
      <c r="R1241">
        <v>3</v>
      </c>
      <c r="S1241">
        <v>0</v>
      </c>
      <c r="T1241">
        <v>10</v>
      </c>
      <c r="U1241">
        <v>49</v>
      </c>
      <c r="V1241">
        <v>1</v>
      </c>
      <c r="W1241">
        <v>2</v>
      </c>
      <c r="X1241">
        <v>0</v>
      </c>
      <c r="Y1241">
        <v>2</v>
      </c>
      <c r="Z1241">
        <v>4</v>
      </c>
      <c r="AA1241">
        <v>9</v>
      </c>
      <c r="AB1241" t="str">
        <f t="shared" si="59"/>
        <v>Below average customer</v>
      </c>
    </row>
    <row r="1242" spans="1:28" x14ac:dyDescent="0.35">
      <c r="A1242">
        <v>5543</v>
      </c>
      <c r="B1242">
        <v>1966</v>
      </c>
      <c r="C1242" t="s">
        <v>28</v>
      </c>
      <c r="D1242" t="s">
        <v>26</v>
      </c>
      <c r="E1242" t="s">
        <v>29</v>
      </c>
      <c r="F1242">
        <v>57811</v>
      </c>
      <c r="G1242" t="str">
        <f t="shared" si="57"/>
        <v>Mid-high</v>
      </c>
      <c r="H1242">
        <v>0</v>
      </c>
      <c r="I1242">
        <v>1</v>
      </c>
      <c r="J1242">
        <v>1</v>
      </c>
      <c r="K1242" s="1">
        <v>41449</v>
      </c>
      <c r="L1242">
        <v>49</v>
      </c>
      <c r="M1242" t="str">
        <f t="shared" si="58"/>
        <v>Inactive</v>
      </c>
      <c r="N1242">
        <v>0</v>
      </c>
      <c r="O1242">
        <v>545</v>
      </c>
      <c r="P1242">
        <v>7</v>
      </c>
      <c r="Q1242">
        <v>114</v>
      </c>
      <c r="R1242">
        <v>37</v>
      </c>
      <c r="S1242">
        <v>21</v>
      </c>
      <c r="T1242">
        <v>78</v>
      </c>
      <c r="U1242">
        <v>802</v>
      </c>
      <c r="V1242">
        <v>5</v>
      </c>
      <c r="W1242">
        <v>7</v>
      </c>
      <c r="X1242">
        <v>2</v>
      </c>
      <c r="Y1242">
        <v>11</v>
      </c>
      <c r="Z1242">
        <v>20</v>
      </c>
      <c r="AA1242">
        <v>5</v>
      </c>
      <c r="AB1242" t="str">
        <f t="shared" si="59"/>
        <v>Below average customer</v>
      </c>
    </row>
    <row r="1243" spans="1:28" x14ac:dyDescent="0.35">
      <c r="A1243">
        <v>1577</v>
      </c>
      <c r="B1243">
        <v>1946</v>
      </c>
      <c r="C1243" t="s">
        <v>36</v>
      </c>
      <c r="D1243" t="s">
        <v>26</v>
      </c>
      <c r="E1243" t="s">
        <v>33</v>
      </c>
      <c r="F1243">
        <v>78569</v>
      </c>
      <c r="G1243" t="str">
        <f t="shared" si="57"/>
        <v>High</v>
      </c>
      <c r="H1243">
        <v>0</v>
      </c>
      <c r="I1243">
        <v>0</v>
      </c>
      <c r="J1243">
        <v>0</v>
      </c>
      <c r="K1243" s="1">
        <v>41689</v>
      </c>
      <c r="L1243">
        <v>14</v>
      </c>
      <c r="M1243" t="str">
        <f t="shared" si="58"/>
        <v>Active</v>
      </c>
      <c r="N1243">
        <v>0</v>
      </c>
      <c r="O1243">
        <v>558</v>
      </c>
      <c r="P1243">
        <v>79</v>
      </c>
      <c r="Q1243">
        <v>622</v>
      </c>
      <c r="R1243">
        <v>207</v>
      </c>
      <c r="S1243">
        <v>175</v>
      </c>
      <c r="T1243">
        <v>95</v>
      </c>
      <c r="U1243">
        <v>1736</v>
      </c>
      <c r="V1243">
        <v>1</v>
      </c>
      <c r="W1243">
        <v>4</v>
      </c>
      <c r="X1243">
        <v>6</v>
      </c>
      <c r="Y1243">
        <v>4</v>
      </c>
      <c r="Z1243">
        <v>14</v>
      </c>
      <c r="AA1243">
        <v>1</v>
      </c>
      <c r="AB1243" t="str">
        <f t="shared" si="59"/>
        <v>Above average customer</v>
      </c>
    </row>
    <row r="1244" spans="1:28" x14ac:dyDescent="0.35">
      <c r="A1244">
        <v>10641</v>
      </c>
      <c r="B1244">
        <v>1978</v>
      </c>
      <c r="C1244" t="s">
        <v>31</v>
      </c>
      <c r="D1244" t="s">
        <v>26</v>
      </c>
      <c r="E1244" t="s">
        <v>27</v>
      </c>
      <c r="F1244">
        <v>7500</v>
      </c>
      <c r="G1244" t="str">
        <f t="shared" si="57"/>
        <v>Low</v>
      </c>
      <c r="H1244">
        <v>1</v>
      </c>
      <c r="I1244">
        <v>1</v>
      </c>
      <c r="J1244">
        <v>2</v>
      </c>
      <c r="K1244" s="1">
        <v>41270</v>
      </c>
      <c r="L1244">
        <v>5</v>
      </c>
      <c r="M1244" t="str">
        <f t="shared" si="58"/>
        <v>Active</v>
      </c>
      <c r="N1244">
        <v>0</v>
      </c>
      <c r="O1244">
        <v>6</v>
      </c>
      <c r="P1244">
        <v>5</v>
      </c>
      <c r="Q1244">
        <v>4</v>
      </c>
      <c r="R1244">
        <v>13</v>
      </c>
      <c r="S1244">
        <v>4</v>
      </c>
      <c r="T1244">
        <v>25</v>
      </c>
      <c r="U1244">
        <v>57</v>
      </c>
      <c r="V1244">
        <v>4</v>
      </c>
      <c r="W1244">
        <v>2</v>
      </c>
      <c r="X1244">
        <v>1</v>
      </c>
      <c r="Y1244">
        <v>3</v>
      </c>
      <c r="Z1244">
        <v>6</v>
      </c>
      <c r="AA1244">
        <v>6</v>
      </c>
      <c r="AB1244" t="str">
        <f t="shared" si="59"/>
        <v>Below average customer</v>
      </c>
    </row>
    <row r="1245" spans="1:28" x14ac:dyDescent="0.35">
      <c r="A1245">
        <v>5336</v>
      </c>
      <c r="B1245">
        <v>1971</v>
      </c>
      <c r="C1245" t="s">
        <v>28</v>
      </c>
      <c r="D1245" t="s">
        <v>34</v>
      </c>
      <c r="E1245" t="s">
        <v>29</v>
      </c>
      <c r="F1245">
        <v>157733</v>
      </c>
      <c r="G1245" t="str">
        <f t="shared" si="57"/>
        <v>High</v>
      </c>
      <c r="H1245">
        <v>1</v>
      </c>
      <c r="I1245">
        <v>0</v>
      </c>
      <c r="J1245">
        <v>1</v>
      </c>
      <c r="K1245" s="1">
        <v>41429</v>
      </c>
      <c r="L1245">
        <v>37</v>
      </c>
      <c r="M1245" t="str">
        <f t="shared" si="58"/>
        <v>Active</v>
      </c>
      <c r="N1245">
        <v>0</v>
      </c>
      <c r="O1245">
        <v>39</v>
      </c>
      <c r="P1245">
        <v>1</v>
      </c>
      <c r="Q1245">
        <v>9</v>
      </c>
      <c r="R1245">
        <v>2</v>
      </c>
      <c r="S1245">
        <v>0</v>
      </c>
      <c r="T1245">
        <v>8</v>
      </c>
      <c r="U1245">
        <v>59</v>
      </c>
      <c r="V1245">
        <v>0</v>
      </c>
      <c r="W1245">
        <v>1</v>
      </c>
      <c r="X1245">
        <v>0</v>
      </c>
      <c r="Y1245">
        <v>1</v>
      </c>
      <c r="Z1245">
        <v>2</v>
      </c>
      <c r="AA1245">
        <v>1</v>
      </c>
      <c r="AB1245" t="str">
        <f t="shared" si="59"/>
        <v>Below average customer</v>
      </c>
    </row>
    <row r="1246" spans="1:28" x14ac:dyDescent="0.35">
      <c r="A1246">
        <v>1878</v>
      </c>
      <c r="B1246">
        <v>1985</v>
      </c>
      <c r="C1246" t="s">
        <v>30</v>
      </c>
      <c r="D1246" t="s">
        <v>34</v>
      </c>
      <c r="E1246" t="s">
        <v>33</v>
      </c>
      <c r="F1246">
        <v>23148</v>
      </c>
      <c r="G1246" t="str">
        <f t="shared" si="57"/>
        <v>Low</v>
      </c>
      <c r="H1246">
        <v>0</v>
      </c>
      <c r="I1246">
        <v>0</v>
      </c>
      <c r="J1246">
        <v>0</v>
      </c>
      <c r="K1246" s="1">
        <v>41688</v>
      </c>
      <c r="L1246">
        <v>83</v>
      </c>
      <c r="M1246" t="str">
        <f t="shared" si="58"/>
        <v>Inactive</v>
      </c>
      <c r="N1246">
        <v>0</v>
      </c>
      <c r="O1246">
        <v>4</v>
      </c>
      <c r="P1246">
        <v>6</v>
      </c>
      <c r="Q1246">
        <v>8</v>
      </c>
      <c r="R1246">
        <v>6</v>
      </c>
      <c r="S1246">
        <v>3</v>
      </c>
      <c r="T1246">
        <v>10</v>
      </c>
      <c r="U1246">
        <v>37</v>
      </c>
      <c r="V1246">
        <v>1</v>
      </c>
      <c r="W1246">
        <v>2</v>
      </c>
      <c r="X1246">
        <v>0</v>
      </c>
      <c r="Y1246">
        <v>3</v>
      </c>
      <c r="Z1246">
        <v>5</v>
      </c>
      <c r="AA1246">
        <v>7</v>
      </c>
      <c r="AB1246" t="str">
        <f t="shared" si="59"/>
        <v>Below average customer</v>
      </c>
    </row>
    <row r="1247" spans="1:28" x14ac:dyDescent="0.35">
      <c r="A1247">
        <v>3099</v>
      </c>
      <c r="B1247">
        <v>1970</v>
      </c>
      <c r="C1247" t="s">
        <v>28</v>
      </c>
      <c r="D1247" t="s">
        <v>26</v>
      </c>
      <c r="E1247" t="s">
        <v>35</v>
      </c>
      <c r="F1247">
        <v>44267</v>
      </c>
      <c r="G1247" t="str">
        <f t="shared" si="57"/>
        <v>Mid-low</v>
      </c>
      <c r="H1247">
        <v>1</v>
      </c>
      <c r="I1247">
        <v>1</v>
      </c>
      <c r="J1247">
        <v>2</v>
      </c>
      <c r="K1247" s="1">
        <v>41330</v>
      </c>
      <c r="L1247">
        <v>48</v>
      </c>
      <c r="M1247" t="str">
        <f t="shared" si="58"/>
        <v>Active</v>
      </c>
      <c r="N1247">
        <v>0</v>
      </c>
      <c r="O1247">
        <v>183</v>
      </c>
      <c r="P1247">
        <v>5</v>
      </c>
      <c r="Q1247">
        <v>65</v>
      </c>
      <c r="R1247">
        <v>3</v>
      </c>
      <c r="S1247">
        <v>5</v>
      </c>
      <c r="T1247">
        <v>49</v>
      </c>
      <c r="U1247">
        <v>310</v>
      </c>
      <c r="V1247">
        <v>5</v>
      </c>
      <c r="W1247">
        <v>5</v>
      </c>
      <c r="X1247">
        <v>2</v>
      </c>
      <c r="Y1247">
        <v>4</v>
      </c>
      <c r="Z1247">
        <v>11</v>
      </c>
      <c r="AA1247">
        <v>9</v>
      </c>
      <c r="AB1247" t="str">
        <f t="shared" si="59"/>
        <v>Below average customer</v>
      </c>
    </row>
    <row r="1248" spans="1:28" x14ac:dyDescent="0.35">
      <c r="A1248">
        <v>6055</v>
      </c>
      <c r="B1248">
        <v>1979</v>
      </c>
      <c r="C1248" t="s">
        <v>31</v>
      </c>
      <c r="D1248" t="s">
        <v>26</v>
      </c>
      <c r="E1248" t="s">
        <v>33</v>
      </c>
      <c r="F1248">
        <v>71626</v>
      </c>
      <c r="G1248" t="str">
        <f t="shared" si="57"/>
        <v>High</v>
      </c>
      <c r="H1248">
        <v>0</v>
      </c>
      <c r="I1248">
        <v>0</v>
      </c>
      <c r="J1248">
        <v>0</v>
      </c>
      <c r="K1248" s="1">
        <v>41214</v>
      </c>
      <c r="L1248">
        <v>94</v>
      </c>
      <c r="M1248" t="str">
        <f t="shared" si="58"/>
        <v>Inactive</v>
      </c>
      <c r="N1248">
        <v>0</v>
      </c>
      <c r="O1248">
        <v>546</v>
      </c>
      <c r="P1248">
        <v>72</v>
      </c>
      <c r="Q1248">
        <v>376</v>
      </c>
      <c r="R1248">
        <v>94</v>
      </c>
      <c r="S1248">
        <v>145</v>
      </c>
      <c r="T1248">
        <v>72</v>
      </c>
      <c r="U1248">
        <v>1305</v>
      </c>
      <c r="V1248">
        <v>1</v>
      </c>
      <c r="W1248">
        <v>5</v>
      </c>
      <c r="X1248">
        <v>5</v>
      </c>
      <c r="Y1248">
        <v>8</v>
      </c>
      <c r="Z1248">
        <v>18</v>
      </c>
      <c r="AA1248">
        <v>3</v>
      </c>
      <c r="AB1248" t="str">
        <f t="shared" si="59"/>
        <v>Below average customer</v>
      </c>
    </row>
    <row r="1249" spans="1:28" x14ac:dyDescent="0.35">
      <c r="A1249">
        <v>5841</v>
      </c>
      <c r="B1249">
        <v>1966</v>
      </c>
      <c r="C1249" t="s">
        <v>28</v>
      </c>
      <c r="D1249" t="s">
        <v>26</v>
      </c>
      <c r="E1249" t="s">
        <v>29</v>
      </c>
      <c r="F1249">
        <v>60894</v>
      </c>
      <c r="G1249" t="str">
        <f t="shared" si="57"/>
        <v>Mid-high</v>
      </c>
      <c r="H1249">
        <v>0</v>
      </c>
      <c r="I1249">
        <v>1</v>
      </c>
      <c r="J1249">
        <v>1</v>
      </c>
      <c r="K1249" s="1">
        <v>41453</v>
      </c>
      <c r="L1249">
        <v>61</v>
      </c>
      <c r="M1249" t="str">
        <f t="shared" si="58"/>
        <v>Inactive</v>
      </c>
      <c r="N1249">
        <v>0</v>
      </c>
      <c r="O1249">
        <v>606</v>
      </c>
      <c r="P1249">
        <v>7</v>
      </c>
      <c r="Q1249">
        <v>155</v>
      </c>
      <c r="R1249">
        <v>10</v>
      </c>
      <c r="S1249">
        <v>0</v>
      </c>
      <c r="T1249">
        <v>54</v>
      </c>
      <c r="U1249">
        <v>832</v>
      </c>
      <c r="V1249">
        <v>5</v>
      </c>
      <c r="W1249">
        <v>10</v>
      </c>
      <c r="X1249">
        <v>3</v>
      </c>
      <c r="Y1249">
        <v>8</v>
      </c>
      <c r="Z1249">
        <v>21</v>
      </c>
      <c r="AA1249">
        <v>7</v>
      </c>
      <c r="AB1249" t="str">
        <f t="shared" si="59"/>
        <v>Below average customer</v>
      </c>
    </row>
    <row r="1250" spans="1:28" x14ac:dyDescent="0.35">
      <c r="A1250">
        <v>3972</v>
      </c>
      <c r="B1250">
        <v>1976</v>
      </c>
      <c r="C1250" t="s">
        <v>31</v>
      </c>
      <c r="D1250" t="s">
        <v>26</v>
      </c>
      <c r="E1250" t="s">
        <v>29</v>
      </c>
      <c r="F1250">
        <v>50200</v>
      </c>
      <c r="G1250" t="str">
        <f t="shared" si="57"/>
        <v>Mid-low</v>
      </c>
      <c r="H1250">
        <v>1</v>
      </c>
      <c r="I1250">
        <v>1</v>
      </c>
      <c r="J1250">
        <v>2</v>
      </c>
      <c r="K1250" s="1">
        <v>41367</v>
      </c>
      <c r="L1250">
        <v>70</v>
      </c>
      <c r="M1250" t="str">
        <f t="shared" si="58"/>
        <v>Inactive</v>
      </c>
      <c r="N1250">
        <v>0</v>
      </c>
      <c r="O1250">
        <v>266</v>
      </c>
      <c r="P1250">
        <v>6</v>
      </c>
      <c r="Q1250">
        <v>51</v>
      </c>
      <c r="R1250">
        <v>8</v>
      </c>
      <c r="S1250">
        <v>6</v>
      </c>
      <c r="T1250">
        <v>64</v>
      </c>
      <c r="U1250">
        <v>401</v>
      </c>
      <c r="V1250">
        <v>6</v>
      </c>
      <c r="W1250">
        <v>7</v>
      </c>
      <c r="X1250">
        <v>1</v>
      </c>
      <c r="Y1250">
        <v>5</v>
      </c>
      <c r="Z1250">
        <v>13</v>
      </c>
      <c r="AA1250">
        <v>8</v>
      </c>
      <c r="AB1250" t="str">
        <f t="shared" si="59"/>
        <v>Below average customer</v>
      </c>
    </row>
    <row r="1251" spans="1:28" x14ac:dyDescent="0.35">
      <c r="A1251">
        <v>4394</v>
      </c>
      <c r="B1251">
        <v>1965</v>
      </c>
      <c r="C1251" t="s">
        <v>28</v>
      </c>
      <c r="D1251" t="s">
        <v>32</v>
      </c>
      <c r="E1251" t="s">
        <v>33</v>
      </c>
      <c r="F1251">
        <v>81051</v>
      </c>
      <c r="G1251" t="str">
        <f t="shared" si="57"/>
        <v>High</v>
      </c>
      <c r="H1251">
        <v>0</v>
      </c>
      <c r="I1251">
        <v>0</v>
      </c>
      <c r="J1251">
        <v>0</v>
      </c>
      <c r="K1251" s="1">
        <v>41782</v>
      </c>
      <c r="L1251">
        <v>43</v>
      </c>
      <c r="M1251" t="str">
        <f t="shared" si="58"/>
        <v>Active</v>
      </c>
      <c r="N1251">
        <v>0</v>
      </c>
      <c r="O1251">
        <v>1142</v>
      </c>
      <c r="P1251">
        <v>29</v>
      </c>
      <c r="Q1251">
        <v>249</v>
      </c>
      <c r="R1251">
        <v>38</v>
      </c>
      <c r="S1251">
        <v>29</v>
      </c>
      <c r="T1251">
        <v>14</v>
      </c>
      <c r="U1251">
        <v>1501</v>
      </c>
      <c r="V1251">
        <v>1</v>
      </c>
      <c r="W1251">
        <v>5</v>
      </c>
      <c r="X1251">
        <v>5</v>
      </c>
      <c r="Y1251">
        <v>12</v>
      </c>
      <c r="Z1251">
        <v>22</v>
      </c>
      <c r="AA1251">
        <v>2</v>
      </c>
      <c r="AB1251" t="str">
        <f t="shared" si="59"/>
        <v>Above average customer</v>
      </c>
    </row>
    <row r="1252" spans="1:28" x14ac:dyDescent="0.35">
      <c r="A1252">
        <v>5758</v>
      </c>
      <c r="B1252">
        <v>1982</v>
      </c>
      <c r="C1252" t="s">
        <v>31</v>
      </c>
      <c r="D1252" t="s">
        <v>26</v>
      </c>
      <c r="E1252" t="s">
        <v>33</v>
      </c>
      <c r="F1252">
        <v>65169</v>
      </c>
      <c r="G1252" t="str">
        <f t="shared" si="57"/>
        <v>Mid-high</v>
      </c>
      <c r="H1252">
        <v>0</v>
      </c>
      <c r="I1252">
        <v>0</v>
      </c>
      <c r="J1252">
        <v>0</v>
      </c>
      <c r="K1252" s="1">
        <v>41653</v>
      </c>
      <c r="L1252">
        <v>23</v>
      </c>
      <c r="M1252" t="str">
        <f t="shared" si="58"/>
        <v>Active</v>
      </c>
      <c r="N1252">
        <v>0</v>
      </c>
      <c r="O1252">
        <v>1074</v>
      </c>
      <c r="P1252">
        <v>0</v>
      </c>
      <c r="Q1252">
        <v>69</v>
      </c>
      <c r="R1252">
        <v>0</v>
      </c>
      <c r="S1252">
        <v>0</v>
      </c>
      <c r="T1252">
        <v>46</v>
      </c>
      <c r="U1252">
        <v>1189</v>
      </c>
      <c r="V1252">
        <v>1</v>
      </c>
      <c r="W1252">
        <v>10</v>
      </c>
      <c r="X1252">
        <v>4</v>
      </c>
      <c r="Y1252">
        <v>13</v>
      </c>
      <c r="Z1252">
        <v>27</v>
      </c>
      <c r="AA1252">
        <v>6</v>
      </c>
      <c r="AB1252" t="str">
        <f t="shared" si="59"/>
        <v>Above average customer</v>
      </c>
    </row>
    <row r="1253" spans="1:28" x14ac:dyDescent="0.35">
      <c r="A1253">
        <v>6658</v>
      </c>
      <c r="B1253">
        <v>1972</v>
      </c>
      <c r="C1253" t="s">
        <v>28</v>
      </c>
      <c r="D1253" t="s">
        <v>26</v>
      </c>
      <c r="E1253" t="s">
        <v>29</v>
      </c>
      <c r="F1253">
        <v>59868</v>
      </c>
      <c r="G1253" t="str">
        <f t="shared" si="57"/>
        <v>Mid-high</v>
      </c>
      <c r="H1253">
        <v>0</v>
      </c>
      <c r="I1253">
        <v>1</v>
      </c>
      <c r="J1253">
        <v>1</v>
      </c>
      <c r="K1253" s="1">
        <v>41477</v>
      </c>
      <c r="L1253">
        <v>37</v>
      </c>
      <c r="M1253" t="str">
        <f t="shared" si="58"/>
        <v>Active</v>
      </c>
      <c r="N1253">
        <v>0</v>
      </c>
      <c r="O1253">
        <v>771</v>
      </c>
      <c r="P1253">
        <v>51</v>
      </c>
      <c r="Q1253">
        <v>154</v>
      </c>
      <c r="R1253">
        <v>54</v>
      </c>
      <c r="S1253">
        <v>10</v>
      </c>
      <c r="T1253">
        <v>154</v>
      </c>
      <c r="U1253">
        <v>1194</v>
      </c>
      <c r="V1253">
        <v>7</v>
      </c>
      <c r="W1253">
        <v>11</v>
      </c>
      <c r="X1253">
        <v>2</v>
      </c>
      <c r="Y1253">
        <v>12</v>
      </c>
      <c r="Z1253">
        <v>25</v>
      </c>
      <c r="AA1253">
        <v>6</v>
      </c>
      <c r="AB1253" t="str">
        <f t="shared" si="59"/>
        <v>Above average customer</v>
      </c>
    </row>
    <row r="1254" spans="1:28" x14ac:dyDescent="0.35">
      <c r="A1254">
        <v>4603</v>
      </c>
      <c r="B1254">
        <v>1960</v>
      </c>
      <c r="C1254" t="s">
        <v>25</v>
      </c>
      <c r="D1254" t="s">
        <v>32</v>
      </c>
      <c r="E1254" t="s">
        <v>33</v>
      </c>
      <c r="F1254">
        <v>65695</v>
      </c>
      <c r="G1254" t="str">
        <f t="shared" si="57"/>
        <v>Mid-high</v>
      </c>
      <c r="H1254">
        <v>0</v>
      </c>
      <c r="I1254">
        <v>1</v>
      </c>
      <c r="J1254">
        <v>1</v>
      </c>
      <c r="K1254" s="1">
        <v>41670</v>
      </c>
      <c r="L1254">
        <v>50</v>
      </c>
      <c r="M1254" t="str">
        <f t="shared" si="58"/>
        <v>Inactive</v>
      </c>
      <c r="N1254">
        <v>0</v>
      </c>
      <c r="O1254">
        <v>371</v>
      </c>
      <c r="P1254">
        <v>32</v>
      </c>
      <c r="Q1254">
        <v>189</v>
      </c>
      <c r="R1254">
        <v>0</v>
      </c>
      <c r="S1254">
        <v>58</v>
      </c>
      <c r="T1254">
        <v>6</v>
      </c>
      <c r="U1254">
        <v>656</v>
      </c>
      <c r="V1254">
        <v>2</v>
      </c>
      <c r="W1254">
        <v>5</v>
      </c>
      <c r="X1254">
        <v>4</v>
      </c>
      <c r="Y1254">
        <v>10</v>
      </c>
      <c r="Z1254">
        <v>19</v>
      </c>
      <c r="AA1254">
        <v>4</v>
      </c>
      <c r="AB1254" t="str">
        <f t="shared" si="59"/>
        <v>Below average customer</v>
      </c>
    </row>
    <row r="1255" spans="1:28" x14ac:dyDescent="0.35">
      <c r="A1255">
        <v>8427</v>
      </c>
      <c r="B1255">
        <v>1956</v>
      </c>
      <c r="C1255" t="s">
        <v>25</v>
      </c>
      <c r="D1255" t="s">
        <v>34</v>
      </c>
      <c r="E1255" t="s">
        <v>27</v>
      </c>
      <c r="F1255">
        <v>64857</v>
      </c>
      <c r="G1255" t="str">
        <f t="shared" si="57"/>
        <v>Mid-high</v>
      </c>
      <c r="H1255">
        <v>0</v>
      </c>
      <c r="I1255">
        <v>0</v>
      </c>
      <c r="J1255">
        <v>0</v>
      </c>
      <c r="K1255" s="1">
        <v>41236</v>
      </c>
      <c r="L1255">
        <v>78</v>
      </c>
      <c r="M1255" t="str">
        <f t="shared" si="58"/>
        <v>Inactive</v>
      </c>
      <c r="N1255">
        <v>0</v>
      </c>
      <c r="O1255">
        <v>556</v>
      </c>
      <c r="P1255">
        <v>14</v>
      </c>
      <c r="Q1255">
        <v>717</v>
      </c>
      <c r="R1255">
        <v>210</v>
      </c>
      <c r="S1255">
        <v>0</v>
      </c>
      <c r="T1255">
        <v>43</v>
      </c>
      <c r="U1255">
        <v>1540</v>
      </c>
      <c r="V1255">
        <v>1</v>
      </c>
      <c r="W1255">
        <v>7</v>
      </c>
      <c r="X1255">
        <v>5</v>
      </c>
      <c r="Y1255">
        <v>10</v>
      </c>
      <c r="Z1255">
        <v>22</v>
      </c>
      <c r="AA1255">
        <v>4</v>
      </c>
      <c r="AB1255" t="str">
        <f t="shared" si="59"/>
        <v>Below average customer</v>
      </c>
    </row>
    <row r="1256" spans="1:28" x14ac:dyDescent="0.35">
      <c r="A1256">
        <v>10260</v>
      </c>
      <c r="B1256">
        <v>1965</v>
      </c>
      <c r="C1256" t="s">
        <v>28</v>
      </c>
      <c r="D1256" t="s">
        <v>34</v>
      </c>
      <c r="E1256" t="s">
        <v>29</v>
      </c>
      <c r="F1256">
        <v>45143</v>
      </c>
      <c r="G1256" t="str">
        <f t="shared" si="57"/>
        <v>Mid-low</v>
      </c>
      <c r="H1256">
        <v>0</v>
      </c>
      <c r="I1256">
        <v>1</v>
      </c>
      <c r="J1256">
        <v>1</v>
      </c>
      <c r="K1256" s="1">
        <v>41512</v>
      </c>
      <c r="L1256">
        <v>74</v>
      </c>
      <c r="M1256" t="str">
        <f t="shared" si="58"/>
        <v>Inactive</v>
      </c>
      <c r="N1256">
        <v>0</v>
      </c>
      <c r="O1256">
        <v>202</v>
      </c>
      <c r="P1256">
        <v>5</v>
      </c>
      <c r="Q1256">
        <v>74</v>
      </c>
      <c r="R1256">
        <v>11</v>
      </c>
      <c r="S1256">
        <v>5</v>
      </c>
      <c r="T1256">
        <v>14</v>
      </c>
      <c r="U1256">
        <v>311</v>
      </c>
      <c r="V1256">
        <v>3</v>
      </c>
      <c r="W1256">
        <v>6</v>
      </c>
      <c r="X1256">
        <v>1</v>
      </c>
      <c r="Y1256">
        <v>5</v>
      </c>
      <c r="Z1256">
        <v>12</v>
      </c>
      <c r="AA1256">
        <v>7</v>
      </c>
      <c r="AB1256" t="str">
        <f t="shared" si="59"/>
        <v>Below average customer</v>
      </c>
    </row>
    <row r="1257" spans="1:28" x14ac:dyDescent="0.35">
      <c r="A1257">
        <v>7143</v>
      </c>
      <c r="B1257">
        <v>1955</v>
      </c>
      <c r="C1257" t="s">
        <v>25</v>
      </c>
      <c r="D1257" t="s">
        <v>34</v>
      </c>
      <c r="E1257" t="s">
        <v>29</v>
      </c>
      <c r="F1257">
        <v>74805</v>
      </c>
      <c r="G1257" t="str">
        <f t="shared" si="57"/>
        <v>High</v>
      </c>
      <c r="H1257">
        <v>0</v>
      </c>
      <c r="I1257">
        <v>1</v>
      </c>
      <c r="J1257">
        <v>1</v>
      </c>
      <c r="K1257" s="1">
        <v>41584</v>
      </c>
      <c r="L1257">
        <v>14</v>
      </c>
      <c r="M1257" t="str">
        <f t="shared" si="58"/>
        <v>Active</v>
      </c>
      <c r="N1257">
        <v>0</v>
      </c>
      <c r="O1257">
        <v>209</v>
      </c>
      <c r="P1257">
        <v>162</v>
      </c>
      <c r="Q1257">
        <v>209</v>
      </c>
      <c r="R1257">
        <v>41</v>
      </c>
      <c r="S1257">
        <v>162</v>
      </c>
      <c r="T1257">
        <v>37</v>
      </c>
      <c r="U1257">
        <v>820</v>
      </c>
      <c r="V1257">
        <v>5</v>
      </c>
      <c r="W1257">
        <v>4</v>
      </c>
      <c r="X1257">
        <v>7</v>
      </c>
      <c r="Y1257">
        <v>10</v>
      </c>
      <c r="Z1257">
        <v>21</v>
      </c>
      <c r="AA1257">
        <v>2</v>
      </c>
      <c r="AB1257" t="str">
        <f t="shared" si="59"/>
        <v>Above average customer</v>
      </c>
    </row>
    <row r="1258" spans="1:28" x14ac:dyDescent="0.35">
      <c r="A1258">
        <v>8789</v>
      </c>
      <c r="B1258">
        <v>1989</v>
      </c>
      <c r="C1258" t="s">
        <v>30</v>
      </c>
      <c r="D1258" t="s">
        <v>34</v>
      </c>
      <c r="E1258" t="s">
        <v>33</v>
      </c>
      <c r="F1258">
        <v>59060</v>
      </c>
      <c r="G1258" t="str">
        <f t="shared" si="57"/>
        <v>Mid-high</v>
      </c>
      <c r="H1258">
        <v>1</v>
      </c>
      <c r="I1258">
        <v>0</v>
      </c>
      <c r="J1258">
        <v>1</v>
      </c>
      <c r="K1258" s="1">
        <v>41650</v>
      </c>
      <c r="L1258">
        <v>77</v>
      </c>
      <c r="M1258" t="str">
        <f t="shared" si="58"/>
        <v>Inactive</v>
      </c>
      <c r="N1258">
        <v>0</v>
      </c>
      <c r="O1258">
        <v>35</v>
      </c>
      <c r="P1258">
        <v>40</v>
      </c>
      <c r="Q1258">
        <v>111</v>
      </c>
      <c r="R1258">
        <v>36</v>
      </c>
      <c r="S1258">
        <v>40</v>
      </c>
      <c r="T1258">
        <v>12</v>
      </c>
      <c r="U1258">
        <v>274</v>
      </c>
      <c r="V1258">
        <v>3</v>
      </c>
      <c r="W1258">
        <v>3</v>
      </c>
      <c r="X1258">
        <v>1</v>
      </c>
      <c r="Y1258">
        <v>7</v>
      </c>
      <c r="Z1258">
        <v>11</v>
      </c>
      <c r="AA1258">
        <v>4</v>
      </c>
      <c r="AB1258" t="str">
        <f t="shared" si="59"/>
        <v>Below average customer</v>
      </c>
    </row>
    <row r="1259" spans="1:28" x14ac:dyDescent="0.35">
      <c r="A1259">
        <v>6197</v>
      </c>
      <c r="B1259">
        <v>1962</v>
      </c>
      <c r="C1259" t="s">
        <v>25</v>
      </c>
      <c r="D1259" t="s">
        <v>32</v>
      </c>
      <c r="E1259" t="s">
        <v>27</v>
      </c>
      <c r="F1259">
        <v>27238</v>
      </c>
      <c r="G1259" t="str">
        <f t="shared" si="57"/>
        <v>Low</v>
      </c>
      <c r="H1259">
        <v>1</v>
      </c>
      <c r="I1259">
        <v>1</v>
      </c>
      <c r="J1259">
        <v>2</v>
      </c>
      <c r="K1259" s="1">
        <v>41384</v>
      </c>
      <c r="L1259">
        <v>39</v>
      </c>
      <c r="M1259" t="str">
        <f t="shared" si="58"/>
        <v>Active</v>
      </c>
      <c r="N1259">
        <v>0</v>
      </c>
      <c r="O1259">
        <v>37</v>
      </c>
      <c r="P1259">
        <v>0</v>
      </c>
      <c r="Q1259">
        <v>17</v>
      </c>
      <c r="R1259">
        <v>0</v>
      </c>
      <c r="S1259">
        <v>0</v>
      </c>
      <c r="T1259">
        <v>3</v>
      </c>
      <c r="U1259">
        <v>57</v>
      </c>
      <c r="V1259">
        <v>3</v>
      </c>
      <c r="W1259">
        <v>3</v>
      </c>
      <c r="X1259">
        <v>0</v>
      </c>
      <c r="Y1259">
        <v>3</v>
      </c>
      <c r="Z1259">
        <v>6</v>
      </c>
      <c r="AA1259">
        <v>9</v>
      </c>
      <c r="AB1259" t="str">
        <f t="shared" si="59"/>
        <v>Below average customer</v>
      </c>
    </row>
    <row r="1260" spans="1:28" x14ac:dyDescent="0.35">
      <c r="A1260">
        <v>4554</v>
      </c>
      <c r="B1260">
        <v>1965</v>
      </c>
      <c r="C1260" t="s">
        <v>28</v>
      </c>
      <c r="D1260" t="s">
        <v>26</v>
      </c>
      <c r="E1260" t="s">
        <v>29</v>
      </c>
      <c r="F1260">
        <v>47009</v>
      </c>
      <c r="G1260" t="str">
        <f t="shared" si="57"/>
        <v>Mid-low</v>
      </c>
      <c r="H1260">
        <v>0</v>
      </c>
      <c r="I1260">
        <v>1</v>
      </c>
      <c r="J1260">
        <v>1</v>
      </c>
      <c r="K1260" s="1">
        <v>41548</v>
      </c>
      <c r="L1260">
        <v>89</v>
      </c>
      <c r="M1260" t="str">
        <f t="shared" si="58"/>
        <v>Inactive</v>
      </c>
      <c r="N1260">
        <v>0</v>
      </c>
      <c r="O1260">
        <v>171</v>
      </c>
      <c r="P1260">
        <v>45</v>
      </c>
      <c r="Q1260">
        <v>73</v>
      </c>
      <c r="R1260">
        <v>59</v>
      </c>
      <c r="S1260">
        <v>10</v>
      </c>
      <c r="T1260">
        <v>90</v>
      </c>
      <c r="U1260">
        <v>448</v>
      </c>
      <c r="V1260">
        <v>4</v>
      </c>
      <c r="W1260">
        <v>3</v>
      </c>
      <c r="X1260">
        <v>2</v>
      </c>
      <c r="Y1260">
        <v>8</v>
      </c>
      <c r="Z1260">
        <v>13</v>
      </c>
      <c r="AA1260">
        <v>4</v>
      </c>
      <c r="AB1260" t="str">
        <f t="shared" si="59"/>
        <v>Below average customer</v>
      </c>
    </row>
    <row r="1261" spans="1:28" x14ac:dyDescent="0.35">
      <c r="A1261">
        <v>4937</v>
      </c>
      <c r="B1261">
        <v>1973</v>
      </c>
      <c r="C1261" t="s">
        <v>31</v>
      </c>
      <c r="D1261" t="s">
        <v>34</v>
      </c>
      <c r="E1261" t="s">
        <v>33</v>
      </c>
      <c r="F1261">
        <v>46094</v>
      </c>
      <c r="G1261" t="str">
        <f t="shared" si="57"/>
        <v>Mid-low</v>
      </c>
      <c r="H1261">
        <v>1</v>
      </c>
      <c r="I1261">
        <v>1</v>
      </c>
      <c r="J1261">
        <v>2</v>
      </c>
      <c r="K1261" s="1">
        <v>41800</v>
      </c>
      <c r="L1261">
        <v>62</v>
      </c>
      <c r="M1261" t="str">
        <f t="shared" si="58"/>
        <v>Inactive</v>
      </c>
      <c r="N1261">
        <v>0</v>
      </c>
      <c r="O1261">
        <v>12</v>
      </c>
      <c r="P1261">
        <v>2</v>
      </c>
      <c r="Q1261">
        <v>20</v>
      </c>
      <c r="R1261">
        <v>3</v>
      </c>
      <c r="S1261">
        <v>2</v>
      </c>
      <c r="T1261">
        <v>5</v>
      </c>
      <c r="U1261">
        <v>44</v>
      </c>
      <c r="V1261">
        <v>1</v>
      </c>
      <c r="W1261">
        <v>1</v>
      </c>
      <c r="X1261">
        <v>0</v>
      </c>
      <c r="Y1261">
        <v>3</v>
      </c>
      <c r="Z1261">
        <v>4</v>
      </c>
      <c r="AA1261">
        <v>7</v>
      </c>
      <c r="AB1261" t="str">
        <f t="shared" si="59"/>
        <v>Below average customer</v>
      </c>
    </row>
    <row r="1262" spans="1:28" x14ac:dyDescent="0.35">
      <c r="A1262">
        <v>8749</v>
      </c>
      <c r="B1262">
        <v>1984</v>
      </c>
      <c r="C1262" t="s">
        <v>30</v>
      </c>
      <c r="D1262" t="s">
        <v>26</v>
      </c>
      <c r="E1262" t="s">
        <v>29</v>
      </c>
      <c r="F1262">
        <v>37235</v>
      </c>
      <c r="G1262" t="str">
        <f t="shared" si="57"/>
        <v>Mid-low</v>
      </c>
      <c r="H1262">
        <v>1</v>
      </c>
      <c r="I1262">
        <v>0</v>
      </c>
      <c r="J1262">
        <v>1</v>
      </c>
      <c r="K1262" s="1">
        <v>41671</v>
      </c>
      <c r="L1262">
        <v>68</v>
      </c>
      <c r="M1262" t="str">
        <f t="shared" si="58"/>
        <v>Inactive</v>
      </c>
      <c r="N1262">
        <v>0</v>
      </c>
      <c r="O1262">
        <v>20</v>
      </c>
      <c r="P1262">
        <v>2</v>
      </c>
      <c r="Q1262">
        <v>9</v>
      </c>
      <c r="R1262">
        <v>4</v>
      </c>
      <c r="S1262">
        <v>6</v>
      </c>
      <c r="T1262">
        <v>20</v>
      </c>
      <c r="U1262">
        <v>61</v>
      </c>
      <c r="V1262">
        <v>1</v>
      </c>
      <c r="W1262">
        <v>1</v>
      </c>
      <c r="X1262">
        <v>1</v>
      </c>
      <c r="Y1262">
        <v>2</v>
      </c>
      <c r="Z1262">
        <v>4</v>
      </c>
      <c r="AA1262">
        <v>4</v>
      </c>
      <c r="AB1262" t="str">
        <f t="shared" si="59"/>
        <v>Below average customer</v>
      </c>
    </row>
    <row r="1263" spans="1:28" x14ac:dyDescent="0.35">
      <c r="A1263">
        <v>1650</v>
      </c>
      <c r="B1263">
        <v>1960</v>
      </c>
      <c r="C1263" t="s">
        <v>25</v>
      </c>
      <c r="D1263" t="s">
        <v>34</v>
      </c>
      <c r="E1263" t="s">
        <v>33</v>
      </c>
      <c r="F1263">
        <v>81843</v>
      </c>
      <c r="G1263" t="str">
        <f t="shared" si="57"/>
        <v>High</v>
      </c>
      <c r="H1263">
        <v>0</v>
      </c>
      <c r="I1263">
        <v>0</v>
      </c>
      <c r="J1263">
        <v>0</v>
      </c>
      <c r="K1263" s="1">
        <v>41386</v>
      </c>
      <c r="L1263">
        <v>13</v>
      </c>
      <c r="M1263" t="str">
        <f t="shared" si="58"/>
        <v>Active</v>
      </c>
      <c r="N1263">
        <v>0</v>
      </c>
      <c r="O1263">
        <v>779</v>
      </c>
      <c r="P1263">
        <v>86</v>
      </c>
      <c r="Q1263">
        <v>537</v>
      </c>
      <c r="R1263">
        <v>34</v>
      </c>
      <c r="S1263">
        <v>69</v>
      </c>
      <c r="T1263">
        <v>138</v>
      </c>
      <c r="U1263">
        <v>1643</v>
      </c>
      <c r="V1263">
        <v>1</v>
      </c>
      <c r="W1263">
        <v>5</v>
      </c>
      <c r="X1263">
        <v>9</v>
      </c>
      <c r="Y1263">
        <v>12</v>
      </c>
      <c r="Z1263">
        <v>26</v>
      </c>
      <c r="AA1263">
        <v>3</v>
      </c>
      <c r="AB1263" t="str">
        <f t="shared" si="59"/>
        <v>Above average customer</v>
      </c>
    </row>
    <row r="1264" spans="1:28" x14ac:dyDescent="0.35">
      <c r="A1264">
        <v>10377</v>
      </c>
      <c r="B1264">
        <v>1958</v>
      </c>
      <c r="C1264" t="s">
        <v>25</v>
      </c>
      <c r="D1264" t="s">
        <v>34</v>
      </c>
      <c r="E1264" t="s">
        <v>29</v>
      </c>
      <c r="F1264">
        <v>46692</v>
      </c>
      <c r="G1264" t="str">
        <f t="shared" si="57"/>
        <v>Mid-low</v>
      </c>
      <c r="H1264">
        <v>0</v>
      </c>
      <c r="I1264">
        <v>1</v>
      </c>
      <c r="J1264">
        <v>1</v>
      </c>
      <c r="K1264" s="1">
        <v>41431</v>
      </c>
      <c r="L1264">
        <v>37</v>
      </c>
      <c r="M1264" t="str">
        <f t="shared" si="58"/>
        <v>Active</v>
      </c>
      <c r="N1264">
        <v>0</v>
      </c>
      <c r="O1264">
        <v>170</v>
      </c>
      <c r="P1264">
        <v>6</v>
      </c>
      <c r="Q1264">
        <v>97</v>
      </c>
      <c r="R1264">
        <v>24</v>
      </c>
      <c r="S1264">
        <v>12</v>
      </c>
      <c r="T1264">
        <v>88</v>
      </c>
      <c r="U1264">
        <v>397</v>
      </c>
      <c r="V1264">
        <v>3</v>
      </c>
      <c r="W1264">
        <v>6</v>
      </c>
      <c r="X1264">
        <v>1</v>
      </c>
      <c r="Y1264">
        <v>5</v>
      </c>
      <c r="Z1264">
        <v>12</v>
      </c>
      <c r="AA1264">
        <v>6</v>
      </c>
      <c r="AB1264" t="str">
        <f t="shared" si="59"/>
        <v>Below average customer</v>
      </c>
    </row>
    <row r="1265" spans="1:28" x14ac:dyDescent="0.35">
      <c r="A1265">
        <v>9206</v>
      </c>
      <c r="B1265">
        <v>1968</v>
      </c>
      <c r="C1265" t="s">
        <v>28</v>
      </c>
      <c r="D1265" t="s">
        <v>26</v>
      </c>
      <c r="E1265" t="s">
        <v>29</v>
      </c>
      <c r="F1265">
        <v>77382</v>
      </c>
      <c r="G1265" t="str">
        <f t="shared" si="57"/>
        <v>High</v>
      </c>
      <c r="H1265">
        <v>0</v>
      </c>
      <c r="I1265">
        <v>1</v>
      </c>
      <c r="J1265">
        <v>1</v>
      </c>
      <c r="K1265" s="1">
        <v>41646</v>
      </c>
      <c r="L1265">
        <v>36</v>
      </c>
      <c r="M1265" t="str">
        <f t="shared" si="58"/>
        <v>Active</v>
      </c>
      <c r="N1265">
        <v>0</v>
      </c>
      <c r="O1265">
        <v>491</v>
      </c>
      <c r="P1265">
        <v>48</v>
      </c>
      <c r="Q1265">
        <v>231</v>
      </c>
      <c r="R1265">
        <v>112</v>
      </c>
      <c r="S1265">
        <v>105</v>
      </c>
      <c r="T1265">
        <v>134</v>
      </c>
      <c r="U1265">
        <v>1121</v>
      </c>
      <c r="V1265">
        <v>2</v>
      </c>
      <c r="W1265">
        <v>5</v>
      </c>
      <c r="X1265">
        <v>7</v>
      </c>
      <c r="Y1265">
        <v>12</v>
      </c>
      <c r="Z1265">
        <v>24</v>
      </c>
      <c r="AA1265">
        <v>1</v>
      </c>
      <c r="AB1265" t="str">
        <f t="shared" si="59"/>
        <v>Above average customer</v>
      </c>
    </row>
    <row r="1266" spans="1:28" x14ac:dyDescent="0.35">
      <c r="A1266">
        <v>10971</v>
      </c>
      <c r="B1266">
        <v>1977</v>
      </c>
      <c r="C1266" t="s">
        <v>31</v>
      </c>
      <c r="D1266" t="s">
        <v>26</v>
      </c>
      <c r="E1266" t="s">
        <v>27</v>
      </c>
      <c r="F1266">
        <v>37774</v>
      </c>
      <c r="G1266" t="str">
        <f t="shared" si="57"/>
        <v>Mid-low</v>
      </c>
      <c r="H1266">
        <v>2</v>
      </c>
      <c r="I1266">
        <v>0</v>
      </c>
      <c r="J1266">
        <v>2</v>
      </c>
      <c r="K1266" s="1">
        <v>41155</v>
      </c>
      <c r="L1266">
        <v>28</v>
      </c>
      <c r="M1266" t="str">
        <f t="shared" si="58"/>
        <v>Active</v>
      </c>
      <c r="N1266">
        <v>1</v>
      </c>
      <c r="O1266">
        <v>173</v>
      </c>
      <c r="P1266">
        <v>8</v>
      </c>
      <c r="Q1266">
        <v>107</v>
      </c>
      <c r="R1266">
        <v>7</v>
      </c>
      <c r="S1266">
        <v>2</v>
      </c>
      <c r="T1266">
        <v>176</v>
      </c>
      <c r="U1266">
        <v>473</v>
      </c>
      <c r="V1266">
        <v>4</v>
      </c>
      <c r="W1266">
        <v>7</v>
      </c>
      <c r="X1266">
        <v>2</v>
      </c>
      <c r="Y1266">
        <v>3</v>
      </c>
      <c r="Z1266">
        <v>12</v>
      </c>
      <c r="AA1266">
        <v>9</v>
      </c>
      <c r="AB1266" t="str">
        <f t="shared" si="59"/>
        <v>Below average customer</v>
      </c>
    </row>
    <row r="1267" spans="1:28" x14ac:dyDescent="0.35">
      <c r="A1267">
        <v>6398</v>
      </c>
      <c r="B1267">
        <v>1974</v>
      </c>
      <c r="C1267" t="s">
        <v>31</v>
      </c>
      <c r="D1267" t="s">
        <v>37</v>
      </c>
      <c r="E1267" t="s">
        <v>33</v>
      </c>
      <c r="F1267">
        <v>18393</v>
      </c>
      <c r="G1267" t="str">
        <f t="shared" si="57"/>
        <v>Low</v>
      </c>
      <c r="H1267">
        <v>1</v>
      </c>
      <c r="I1267">
        <v>0</v>
      </c>
      <c r="J1267">
        <v>1</v>
      </c>
      <c r="K1267" s="1">
        <v>41727</v>
      </c>
      <c r="L1267">
        <v>2</v>
      </c>
      <c r="M1267" t="str">
        <f t="shared" si="58"/>
        <v>Active</v>
      </c>
      <c r="N1267">
        <v>0</v>
      </c>
      <c r="O1267">
        <v>7</v>
      </c>
      <c r="P1267">
        <v>10</v>
      </c>
      <c r="Q1267">
        <v>13</v>
      </c>
      <c r="R1267">
        <v>16</v>
      </c>
      <c r="S1267">
        <v>0</v>
      </c>
      <c r="T1267">
        <v>4</v>
      </c>
      <c r="U1267">
        <v>50</v>
      </c>
      <c r="V1267">
        <v>2</v>
      </c>
      <c r="W1267">
        <v>3</v>
      </c>
      <c r="X1267">
        <v>0</v>
      </c>
      <c r="Y1267">
        <v>3</v>
      </c>
      <c r="Z1267">
        <v>6</v>
      </c>
      <c r="AA1267">
        <v>8</v>
      </c>
      <c r="AB1267" t="str">
        <f t="shared" si="59"/>
        <v>Below average customer</v>
      </c>
    </row>
    <row r="1268" spans="1:28" x14ac:dyDescent="0.35">
      <c r="A1268">
        <v>9212</v>
      </c>
      <c r="B1268">
        <v>1962</v>
      </c>
      <c r="C1268" t="s">
        <v>25</v>
      </c>
      <c r="D1268" t="s">
        <v>34</v>
      </c>
      <c r="E1268" t="s">
        <v>33</v>
      </c>
      <c r="F1268">
        <v>72828</v>
      </c>
      <c r="G1268" t="str">
        <f t="shared" si="57"/>
        <v>High</v>
      </c>
      <c r="H1268">
        <v>0</v>
      </c>
      <c r="I1268">
        <v>1</v>
      </c>
      <c r="J1268">
        <v>1</v>
      </c>
      <c r="K1268" s="1">
        <v>41319</v>
      </c>
      <c r="L1268">
        <v>17</v>
      </c>
      <c r="M1268" t="str">
        <f t="shared" si="58"/>
        <v>Active</v>
      </c>
      <c r="N1268">
        <v>0</v>
      </c>
      <c r="O1268">
        <v>1205</v>
      </c>
      <c r="P1268">
        <v>0</v>
      </c>
      <c r="Q1268">
        <v>235</v>
      </c>
      <c r="R1268">
        <v>19</v>
      </c>
      <c r="S1268">
        <v>14</v>
      </c>
      <c r="T1268">
        <v>205</v>
      </c>
      <c r="U1268">
        <v>1678</v>
      </c>
      <c r="V1268">
        <v>6</v>
      </c>
      <c r="W1268">
        <v>6</v>
      </c>
      <c r="X1268">
        <v>3</v>
      </c>
      <c r="Y1268">
        <v>13</v>
      </c>
      <c r="Z1268">
        <v>22</v>
      </c>
      <c r="AA1268">
        <v>7</v>
      </c>
      <c r="AB1268" t="str">
        <f t="shared" si="59"/>
        <v>Above average customer</v>
      </c>
    </row>
    <row r="1269" spans="1:28" x14ac:dyDescent="0.35">
      <c r="A1269">
        <v>7937</v>
      </c>
      <c r="B1269">
        <v>1982</v>
      </c>
      <c r="C1269" t="s">
        <v>31</v>
      </c>
      <c r="D1269" t="s">
        <v>26</v>
      </c>
      <c r="E1269" t="s">
        <v>33</v>
      </c>
      <c r="F1269">
        <v>24711</v>
      </c>
      <c r="G1269" t="str">
        <f t="shared" si="57"/>
        <v>Low</v>
      </c>
      <c r="H1269">
        <v>0</v>
      </c>
      <c r="I1269">
        <v>0</v>
      </c>
      <c r="J1269">
        <v>0</v>
      </c>
      <c r="K1269" s="1">
        <v>41747</v>
      </c>
      <c r="L1269">
        <v>86</v>
      </c>
      <c r="M1269" t="str">
        <f t="shared" si="58"/>
        <v>Inactive</v>
      </c>
      <c r="N1269">
        <v>0</v>
      </c>
      <c r="O1269">
        <v>10</v>
      </c>
      <c r="P1269">
        <v>7</v>
      </c>
      <c r="Q1269">
        <v>25</v>
      </c>
      <c r="R1269">
        <v>6</v>
      </c>
      <c r="S1269">
        <v>3</v>
      </c>
      <c r="T1269">
        <v>7</v>
      </c>
      <c r="U1269">
        <v>58</v>
      </c>
      <c r="V1269">
        <v>1</v>
      </c>
      <c r="W1269">
        <v>3</v>
      </c>
      <c r="X1269">
        <v>0</v>
      </c>
      <c r="Y1269">
        <v>3</v>
      </c>
      <c r="Z1269">
        <v>6</v>
      </c>
      <c r="AA1269">
        <v>7</v>
      </c>
      <c r="AB1269" t="str">
        <f t="shared" si="59"/>
        <v>Below average customer</v>
      </c>
    </row>
    <row r="1270" spans="1:28" x14ac:dyDescent="0.35">
      <c r="A1270">
        <v>839</v>
      </c>
      <c r="B1270">
        <v>1975</v>
      </c>
      <c r="C1270" t="s">
        <v>31</v>
      </c>
      <c r="D1270" t="s">
        <v>32</v>
      </c>
      <c r="E1270" t="s">
        <v>33</v>
      </c>
      <c r="F1270">
        <v>45503</v>
      </c>
      <c r="G1270" t="str">
        <f t="shared" si="57"/>
        <v>Mid-low</v>
      </c>
      <c r="H1270">
        <v>1</v>
      </c>
      <c r="I1270">
        <v>0</v>
      </c>
      <c r="J1270">
        <v>1</v>
      </c>
      <c r="K1270" s="1">
        <v>41542</v>
      </c>
      <c r="L1270">
        <v>54</v>
      </c>
      <c r="M1270" t="str">
        <f t="shared" si="58"/>
        <v>Inactive</v>
      </c>
      <c r="N1270">
        <v>0</v>
      </c>
      <c r="O1270">
        <v>97</v>
      </c>
      <c r="P1270">
        <v>4</v>
      </c>
      <c r="Q1270">
        <v>44</v>
      </c>
      <c r="R1270">
        <v>6</v>
      </c>
      <c r="S1270">
        <v>1</v>
      </c>
      <c r="T1270">
        <v>18</v>
      </c>
      <c r="U1270">
        <v>170</v>
      </c>
      <c r="V1270">
        <v>1</v>
      </c>
      <c r="W1270">
        <v>3</v>
      </c>
      <c r="X1270">
        <v>1</v>
      </c>
      <c r="Y1270">
        <v>4</v>
      </c>
      <c r="Z1270">
        <v>8</v>
      </c>
      <c r="AA1270">
        <v>5</v>
      </c>
      <c r="AB1270" t="str">
        <f t="shared" si="59"/>
        <v>Below average customer</v>
      </c>
    </row>
    <row r="1271" spans="1:28" x14ac:dyDescent="0.35">
      <c r="A1271">
        <v>4246</v>
      </c>
      <c r="B1271">
        <v>1982</v>
      </c>
      <c r="C1271" t="s">
        <v>31</v>
      </c>
      <c r="D1271" t="s">
        <v>34</v>
      </c>
      <c r="E1271" t="s">
        <v>27</v>
      </c>
      <c r="F1271">
        <v>6560</v>
      </c>
      <c r="G1271" t="str">
        <f t="shared" si="57"/>
        <v>Low</v>
      </c>
      <c r="H1271">
        <v>0</v>
      </c>
      <c r="I1271">
        <v>0</v>
      </c>
      <c r="J1271">
        <v>0</v>
      </c>
      <c r="K1271" s="1">
        <v>41620</v>
      </c>
      <c r="L1271">
        <v>2</v>
      </c>
      <c r="M1271" t="str">
        <f t="shared" si="58"/>
        <v>Active</v>
      </c>
      <c r="N1271">
        <v>0</v>
      </c>
      <c r="O1271">
        <v>67</v>
      </c>
      <c r="P1271">
        <v>11</v>
      </c>
      <c r="Q1271">
        <v>26</v>
      </c>
      <c r="R1271">
        <v>4</v>
      </c>
      <c r="S1271">
        <v>3</v>
      </c>
      <c r="T1271">
        <v>262</v>
      </c>
      <c r="U1271">
        <v>373</v>
      </c>
      <c r="V1271">
        <v>0</v>
      </c>
      <c r="W1271">
        <v>1</v>
      </c>
      <c r="X1271">
        <v>0</v>
      </c>
      <c r="Y1271">
        <v>1</v>
      </c>
      <c r="Z1271">
        <v>2</v>
      </c>
      <c r="AA1271">
        <v>17</v>
      </c>
      <c r="AB1271" t="str">
        <f t="shared" si="59"/>
        <v>Below average customer</v>
      </c>
    </row>
    <row r="1272" spans="1:28" x14ac:dyDescent="0.35">
      <c r="A1272">
        <v>158</v>
      </c>
      <c r="B1272">
        <v>1945</v>
      </c>
      <c r="C1272" t="s">
        <v>36</v>
      </c>
      <c r="D1272" t="s">
        <v>32</v>
      </c>
      <c r="E1272" t="s">
        <v>29</v>
      </c>
      <c r="F1272">
        <v>71604</v>
      </c>
      <c r="G1272" t="str">
        <f t="shared" si="57"/>
        <v>High</v>
      </c>
      <c r="H1272">
        <v>0</v>
      </c>
      <c r="I1272">
        <v>0</v>
      </c>
      <c r="J1272">
        <v>0</v>
      </c>
      <c r="K1272" s="1">
        <v>41595</v>
      </c>
      <c r="L1272">
        <v>3</v>
      </c>
      <c r="M1272" t="str">
        <f t="shared" si="58"/>
        <v>Active</v>
      </c>
      <c r="N1272">
        <v>0</v>
      </c>
      <c r="O1272">
        <v>345</v>
      </c>
      <c r="P1272">
        <v>53</v>
      </c>
      <c r="Q1272">
        <v>528</v>
      </c>
      <c r="R1272">
        <v>98</v>
      </c>
      <c r="S1272">
        <v>75</v>
      </c>
      <c r="T1272">
        <v>97</v>
      </c>
      <c r="U1272">
        <v>1196</v>
      </c>
      <c r="V1272">
        <v>1</v>
      </c>
      <c r="W1272">
        <v>8</v>
      </c>
      <c r="X1272">
        <v>3</v>
      </c>
      <c r="Y1272">
        <v>5</v>
      </c>
      <c r="Z1272">
        <v>16</v>
      </c>
      <c r="AA1272">
        <v>4</v>
      </c>
      <c r="AB1272" t="str">
        <f t="shared" si="59"/>
        <v>Above average customer</v>
      </c>
    </row>
    <row r="1273" spans="1:28" x14ac:dyDescent="0.35">
      <c r="A1273">
        <v>4832</v>
      </c>
      <c r="B1273">
        <v>1979</v>
      </c>
      <c r="C1273" t="s">
        <v>31</v>
      </c>
      <c r="D1273" t="s">
        <v>26</v>
      </c>
      <c r="E1273" t="s">
        <v>33</v>
      </c>
      <c r="F1273">
        <v>27244</v>
      </c>
      <c r="G1273" t="str">
        <f t="shared" si="57"/>
        <v>Low</v>
      </c>
      <c r="H1273">
        <v>1</v>
      </c>
      <c r="I1273">
        <v>0</v>
      </c>
      <c r="J1273">
        <v>1</v>
      </c>
      <c r="K1273" s="1">
        <v>41705</v>
      </c>
      <c r="L1273">
        <v>84</v>
      </c>
      <c r="M1273" t="str">
        <f t="shared" si="58"/>
        <v>Inactive</v>
      </c>
      <c r="N1273">
        <v>0</v>
      </c>
      <c r="O1273">
        <v>6</v>
      </c>
      <c r="P1273">
        <v>5</v>
      </c>
      <c r="Q1273">
        <v>17</v>
      </c>
      <c r="R1273">
        <v>3</v>
      </c>
      <c r="S1273">
        <v>24</v>
      </c>
      <c r="T1273">
        <v>46</v>
      </c>
      <c r="U1273">
        <v>101</v>
      </c>
      <c r="V1273">
        <v>2</v>
      </c>
      <c r="W1273">
        <v>2</v>
      </c>
      <c r="X1273">
        <v>2</v>
      </c>
      <c r="Y1273">
        <v>2</v>
      </c>
      <c r="Z1273">
        <v>6</v>
      </c>
      <c r="AA1273">
        <v>7</v>
      </c>
      <c r="AB1273" t="str">
        <f t="shared" si="59"/>
        <v>Below average customer</v>
      </c>
    </row>
    <row r="1274" spans="1:28" x14ac:dyDescent="0.35">
      <c r="A1274">
        <v>5621</v>
      </c>
      <c r="B1274">
        <v>1969</v>
      </c>
      <c r="C1274" t="s">
        <v>28</v>
      </c>
      <c r="D1274" t="s">
        <v>26</v>
      </c>
      <c r="E1274" t="s">
        <v>33</v>
      </c>
      <c r="F1274">
        <v>48752</v>
      </c>
      <c r="G1274" t="str">
        <f t="shared" si="57"/>
        <v>Mid-low</v>
      </c>
      <c r="H1274">
        <v>1</v>
      </c>
      <c r="I1274">
        <v>1</v>
      </c>
      <c r="J1274">
        <v>2</v>
      </c>
      <c r="K1274" s="1">
        <v>41255</v>
      </c>
      <c r="L1274">
        <v>8</v>
      </c>
      <c r="M1274" t="str">
        <f t="shared" si="58"/>
        <v>Active</v>
      </c>
      <c r="N1274">
        <v>0</v>
      </c>
      <c r="O1274">
        <v>73</v>
      </c>
      <c r="P1274">
        <v>57</v>
      </c>
      <c r="Q1274">
        <v>100</v>
      </c>
      <c r="R1274">
        <v>71</v>
      </c>
      <c r="S1274">
        <v>15</v>
      </c>
      <c r="T1274">
        <v>0</v>
      </c>
      <c r="U1274">
        <v>316</v>
      </c>
      <c r="V1274">
        <v>5</v>
      </c>
      <c r="W1274">
        <v>6</v>
      </c>
      <c r="X1274">
        <v>1</v>
      </c>
      <c r="Y1274">
        <v>5</v>
      </c>
      <c r="Z1274">
        <v>12</v>
      </c>
      <c r="AA1274">
        <v>9</v>
      </c>
      <c r="AB1274" t="str">
        <f t="shared" si="59"/>
        <v>Below average customer</v>
      </c>
    </row>
    <row r="1275" spans="1:28" x14ac:dyDescent="0.35">
      <c r="A1275">
        <v>1945</v>
      </c>
      <c r="B1275">
        <v>1962</v>
      </c>
      <c r="C1275" t="s">
        <v>25</v>
      </c>
      <c r="D1275" t="s">
        <v>26</v>
      </c>
      <c r="E1275" t="s">
        <v>33</v>
      </c>
      <c r="F1275">
        <v>71434</v>
      </c>
      <c r="G1275" t="str">
        <f t="shared" si="57"/>
        <v>High</v>
      </c>
      <c r="H1275">
        <v>0</v>
      </c>
      <c r="I1275">
        <v>1</v>
      </c>
      <c r="J1275">
        <v>1</v>
      </c>
      <c r="K1275" s="1">
        <v>41535</v>
      </c>
      <c r="L1275">
        <v>4</v>
      </c>
      <c r="M1275" t="str">
        <f t="shared" si="58"/>
        <v>Active</v>
      </c>
      <c r="N1275">
        <v>0</v>
      </c>
      <c r="O1275">
        <v>711</v>
      </c>
      <c r="P1275">
        <v>36</v>
      </c>
      <c r="Q1275">
        <v>217</v>
      </c>
      <c r="R1275">
        <v>172</v>
      </c>
      <c r="S1275">
        <v>96</v>
      </c>
      <c r="T1275">
        <v>168</v>
      </c>
      <c r="U1275">
        <v>1400</v>
      </c>
      <c r="V1275">
        <v>3</v>
      </c>
      <c r="W1275">
        <v>7</v>
      </c>
      <c r="X1275">
        <v>4</v>
      </c>
      <c r="Y1275">
        <v>7</v>
      </c>
      <c r="Z1275">
        <v>18</v>
      </c>
      <c r="AA1275">
        <v>4</v>
      </c>
      <c r="AB1275" t="str">
        <f t="shared" si="59"/>
        <v>Above average customer</v>
      </c>
    </row>
    <row r="1276" spans="1:28" x14ac:dyDescent="0.35">
      <c r="A1276">
        <v>5147</v>
      </c>
      <c r="B1276">
        <v>1948</v>
      </c>
      <c r="C1276" t="s">
        <v>36</v>
      </c>
      <c r="D1276" t="s">
        <v>26</v>
      </c>
      <c r="E1276" t="s">
        <v>27</v>
      </c>
      <c r="F1276">
        <v>90842</v>
      </c>
      <c r="G1276" t="str">
        <f t="shared" si="57"/>
        <v>High</v>
      </c>
      <c r="H1276">
        <v>0</v>
      </c>
      <c r="I1276">
        <v>0</v>
      </c>
      <c r="J1276">
        <v>0</v>
      </c>
      <c r="K1276" s="1">
        <v>41484</v>
      </c>
      <c r="L1276">
        <v>57</v>
      </c>
      <c r="M1276" t="str">
        <f t="shared" si="58"/>
        <v>Inactive</v>
      </c>
      <c r="N1276">
        <v>0</v>
      </c>
      <c r="O1276">
        <v>774</v>
      </c>
      <c r="P1276">
        <v>70</v>
      </c>
      <c r="Q1276">
        <v>118</v>
      </c>
      <c r="R1276">
        <v>182</v>
      </c>
      <c r="S1276">
        <v>187</v>
      </c>
      <c r="T1276">
        <v>93</v>
      </c>
      <c r="U1276">
        <v>1424</v>
      </c>
      <c r="V1276">
        <v>1</v>
      </c>
      <c r="W1276">
        <v>4</v>
      </c>
      <c r="X1276">
        <v>9</v>
      </c>
      <c r="Y1276">
        <v>13</v>
      </c>
      <c r="Z1276">
        <v>26</v>
      </c>
      <c r="AA1276">
        <v>1</v>
      </c>
      <c r="AB1276" t="str">
        <f t="shared" si="59"/>
        <v>Below average customer</v>
      </c>
    </row>
    <row r="1277" spans="1:28" x14ac:dyDescent="0.35">
      <c r="A1277">
        <v>2535</v>
      </c>
      <c r="B1277">
        <v>1978</v>
      </c>
      <c r="C1277" t="s">
        <v>31</v>
      </c>
      <c r="D1277" t="s">
        <v>34</v>
      </c>
      <c r="E1277" t="s">
        <v>33</v>
      </c>
      <c r="F1277">
        <v>88097</v>
      </c>
      <c r="G1277" t="str">
        <f t="shared" si="57"/>
        <v>High</v>
      </c>
      <c r="H1277">
        <v>1</v>
      </c>
      <c r="I1277">
        <v>0</v>
      </c>
      <c r="J1277">
        <v>1</v>
      </c>
      <c r="K1277" s="1">
        <v>41139</v>
      </c>
      <c r="L1277">
        <v>24</v>
      </c>
      <c r="M1277" t="str">
        <f t="shared" si="58"/>
        <v>Active</v>
      </c>
      <c r="N1277">
        <v>0</v>
      </c>
      <c r="O1277">
        <v>163</v>
      </c>
      <c r="P1277">
        <v>0</v>
      </c>
      <c r="Q1277">
        <v>480</v>
      </c>
      <c r="R1277">
        <v>0</v>
      </c>
      <c r="S1277">
        <v>126</v>
      </c>
      <c r="T1277">
        <v>75</v>
      </c>
      <c r="U1277">
        <v>844</v>
      </c>
      <c r="V1277">
        <v>1</v>
      </c>
      <c r="W1277">
        <v>6</v>
      </c>
      <c r="X1277">
        <v>5</v>
      </c>
      <c r="Y1277">
        <v>8</v>
      </c>
      <c r="Z1277">
        <v>19</v>
      </c>
      <c r="AA1277">
        <v>9</v>
      </c>
      <c r="AB1277" t="str">
        <f t="shared" si="59"/>
        <v>Above average customer</v>
      </c>
    </row>
    <row r="1278" spans="1:28" x14ac:dyDescent="0.35">
      <c r="A1278">
        <v>11039</v>
      </c>
      <c r="B1278">
        <v>1975</v>
      </c>
      <c r="C1278" t="s">
        <v>31</v>
      </c>
      <c r="D1278" t="s">
        <v>26</v>
      </c>
      <c r="E1278" t="s">
        <v>33</v>
      </c>
      <c r="F1278">
        <v>51948</v>
      </c>
      <c r="G1278" t="str">
        <f t="shared" si="57"/>
        <v>Mid-high</v>
      </c>
      <c r="H1278">
        <v>0</v>
      </c>
      <c r="I1278">
        <v>1</v>
      </c>
      <c r="J1278">
        <v>1</v>
      </c>
      <c r="K1278" s="1">
        <v>41534</v>
      </c>
      <c r="L1278">
        <v>51</v>
      </c>
      <c r="M1278" t="str">
        <f t="shared" si="58"/>
        <v>Inactive</v>
      </c>
      <c r="N1278">
        <v>0</v>
      </c>
      <c r="O1278">
        <v>82</v>
      </c>
      <c r="P1278">
        <v>33</v>
      </c>
      <c r="Q1278">
        <v>54</v>
      </c>
      <c r="R1278">
        <v>71</v>
      </c>
      <c r="S1278">
        <v>30</v>
      </c>
      <c r="T1278">
        <v>41</v>
      </c>
      <c r="U1278">
        <v>311</v>
      </c>
      <c r="V1278">
        <v>2</v>
      </c>
      <c r="W1278">
        <v>5</v>
      </c>
      <c r="X1278">
        <v>2</v>
      </c>
      <c r="Y1278">
        <v>4</v>
      </c>
      <c r="Z1278">
        <v>11</v>
      </c>
      <c r="AA1278">
        <v>5</v>
      </c>
      <c r="AB1278" t="str">
        <f t="shared" si="59"/>
        <v>Below average customer</v>
      </c>
    </row>
    <row r="1279" spans="1:28" x14ac:dyDescent="0.35">
      <c r="A1279">
        <v>9495</v>
      </c>
      <c r="B1279">
        <v>1982</v>
      </c>
      <c r="C1279" t="s">
        <v>31</v>
      </c>
      <c r="D1279" t="s">
        <v>26</v>
      </c>
      <c r="E1279" t="s">
        <v>29</v>
      </c>
      <c r="F1279">
        <v>71853</v>
      </c>
      <c r="G1279" t="str">
        <f t="shared" si="57"/>
        <v>High</v>
      </c>
      <c r="H1279">
        <v>0</v>
      </c>
      <c r="I1279">
        <v>0</v>
      </c>
      <c r="J1279">
        <v>0</v>
      </c>
      <c r="K1279" s="1">
        <v>41402</v>
      </c>
      <c r="L1279">
        <v>29</v>
      </c>
      <c r="M1279" t="str">
        <f t="shared" si="58"/>
        <v>Active</v>
      </c>
      <c r="N1279">
        <v>0</v>
      </c>
      <c r="O1279">
        <v>358</v>
      </c>
      <c r="P1279">
        <v>108</v>
      </c>
      <c r="Q1279">
        <v>413</v>
      </c>
      <c r="R1279">
        <v>141</v>
      </c>
      <c r="S1279">
        <v>97</v>
      </c>
      <c r="T1279">
        <v>32</v>
      </c>
      <c r="U1279">
        <v>1149</v>
      </c>
      <c r="V1279">
        <v>1</v>
      </c>
      <c r="W1279">
        <v>2</v>
      </c>
      <c r="X1279">
        <v>8</v>
      </c>
      <c r="Y1279">
        <v>6</v>
      </c>
      <c r="Z1279">
        <v>16</v>
      </c>
      <c r="AA1279">
        <v>1</v>
      </c>
      <c r="AB1279" t="str">
        <f t="shared" si="59"/>
        <v>Above average customer</v>
      </c>
    </row>
    <row r="1280" spans="1:28" x14ac:dyDescent="0.35">
      <c r="A1280">
        <v>9635</v>
      </c>
      <c r="B1280">
        <v>1983</v>
      </c>
      <c r="C1280" t="s">
        <v>30</v>
      </c>
      <c r="D1280" t="s">
        <v>34</v>
      </c>
      <c r="E1280" t="s">
        <v>33</v>
      </c>
      <c r="F1280">
        <v>35876</v>
      </c>
      <c r="G1280" t="str">
        <f t="shared" si="57"/>
        <v>Mid-low</v>
      </c>
      <c r="H1280">
        <v>0</v>
      </c>
      <c r="I1280">
        <v>0</v>
      </c>
      <c r="J1280">
        <v>0</v>
      </c>
      <c r="K1280" s="1">
        <v>41749</v>
      </c>
      <c r="L1280">
        <v>13</v>
      </c>
      <c r="M1280" t="str">
        <f t="shared" si="58"/>
        <v>Active</v>
      </c>
      <c r="N1280">
        <v>0</v>
      </c>
      <c r="O1280">
        <v>66</v>
      </c>
      <c r="P1280">
        <v>2</v>
      </c>
      <c r="Q1280">
        <v>40</v>
      </c>
      <c r="R1280">
        <v>4</v>
      </c>
      <c r="S1280">
        <v>3</v>
      </c>
      <c r="T1280">
        <v>14</v>
      </c>
      <c r="U1280">
        <v>129</v>
      </c>
      <c r="V1280">
        <v>1</v>
      </c>
      <c r="W1280">
        <v>3</v>
      </c>
      <c r="X1280">
        <v>1</v>
      </c>
      <c r="Y1280">
        <v>3</v>
      </c>
      <c r="Z1280">
        <v>7</v>
      </c>
      <c r="AA1280">
        <v>6</v>
      </c>
      <c r="AB1280" t="str">
        <f t="shared" si="59"/>
        <v>Below average customer</v>
      </c>
    </row>
    <row r="1281" spans="1:28" x14ac:dyDescent="0.35">
      <c r="A1281">
        <v>2173</v>
      </c>
      <c r="B1281">
        <v>1952</v>
      </c>
      <c r="C1281" t="s">
        <v>36</v>
      </c>
      <c r="D1281" t="s">
        <v>26</v>
      </c>
      <c r="E1281" t="s">
        <v>38</v>
      </c>
      <c r="F1281">
        <v>40049</v>
      </c>
      <c r="G1281" t="str">
        <f t="shared" si="57"/>
        <v>Mid-low</v>
      </c>
      <c r="H1281">
        <v>0</v>
      </c>
      <c r="I1281">
        <v>1</v>
      </c>
      <c r="J1281">
        <v>1</v>
      </c>
      <c r="K1281" s="1">
        <v>41563</v>
      </c>
      <c r="L1281">
        <v>23</v>
      </c>
      <c r="M1281" t="str">
        <f t="shared" si="58"/>
        <v>Active</v>
      </c>
      <c r="N1281">
        <v>0</v>
      </c>
      <c r="O1281">
        <v>13</v>
      </c>
      <c r="P1281">
        <v>6</v>
      </c>
      <c r="Q1281">
        <v>7</v>
      </c>
      <c r="R1281">
        <v>0</v>
      </c>
      <c r="S1281">
        <v>3</v>
      </c>
      <c r="T1281">
        <v>3</v>
      </c>
      <c r="U1281">
        <v>32</v>
      </c>
      <c r="V1281">
        <v>1</v>
      </c>
      <c r="W1281">
        <v>1</v>
      </c>
      <c r="X1281">
        <v>0</v>
      </c>
      <c r="Y1281">
        <v>3</v>
      </c>
      <c r="Z1281">
        <v>4</v>
      </c>
      <c r="AA1281">
        <v>6</v>
      </c>
      <c r="AB1281" t="str">
        <f t="shared" si="59"/>
        <v>Below average customer</v>
      </c>
    </row>
    <row r="1282" spans="1:28" x14ac:dyDescent="0.35">
      <c r="A1282">
        <v>942</v>
      </c>
      <c r="B1282">
        <v>1982</v>
      </c>
      <c r="C1282" t="s">
        <v>31</v>
      </c>
      <c r="D1282" t="s">
        <v>26</v>
      </c>
      <c r="E1282" t="s">
        <v>27</v>
      </c>
      <c r="F1282">
        <v>39660</v>
      </c>
      <c r="G1282" t="str">
        <f t="shared" ref="G1282:G1345" si="60">IF(F1282&lt;=_xlfn.PERCENTILE.INC($F$2:$F$2056,0.25),"Low",IF(F1282&lt;=_xlfn.PERCENTILE.INC($F$2:$F$2056,0.5),"Mid-low",IF(F1282&lt;=_xlfn.PERCENTILE.INC($F$2:$F$2056,0.75),"Mid-high","High")))</f>
        <v>Mid-low</v>
      </c>
      <c r="H1282">
        <v>1</v>
      </c>
      <c r="I1282">
        <v>0</v>
      </c>
      <c r="J1282">
        <v>1</v>
      </c>
      <c r="K1282" s="1">
        <v>41129</v>
      </c>
      <c r="L1282">
        <v>36</v>
      </c>
      <c r="M1282" t="str">
        <f t="shared" ref="M1282:M1345" si="61">IF(L1282&gt;AVERAGE($L$2:$L$2056),"Inactive","Active")</f>
        <v>Active</v>
      </c>
      <c r="N1282">
        <v>0</v>
      </c>
      <c r="O1282">
        <v>139</v>
      </c>
      <c r="P1282">
        <v>13</v>
      </c>
      <c r="Q1282">
        <v>78</v>
      </c>
      <c r="R1282">
        <v>20</v>
      </c>
      <c r="S1282">
        <v>13</v>
      </c>
      <c r="T1282">
        <v>36</v>
      </c>
      <c r="U1282">
        <v>299</v>
      </c>
      <c r="V1282">
        <v>3</v>
      </c>
      <c r="W1282">
        <v>7</v>
      </c>
      <c r="X1282">
        <v>1</v>
      </c>
      <c r="Y1282">
        <v>3</v>
      </c>
      <c r="Z1282">
        <v>11</v>
      </c>
      <c r="AA1282">
        <v>9</v>
      </c>
      <c r="AB1282" t="str">
        <f t="shared" ref="AB1282:AB1345" si="62">IF(AND(Z1282&gt;AVERAGE($Z$2:$Z$2056),U1282&gt;AVERAGE($U$2:$U$2056),N1282=0,L1282&lt;AVERAGE($L$2:$L$2056),F1282&gt;AVERAGE($F$2:$F$2240)),"Above average customer","Below average customer")</f>
        <v>Below average customer</v>
      </c>
    </row>
    <row r="1283" spans="1:28" x14ac:dyDescent="0.35">
      <c r="A1283">
        <v>9386</v>
      </c>
      <c r="B1283">
        <v>1962</v>
      </c>
      <c r="C1283" t="s">
        <v>25</v>
      </c>
      <c r="D1283" t="s">
        <v>26</v>
      </c>
      <c r="E1283" t="s">
        <v>29</v>
      </c>
      <c r="F1283">
        <v>50127</v>
      </c>
      <c r="G1283" t="str">
        <f t="shared" si="60"/>
        <v>Mid-low</v>
      </c>
      <c r="H1283">
        <v>0</v>
      </c>
      <c r="I1283">
        <v>1</v>
      </c>
      <c r="J1283">
        <v>1</v>
      </c>
      <c r="K1283" s="1">
        <v>41788</v>
      </c>
      <c r="L1283">
        <v>88</v>
      </c>
      <c r="M1283" t="str">
        <f t="shared" si="61"/>
        <v>Inactive</v>
      </c>
      <c r="N1283">
        <v>0</v>
      </c>
      <c r="O1283">
        <v>274</v>
      </c>
      <c r="P1283">
        <v>0</v>
      </c>
      <c r="Q1283">
        <v>21</v>
      </c>
      <c r="R1283">
        <v>4</v>
      </c>
      <c r="S1283">
        <v>6</v>
      </c>
      <c r="T1283">
        <v>15</v>
      </c>
      <c r="U1283">
        <v>320</v>
      </c>
      <c r="V1283">
        <v>1</v>
      </c>
      <c r="W1283">
        <v>5</v>
      </c>
      <c r="X1283">
        <v>1</v>
      </c>
      <c r="Y1283">
        <v>6</v>
      </c>
      <c r="Z1283">
        <v>12</v>
      </c>
      <c r="AA1283">
        <v>6</v>
      </c>
      <c r="AB1283" t="str">
        <f t="shared" si="62"/>
        <v>Below average customer</v>
      </c>
    </row>
    <row r="1284" spans="1:28" x14ac:dyDescent="0.35">
      <c r="A1284">
        <v>5510</v>
      </c>
      <c r="B1284">
        <v>1977</v>
      </c>
      <c r="C1284" t="s">
        <v>31</v>
      </c>
      <c r="D1284" t="s">
        <v>34</v>
      </c>
      <c r="E1284" t="s">
        <v>33</v>
      </c>
      <c r="F1284">
        <v>43263</v>
      </c>
      <c r="G1284" t="str">
        <f t="shared" si="60"/>
        <v>Mid-low</v>
      </c>
      <c r="H1284">
        <v>0</v>
      </c>
      <c r="I1284">
        <v>1</v>
      </c>
      <c r="J1284">
        <v>1</v>
      </c>
      <c r="K1284" s="1">
        <v>41234</v>
      </c>
      <c r="L1284">
        <v>2</v>
      </c>
      <c r="M1284" t="str">
        <f t="shared" si="61"/>
        <v>Active</v>
      </c>
      <c r="N1284">
        <v>0</v>
      </c>
      <c r="O1284">
        <v>262</v>
      </c>
      <c r="P1284">
        <v>6</v>
      </c>
      <c r="Q1284">
        <v>61</v>
      </c>
      <c r="R1284">
        <v>0</v>
      </c>
      <c r="S1284">
        <v>10</v>
      </c>
      <c r="T1284">
        <v>102</v>
      </c>
      <c r="U1284">
        <v>441</v>
      </c>
      <c r="V1284">
        <v>3</v>
      </c>
      <c r="W1284">
        <v>5</v>
      </c>
      <c r="X1284">
        <v>2</v>
      </c>
      <c r="Y1284">
        <v>6</v>
      </c>
      <c r="Z1284">
        <v>13</v>
      </c>
      <c r="AA1284">
        <v>5</v>
      </c>
      <c r="AB1284" t="str">
        <f t="shared" si="62"/>
        <v>Below average customer</v>
      </c>
    </row>
    <row r="1285" spans="1:28" x14ac:dyDescent="0.35">
      <c r="A1285">
        <v>873</v>
      </c>
      <c r="B1285">
        <v>1949</v>
      </c>
      <c r="C1285" t="s">
        <v>36</v>
      </c>
      <c r="D1285" t="s">
        <v>34</v>
      </c>
      <c r="E1285" t="s">
        <v>33</v>
      </c>
      <c r="F1285">
        <v>62845</v>
      </c>
      <c r="G1285" t="str">
        <f t="shared" si="60"/>
        <v>Mid-high</v>
      </c>
      <c r="H1285">
        <v>1</v>
      </c>
      <c r="I1285">
        <v>1</v>
      </c>
      <c r="J1285">
        <v>2</v>
      </c>
      <c r="K1285" s="1">
        <v>41183</v>
      </c>
      <c r="L1285">
        <v>3</v>
      </c>
      <c r="M1285" t="str">
        <f t="shared" si="61"/>
        <v>Active</v>
      </c>
      <c r="N1285">
        <v>0</v>
      </c>
      <c r="O1285">
        <v>1099</v>
      </c>
      <c r="P1285">
        <v>0</v>
      </c>
      <c r="Q1285">
        <v>45</v>
      </c>
      <c r="R1285">
        <v>0</v>
      </c>
      <c r="S1285">
        <v>0</v>
      </c>
      <c r="T1285">
        <v>34</v>
      </c>
      <c r="U1285">
        <v>1178</v>
      </c>
      <c r="V1285">
        <v>11</v>
      </c>
      <c r="W1285">
        <v>3</v>
      </c>
      <c r="X1285">
        <v>4</v>
      </c>
      <c r="Y1285">
        <v>10</v>
      </c>
      <c r="Z1285">
        <v>17</v>
      </c>
      <c r="AA1285">
        <v>8</v>
      </c>
      <c r="AB1285" t="str">
        <f t="shared" si="62"/>
        <v>Above average customer</v>
      </c>
    </row>
    <row r="1286" spans="1:28" x14ac:dyDescent="0.35">
      <c r="A1286">
        <v>2253</v>
      </c>
      <c r="B1286">
        <v>1990</v>
      </c>
      <c r="C1286" t="s">
        <v>30</v>
      </c>
      <c r="D1286" t="s">
        <v>26</v>
      </c>
      <c r="E1286" t="s">
        <v>33</v>
      </c>
      <c r="F1286">
        <v>18929</v>
      </c>
      <c r="G1286" t="str">
        <f t="shared" si="60"/>
        <v>Low</v>
      </c>
      <c r="H1286">
        <v>0</v>
      </c>
      <c r="I1286">
        <v>0</v>
      </c>
      <c r="J1286">
        <v>0</v>
      </c>
      <c r="K1286" s="1">
        <v>41321</v>
      </c>
      <c r="L1286">
        <v>15</v>
      </c>
      <c r="M1286" t="str">
        <f t="shared" si="61"/>
        <v>Active</v>
      </c>
      <c r="N1286">
        <v>0</v>
      </c>
      <c r="O1286">
        <v>32</v>
      </c>
      <c r="P1286">
        <v>0</v>
      </c>
      <c r="Q1286">
        <v>8</v>
      </c>
      <c r="R1286">
        <v>23</v>
      </c>
      <c r="S1286">
        <v>4</v>
      </c>
      <c r="T1286">
        <v>18</v>
      </c>
      <c r="U1286">
        <v>85</v>
      </c>
      <c r="V1286">
        <v>1</v>
      </c>
      <c r="W1286">
        <v>1</v>
      </c>
      <c r="X1286">
        <v>0</v>
      </c>
      <c r="Y1286">
        <v>4</v>
      </c>
      <c r="Z1286">
        <v>5</v>
      </c>
      <c r="AA1286">
        <v>6</v>
      </c>
      <c r="AB1286" t="str">
        <f t="shared" si="62"/>
        <v>Below average customer</v>
      </c>
    </row>
    <row r="1287" spans="1:28" x14ac:dyDescent="0.35">
      <c r="A1287">
        <v>5181</v>
      </c>
      <c r="B1287">
        <v>1982</v>
      </c>
      <c r="C1287" t="s">
        <v>31</v>
      </c>
      <c r="D1287" t="s">
        <v>37</v>
      </c>
      <c r="E1287" t="s">
        <v>27</v>
      </c>
      <c r="F1287">
        <v>24367</v>
      </c>
      <c r="G1287" t="str">
        <f t="shared" si="60"/>
        <v>Low</v>
      </c>
      <c r="H1287">
        <v>1</v>
      </c>
      <c r="I1287">
        <v>0</v>
      </c>
      <c r="J1287">
        <v>1</v>
      </c>
      <c r="K1287" s="1">
        <v>41353</v>
      </c>
      <c r="L1287">
        <v>58</v>
      </c>
      <c r="M1287" t="str">
        <f t="shared" si="61"/>
        <v>Inactive</v>
      </c>
      <c r="N1287">
        <v>0</v>
      </c>
      <c r="O1287">
        <v>2</v>
      </c>
      <c r="P1287">
        <v>4</v>
      </c>
      <c r="Q1287">
        <v>2</v>
      </c>
      <c r="R1287">
        <v>0</v>
      </c>
      <c r="S1287">
        <v>11</v>
      </c>
      <c r="T1287">
        <v>5</v>
      </c>
      <c r="U1287">
        <v>24</v>
      </c>
      <c r="V1287">
        <v>1</v>
      </c>
      <c r="W1287">
        <v>1</v>
      </c>
      <c r="X1287">
        <v>0</v>
      </c>
      <c r="Y1287">
        <v>2</v>
      </c>
      <c r="Z1287">
        <v>3</v>
      </c>
      <c r="AA1287">
        <v>9</v>
      </c>
      <c r="AB1287" t="str">
        <f t="shared" si="62"/>
        <v>Below average customer</v>
      </c>
    </row>
    <row r="1288" spans="1:28" x14ac:dyDescent="0.35">
      <c r="A1288">
        <v>10390</v>
      </c>
      <c r="B1288">
        <v>1959</v>
      </c>
      <c r="C1288" t="s">
        <v>25</v>
      </c>
      <c r="D1288" t="s">
        <v>34</v>
      </c>
      <c r="E1288" t="s">
        <v>33</v>
      </c>
      <c r="F1288">
        <v>26887</v>
      </c>
      <c r="G1288" t="str">
        <f t="shared" si="60"/>
        <v>Low</v>
      </c>
      <c r="H1288">
        <v>0</v>
      </c>
      <c r="I1288">
        <v>1</v>
      </c>
      <c r="J1288">
        <v>1</v>
      </c>
      <c r="K1288" s="1">
        <v>41315</v>
      </c>
      <c r="L1288">
        <v>27</v>
      </c>
      <c r="M1288" t="str">
        <f t="shared" si="61"/>
        <v>Active</v>
      </c>
      <c r="N1288">
        <v>0</v>
      </c>
      <c r="O1288">
        <v>6</v>
      </c>
      <c r="P1288">
        <v>7</v>
      </c>
      <c r="Q1288">
        <v>4</v>
      </c>
      <c r="R1288">
        <v>3</v>
      </c>
      <c r="S1288">
        <v>4</v>
      </c>
      <c r="T1288">
        <v>6</v>
      </c>
      <c r="U1288">
        <v>30</v>
      </c>
      <c r="V1288">
        <v>1</v>
      </c>
      <c r="W1288">
        <v>1</v>
      </c>
      <c r="X1288">
        <v>0</v>
      </c>
      <c r="Y1288">
        <v>3</v>
      </c>
      <c r="Z1288">
        <v>4</v>
      </c>
      <c r="AA1288">
        <v>6</v>
      </c>
      <c r="AB1288" t="str">
        <f t="shared" si="62"/>
        <v>Below average customer</v>
      </c>
    </row>
    <row r="1289" spans="1:28" x14ac:dyDescent="0.35">
      <c r="A1289">
        <v>7793</v>
      </c>
      <c r="B1289">
        <v>1976</v>
      </c>
      <c r="C1289" t="s">
        <v>31</v>
      </c>
      <c r="D1289" t="s">
        <v>26</v>
      </c>
      <c r="E1289" t="s">
        <v>29</v>
      </c>
      <c r="F1289">
        <v>62061</v>
      </c>
      <c r="G1289" t="str">
        <f t="shared" si="60"/>
        <v>Mid-high</v>
      </c>
      <c r="H1289">
        <v>0</v>
      </c>
      <c r="I1289">
        <v>1</v>
      </c>
      <c r="J1289">
        <v>1</v>
      </c>
      <c r="K1289" s="1">
        <v>41517</v>
      </c>
      <c r="L1289">
        <v>12</v>
      </c>
      <c r="M1289" t="str">
        <f t="shared" si="61"/>
        <v>Active</v>
      </c>
      <c r="N1289">
        <v>0</v>
      </c>
      <c r="O1289">
        <v>641</v>
      </c>
      <c r="P1289">
        <v>7</v>
      </c>
      <c r="Q1289">
        <v>84</v>
      </c>
      <c r="R1289">
        <v>0</v>
      </c>
      <c r="S1289">
        <v>30</v>
      </c>
      <c r="T1289">
        <v>38</v>
      </c>
      <c r="U1289">
        <v>800</v>
      </c>
      <c r="V1289">
        <v>3</v>
      </c>
      <c r="W1289">
        <v>10</v>
      </c>
      <c r="X1289">
        <v>4</v>
      </c>
      <c r="Y1289">
        <v>7</v>
      </c>
      <c r="Z1289">
        <v>21</v>
      </c>
      <c r="AA1289">
        <v>6</v>
      </c>
      <c r="AB1289" t="str">
        <f t="shared" si="62"/>
        <v>Above average customer</v>
      </c>
    </row>
    <row r="1290" spans="1:28" x14ac:dyDescent="0.35">
      <c r="A1290">
        <v>10590</v>
      </c>
      <c r="B1290">
        <v>1956</v>
      </c>
      <c r="C1290" t="s">
        <v>25</v>
      </c>
      <c r="D1290" t="s">
        <v>32</v>
      </c>
      <c r="E1290" t="s">
        <v>29</v>
      </c>
      <c r="F1290">
        <v>76542</v>
      </c>
      <c r="G1290" t="str">
        <f t="shared" si="60"/>
        <v>High</v>
      </c>
      <c r="H1290">
        <v>0</v>
      </c>
      <c r="I1290">
        <v>0</v>
      </c>
      <c r="J1290">
        <v>0</v>
      </c>
      <c r="K1290" s="1">
        <v>41363</v>
      </c>
      <c r="L1290">
        <v>91</v>
      </c>
      <c r="M1290" t="str">
        <f t="shared" si="61"/>
        <v>Inactive</v>
      </c>
      <c r="N1290">
        <v>0</v>
      </c>
      <c r="O1290">
        <v>794</v>
      </c>
      <c r="P1290">
        <v>73</v>
      </c>
      <c r="Q1290">
        <v>573</v>
      </c>
      <c r="R1290">
        <v>0</v>
      </c>
      <c r="S1290">
        <v>29</v>
      </c>
      <c r="T1290">
        <v>14</v>
      </c>
      <c r="U1290">
        <v>1483</v>
      </c>
      <c r="V1290">
        <v>1</v>
      </c>
      <c r="W1290">
        <v>4</v>
      </c>
      <c r="X1290">
        <v>8</v>
      </c>
      <c r="Y1290">
        <v>10</v>
      </c>
      <c r="Z1290">
        <v>22</v>
      </c>
      <c r="AA1290">
        <v>2</v>
      </c>
      <c r="AB1290" t="str">
        <f t="shared" si="62"/>
        <v>Below average customer</v>
      </c>
    </row>
    <row r="1291" spans="1:28" x14ac:dyDescent="0.35">
      <c r="A1291">
        <v>5080</v>
      </c>
      <c r="B1291">
        <v>1993</v>
      </c>
      <c r="C1291" t="s">
        <v>30</v>
      </c>
      <c r="D1291" t="s">
        <v>26</v>
      </c>
      <c r="E1291" t="s">
        <v>27</v>
      </c>
      <c r="F1291">
        <v>70515</v>
      </c>
      <c r="G1291" t="str">
        <f t="shared" si="60"/>
        <v>High</v>
      </c>
      <c r="H1291">
        <v>0</v>
      </c>
      <c r="I1291">
        <v>0</v>
      </c>
      <c r="J1291">
        <v>0</v>
      </c>
      <c r="K1291" s="1">
        <v>41568</v>
      </c>
      <c r="L1291">
        <v>12</v>
      </c>
      <c r="M1291" t="str">
        <f t="shared" si="61"/>
        <v>Active</v>
      </c>
      <c r="N1291">
        <v>0</v>
      </c>
      <c r="O1291">
        <v>420</v>
      </c>
      <c r="P1291">
        <v>0</v>
      </c>
      <c r="Q1291">
        <v>452</v>
      </c>
      <c r="R1291">
        <v>182</v>
      </c>
      <c r="S1291">
        <v>64</v>
      </c>
      <c r="T1291">
        <v>140</v>
      </c>
      <c r="U1291">
        <v>1258</v>
      </c>
      <c r="V1291">
        <v>1</v>
      </c>
      <c r="W1291">
        <v>6</v>
      </c>
      <c r="X1291">
        <v>6</v>
      </c>
      <c r="Y1291">
        <v>4</v>
      </c>
      <c r="Z1291">
        <v>16</v>
      </c>
      <c r="AA1291">
        <v>2</v>
      </c>
      <c r="AB1291" t="str">
        <f t="shared" si="62"/>
        <v>Above average customer</v>
      </c>
    </row>
    <row r="1292" spans="1:28" x14ac:dyDescent="0.35">
      <c r="A1292">
        <v>8369</v>
      </c>
      <c r="B1292">
        <v>1987</v>
      </c>
      <c r="C1292" t="s">
        <v>30</v>
      </c>
      <c r="D1292" t="s">
        <v>26</v>
      </c>
      <c r="E1292" t="s">
        <v>29</v>
      </c>
      <c r="F1292">
        <v>18227</v>
      </c>
      <c r="G1292" t="str">
        <f t="shared" si="60"/>
        <v>Low</v>
      </c>
      <c r="H1292">
        <v>1</v>
      </c>
      <c r="I1292">
        <v>0</v>
      </c>
      <c r="J1292">
        <v>1</v>
      </c>
      <c r="K1292" s="1">
        <v>41221</v>
      </c>
      <c r="L1292">
        <v>21</v>
      </c>
      <c r="M1292" t="str">
        <f t="shared" si="61"/>
        <v>Active</v>
      </c>
      <c r="N1292">
        <v>0</v>
      </c>
      <c r="O1292">
        <v>1</v>
      </c>
      <c r="P1292">
        <v>2</v>
      </c>
      <c r="Q1292">
        <v>7</v>
      </c>
      <c r="R1292">
        <v>4</v>
      </c>
      <c r="S1292">
        <v>3</v>
      </c>
      <c r="T1292">
        <v>11</v>
      </c>
      <c r="U1292">
        <v>28</v>
      </c>
      <c r="V1292">
        <v>1</v>
      </c>
      <c r="W1292">
        <v>0</v>
      </c>
      <c r="X1292">
        <v>1</v>
      </c>
      <c r="Y1292">
        <v>2</v>
      </c>
      <c r="Z1292">
        <v>3</v>
      </c>
      <c r="AA1292">
        <v>8</v>
      </c>
      <c r="AB1292" t="str">
        <f t="shared" si="62"/>
        <v>Below average customer</v>
      </c>
    </row>
    <row r="1293" spans="1:28" x14ac:dyDescent="0.35">
      <c r="A1293">
        <v>5232</v>
      </c>
      <c r="B1293">
        <v>1965</v>
      </c>
      <c r="C1293" t="s">
        <v>28</v>
      </c>
      <c r="D1293" t="s">
        <v>26</v>
      </c>
      <c r="E1293" t="s">
        <v>33</v>
      </c>
      <c r="F1293">
        <v>69139</v>
      </c>
      <c r="G1293" t="str">
        <f t="shared" si="60"/>
        <v>High</v>
      </c>
      <c r="H1293">
        <v>0</v>
      </c>
      <c r="I1293">
        <v>1</v>
      </c>
      <c r="J1293">
        <v>1</v>
      </c>
      <c r="K1293" s="1">
        <v>41666</v>
      </c>
      <c r="L1293">
        <v>23</v>
      </c>
      <c r="M1293" t="str">
        <f t="shared" si="61"/>
        <v>Active</v>
      </c>
      <c r="N1293">
        <v>0</v>
      </c>
      <c r="O1293">
        <v>86</v>
      </c>
      <c r="P1293">
        <v>12</v>
      </c>
      <c r="Q1293">
        <v>75</v>
      </c>
      <c r="R1293">
        <v>33</v>
      </c>
      <c r="S1293">
        <v>15</v>
      </c>
      <c r="T1293">
        <v>6</v>
      </c>
      <c r="U1293">
        <v>227</v>
      </c>
      <c r="V1293">
        <v>1</v>
      </c>
      <c r="W1293">
        <v>4</v>
      </c>
      <c r="X1293">
        <v>1</v>
      </c>
      <c r="Y1293">
        <v>5</v>
      </c>
      <c r="Z1293">
        <v>10</v>
      </c>
      <c r="AA1293">
        <v>4</v>
      </c>
      <c r="AB1293" t="str">
        <f t="shared" si="62"/>
        <v>Below average customer</v>
      </c>
    </row>
    <row r="1294" spans="1:28" x14ac:dyDescent="0.35">
      <c r="A1294">
        <v>2407</v>
      </c>
      <c r="B1294">
        <v>1982</v>
      </c>
      <c r="C1294" t="s">
        <v>31</v>
      </c>
      <c r="D1294" t="s">
        <v>26</v>
      </c>
      <c r="E1294" t="s">
        <v>33</v>
      </c>
      <c r="F1294">
        <v>69109</v>
      </c>
      <c r="G1294" t="str">
        <f t="shared" si="60"/>
        <v>High</v>
      </c>
      <c r="H1294">
        <v>0</v>
      </c>
      <c r="I1294">
        <v>0</v>
      </c>
      <c r="J1294">
        <v>0</v>
      </c>
      <c r="K1294" s="1">
        <v>41222</v>
      </c>
      <c r="L1294">
        <v>10</v>
      </c>
      <c r="M1294" t="str">
        <f t="shared" si="61"/>
        <v>Active</v>
      </c>
      <c r="N1294">
        <v>0</v>
      </c>
      <c r="O1294">
        <v>823</v>
      </c>
      <c r="P1294">
        <v>25</v>
      </c>
      <c r="Q1294">
        <v>459</v>
      </c>
      <c r="R1294">
        <v>124</v>
      </c>
      <c r="S1294">
        <v>29</v>
      </c>
      <c r="T1294">
        <v>95</v>
      </c>
      <c r="U1294">
        <v>1555</v>
      </c>
      <c r="V1294">
        <v>1</v>
      </c>
      <c r="W1294">
        <v>6</v>
      </c>
      <c r="X1294">
        <v>6</v>
      </c>
      <c r="Y1294">
        <v>7</v>
      </c>
      <c r="Z1294">
        <v>19</v>
      </c>
      <c r="AA1294">
        <v>4</v>
      </c>
      <c r="AB1294" t="str">
        <f t="shared" si="62"/>
        <v>Above average customer</v>
      </c>
    </row>
    <row r="1295" spans="1:28" x14ac:dyDescent="0.35">
      <c r="A1295">
        <v>3834</v>
      </c>
      <c r="B1295">
        <v>1962</v>
      </c>
      <c r="C1295" t="s">
        <v>25</v>
      </c>
      <c r="D1295" t="s">
        <v>26</v>
      </c>
      <c r="E1295" t="s">
        <v>27</v>
      </c>
      <c r="F1295">
        <v>69627</v>
      </c>
      <c r="G1295" t="str">
        <f t="shared" si="60"/>
        <v>High</v>
      </c>
      <c r="H1295">
        <v>0</v>
      </c>
      <c r="I1295">
        <v>1</v>
      </c>
      <c r="J1295">
        <v>1</v>
      </c>
      <c r="K1295" s="1">
        <v>41350</v>
      </c>
      <c r="L1295">
        <v>35</v>
      </c>
      <c r="M1295" t="str">
        <f t="shared" si="61"/>
        <v>Active</v>
      </c>
      <c r="N1295">
        <v>0</v>
      </c>
      <c r="O1295">
        <v>231</v>
      </c>
      <c r="P1295">
        <v>161</v>
      </c>
      <c r="Q1295">
        <v>215</v>
      </c>
      <c r="R1295">
        <v>171</v>
      </c>
      <c r="S1295">
        <v>30</v>
      </c>
      <c r="T1295">
        <v>53</v>
      </c>
      <c r="U1295">
        <v>861</v>
      </c>
      <c r="V1295">
        <v>2</v>
      </c>
      <c r="W1295">
        <v>8</v>
      </c>
      <c r="X1295">
        <v>2</v>
      </c>
      <c r="Y1295">
        <v>11</v>
      </c>
      <c r="Z1295">
        <v>21</v>
      </c>
      <c r="AA1295">
        <v>5</v>
      </c>
      <c r="AB1295" t="str">
        <f t="shared" si="62"/>
        <v>Above average customer</v>
      </c>
    </row>
    <row r="1296" spans="1:28" x14ac:dyDescent="0.35">
      <c r="A1296">
        <v>7912</v>
      </c>
      <c r="B1296">
        <v>1978</v>
      </c>
      <c r="C1296" t="s">
        <v>31</v>
      </c>
      <c r="D1296" t="s">
        <v>26</v>
      </c>
      <c r="E1296" t="s">
        <v>33</v>
      </c>
      <c r="F1296">
        <v>38136</v>
      </c>
      <c r="G1296" t="str">
        <f t="shared" si="60"/>
        <v>Mid-low</v>
      </c>
      <c r="H1296">
        <v>1</v>
      </c>
      <c r="I1296">
        <v>0</v>
      </c>
      <c r="J1296">
        <v>1</v>
      </c>
      <c r="K1296" s="1">
        <v>41386</v>
      </c>
      <c r="L1296">
        <v>69</v>
      </c>
      <c r="M1296" t="str">
        <f t="shared" si="61"/>
        <v>Inactive</v>
      </c>
      <c r="N1296">
        <v>0</v>
      </c>
      <c r="O1296">
        <v>8</v>
      </c>
      <c r="P1296">
        <v>15</v>
      </c>
      <c r="Q1296">
        <v>27</v>
      </c>
      <c r="R1296">
        <v>0</v>
      </c>
      <c r="S1296">
        <v>20</v>
      </c>
      <c r="T1296">
        <v>33</v>
      </c>
      <c r="U1296">
        <v>103</v>
      </c>
      <c r="V1296">
        <v>2</v>
      </c>
      <c r="W1296">
        <v>3</v>
      </c>
      <c r="X1296">
        <v>1</v>
      </c>
      <c r="Y1296">
        <v>2</v>
      </c>
      <c r="Z1296">
        <v>6</v>
      </c>
      <c r="AA1296">
        <v>8</v>
      </c>
      <c r="AB1296" t="str">
        <f t="shared" si="62"/>
        <v>Below average customer</v>
      </c>
    </row>
    <row r="1297" spans="1:28" x14ac:dyDescent="0.35">
      <c r="A1297">
        <v>7712</v>
      </c>
      <c r="B1297">
        <v>1946</v>
      </c>
      <c r="C1297" t="s">
        <v>36</v>
      </c>
      <c r="D1297" t="s">
        <v>32</v>
      </c>
      <c r="E1297" t="s">
        <v>27</v>
      </c>
      <c r="F1297">
        <v>62159</v>
      </c>
      <c r="G1297" t="str">
        <f t="shared" si="60"/>
        <v>Mid-high</v>
      </c>
      <c r="H1297">
        <v>0</v>
      </c>
      <c r="I1297">
        <v>0</v>
      </c>
      <c r="J1297">
        <v>0</v>
      </c>
      <c r="K1297" s="1">
        <v>41757</v>
      </c>
      <c r="L1297">
        <v>68</v>
      </c>
      <c r="M1297" t="str">
        <f t="shared" si="61"/>
        <v>Inactive</v>
      </c>
      <c r="N1297">
        <v>0</v>
      </c>
      <c r="O1297">
        <v>182</v>
      </c>
      <c r="P1297">
        <v>17</v>
      </c>
      <c r="Q1297">
        <v>259</v>
      </c>
      <c r="R1297">
        <v>77</v>
      </c>
      <c r="S1297">
        <v>70</v>
      </c>
      <c r="T1297">
        <v>29</v>
      </c>
      <c r="U1297">
        <v>634</v>
      </c>
      <c r="V1297">
        <v>1</v>
      </c>
      <c r="W1297">
        <v>6</v>
      </c>
      <c r="X1297">
        <v>2</v>
      </c>
      <c r="Y1297">
        <v>10</v>
      </c>
      <c r="Z1297">
        <v>18</v>
      </c>
      <c r="AA1297">
        <v>4</v>
      </c>
      <c r="AB1297" t="str">
        <f t="shared" si="62"/>
        <v>Below average customer</v>
      </c>
    </row>
    <row r="1298" spans="1:28" x14ac:dyDescent="0.35">
      <c r="A1298">
        <v>1065</v>
      </c>
      <c r="B1298">
        <v>1963</v>
      </c>
      <c r="C1298" t="s">
        <v>28</v>
      </c>
      <c r="D1298" t="s">
        <v>26</v>
      </c>
      <c r="E1298" t="s">
        <v>27</v>
      </c>
      <c r="F1298">
        <v>80695</v>
      </c>
      <c r="G1298" t="str">
        <f t="shared" si="60"/>
        <v>High</v>
      </c>
      <c r="H1298">
        <v>0</v>
      </c>
      <c r="I1298">
        <v>0</v>
      </c>
      <c r="J1298">
        <v>0</v>
      </c>
      <c r="K1298" s="1">
        <v>41637</v>
      </c>
      <c r="L1298">
        <v>85</v>
      </c>
      <c r="M1298" t="str">
        <f t="shared" si="61"/>
        <v>Inactive</v>
      </c>
      <c r="N1298">
        <v>0</v>
      </c>
      <c r="O1298">
        <v>557</v>
      </c>
      <c r="P1298">
        <v>129</v>
      </c>
      <c r="Q1298">
        <v>984</v>
      </c>
      <c r="R1298">
        <v>193</v>
      </c>
      <c r="S1298">
        <v>37</v>
      </c>
      <c r="T1298">
        <v>18</v>
      </c>
      <c r="U1298">
        <v>1918</v>
      </c>
      <c r="V1298">
        <v>1</v>
      </c>
      <c r="W1298">
        <v>5</v>
      </c>
      <c r="X1298">
        <v>8</v>
      </c>
      <c r="Y1298">
        <v>5</v>
      </c>
      <c r="Z1298">
        <v>18</v>
      </c>
      <c r="AA1298">
        <v>2</v>
      </c>
      <c r="AB1298" t="str">
        <f t="shared" si="62"/>
        <v>Below average customer</v>
      </c>
    </row>
    <row r="1299" spans="1:28" x14ac:dyDescent="0.35">
      <c r="A1299">
        <v>7275</v>
      </c>
      <c r="B1299">
        <v>1971</v>
      </c>
      <c r="C1299" t="s">
        <v>28</v>
      </c>
      <c r="D1299" t="s">
        <v>34</v>
      </c>
      <c r="E1299" t="s">
        <v>27</v>
      </c>
      <c r="F1299">
        <v>33316</v>
      </c>
      <c r="G1299" t="str">
        <f t="shared" si="60"/>
        <v>Low</v>
      </c>
      <c r="H1299">
        <v>1</v>
      </c>
      <c r="I1299">
        <v>1</v>
      </c>
      <c r="J1299">
        <v>2</v>
      </c>
      <c r="K1299" s="1">
        <v>41551</v>
      </c>
      <c r="L1299">
        <v>34</v>
      </c>
      <c r="M1299" t="str">
        <f t="shared" si="61"/>
        <v>Active</v>
      </c>
      <c r="N1299">
        <v>0</v>
      </c>
      <c r="O1299">
        <v>79</v>
      </c>
      <c r="P1299">
        <v>1</v>
      </c>
      <c r="Q1299">
        <v>31</v>
      </c>
      <c r="R1299">
        <v>4</v>
      </c>
      <c r="S1299">
        <v>4</v>
      </c>
      <c r="T1299">
        <v>12</v>
      </c>
      <c r="U1299">
        <v>131</v>
      </c>
      <c r="V1299">
        <v>3</v>
      </c>
      <c r="W1299">
        <v>2</v>
      </c>
      <c r="X1299">
        <v>1</v>
      </c>
      <c r="Y1299">
        <v>4</v>
      </c>
      <c r="Z1299">
        <v>7</v>
      </c>
      <c r="AA1299">
        <v>6</v>
      </c>
      <c r="AB1299" t="str">
        <f t="shared" si="62"/>
        <v>Below average customer</v>
      </c>
    </row>
    <row r="1300" spans="1:28" x14ac:dyDescent="0.35">
      <c r="A1300">
        <v>1343</v>
      </c>
      <c r="B1300">
        <v>1968</v>
      </c>
      <c r="C1300" t="s">
        <v>28</v>
      </c>
      <c r="D1300" t="s">
        <v>26</v>
      </c>
      <c r="E1300" t="s">
        <v>29</v>
      </c>
      <c r="F1300">
        <v>58554</v>
      </c>
      <c r="G1300" t="str">
        <f t="shared" si="60"/>
        <v>Mid-high</v>
      </c>
      <c r="H1300">
        <v>1</v>
      </c>
      <c r="I1300">
        <v>1</v>
      </c>
      <c r="J1300">
        <v>2</v>
      </c>
      <c r="K1300" s="1">
        <v>41178</v>
      </c>
      <c r="L1300">
        <v>55</v>
      </c>
      <c r="M1300" t="str">
        <f t="shared" si="61"/>
        <v>Inactive</v>
      </c>
      <c r="N1300">
        <v>0</v>
      </c>
      <c r="O1300">
        <v>368</v>
      </c>
      <c r="P1300">
        <v>24</v>
      </c>
      <c r="Q1300">
        <v>68</v>
      </c>
      <c r="R1300">
        <v>38</v>
      </c>
      <c r="S1300">
        <v>0</v>
      </c>
      <c r="T1300">
        <v>88</v>
      </c>
      <c r="U1300">
        <v>586</v>
      </c>
      <c r="V1300">
        <v>6</v>
      </c>
      <c r="W1300">
        <v>8</v>
      </c>
      <c r="X1300">
        <v>2</v>
      </c>
      <c r="Y1300">
        <v>6</v>
      </c>
      <c r="Z1300">
        <v>16</v>
      </c>
      <c r="AA1300">
        <v>7</v>
      </c>
      <c r="AB1300" t="str">
        <f t="shared" si="62"/>
        <v>Below average customer</v>
      </c>
    </row>
    <row r="1301" spans="1:28" x14ac:dyDescent="0.35">
      <c r="A1301">
        <v>1384</v>
      </c>
      <c r="B1301">
        <v>1992</v>
      </c>
      <c r="C1301" t="s">
        <v>30</v>
      </c>
      <c r="D1301" t="s">
        <v>37</v>
      </c>
      <c r="E1301" t="s">
        <v>33</v>
      </c>
      <c r="F1301">
        <v>17256</v>
      </c>
      <c r="G1301" t="str">
        <f t="shared" si="60"/>
        <v>Low</v>
      </c>
      <c r="H1301">
        <v>1</v>
      </c>
      <c r="I1301">
        <v>0</v>
      </c>
      <c r="J1301">
        <v>1</v>
      </c>
      <c r="K1301" s="1">
        <v>41601</v>
      </c>
      <c r="L1301">
        <v>10</v>
      </c>
      <c r="M1301" t="str">
        <f t="shared" si="61"/>
        <v>Active</v>
      </c>
      <c r="N1301">
        <v>0</v>
      </c>
      <c r="O1301">
        <v>6</v>
      </c>
      <c r="P1301">
        <v>4</v>
      </c>
      <c r="Q1301">
        <v>14</v>
      </c>
      <c r="R1301">
        <v>8</v>
      </c>
      <c r="S1301">
        <v>8</v>
      </c>
      <c r="T1301">
        <v>22</v>
      </c>
      <c r="U1301">
        <v>62</v>
      </c>
      <c r="V1301">
        <v>2</v>
      </c>
      <c r="W1301">
        <v>2</v>
      </c>
      <c r="X1301">
        <v>1</v>
      </c>
      <c r="Y1301">
        <v>2</v>
      </c>
      <c r="Z1301">
        <v>5</v>
      </c>
      <c r="AA1301">
        <v>8</v>
      </c>
      <c r="AB1301" t="str">
        <f t="shared" si="62"/>
        <v>Below average customer</v>
      </c>
    </row>
    <row r="1302" spans="1:28" x14ac:dyDescent="0.35">
      <c r="A1302">
        <v>9967</v>
      </c>
      <c r="B1302">
        <v>1974</v>
      </c>
      <c r="C1302" t="s">
        <v>31</v>
      </c>
      <c r="D1302" t="s">
        <v>26</v>
      </c>
      <c r="E1302" t="s">
        <v>35</v>
      </c>
      <c r="F1302">
        <v>53034</v>
      </c>
      <c r="G1302" t="str">
        <f t="shared" si="60"/>
        <v>Mid-high</v>
      </c>
      <c r="H1302">
        <v>1</v>
      </c>
      <c r="I1302">
        <v>1</v>
      </c>
      <c r="J1302">
        <v>2</v>
      </c>
      <c r="K1302" s="1">
        <v>41424</v>
      </c>
      <c r="L1302">
        <v>30</v>
      </c>
      <c r="M1302" t="str">
        <f t="shared" si="61"/>
        <v>Active</v>
      </c>
      <c r="N1302">
        <v>0</v>
      </c>
      <c r="O1302">
        <v>160</v>
      </c>
      <c r="P1302">
        <v>15</v>
      </c>
      <c r="Q1302">
        <v>196</v>
      </c>
      <c r="R1302">
        <v>15</v>
      </c>
      <c r="S1302">
        <v>11</v>
      </c>
      <c r="T1302">
        <v>50</v>
      </c>
      <c r="U1302">
        <v>447</v>
      </c>
      <c r="V1302">
        <v>8</v>
      </c>
      <c r="W1302">
        <v>6</v>
      </c>
      <c r="X1302">
        <v>1</v>
      </c>
      <c r="Y1302">
        <v>7</v>
      </c>
      <c r="Z1302">
        <v>14</v>
      </c>
      <c r="AA1302">
        <v>8</v>
      </c>
      <c r="AB1302" t="str">
        <f t="shared" si="62"/>
        <v>Below average customer</v>
      </c>
    </row>
    <row r="1303" spans="1:28" x14ac:dyDescent="0.35">
      <c r="A1303">
        <v>6181</v>
      </c>
      <c r="B1303">
        <v>1950</v>
      </c>
      <c r="C1303" t="s">
        <v>36</v>
      </c>
      <c r="D1303" t="s">
        <v>34</v>
      </c>
      <c r="E1303" t="s">
        <v>29</v>
      </c>
      <c r="F1303">
        <v>52203</v>
      </c>
      <c r="G1303" t="str">
        <f t="shared" si="60"/>
        <v>Mid-high</v>
      </c>
      <c r="H1303">
        <v>0</v>
      </c>
      <c r="I1303">
        <v>0</v>
      </c>
      <c r="J1303">
        <v>0</v>
      </c>
      <c r="K1303" s="1">
        <v>41121</v>
      </c>
      <c r="L1303">
        <v>36</v>
      </c>
      <c r="M1303" t="str">
        <f t="shared" si="61"/>
        <v>Active</v>
      </c>
      <c r="N1303">
        <v>0</v>
      </c>
      <c r="O1303">
        <v>488</v>
      </c>
      <c r="P1303">
        <v>21</v>
      </c>
      <c r="Q1303">
        <v>238</v>
      </c>
      <c r="R1303">
        <v>56</v>
      </c>
      <c r="S1303">
        <v>108</v>
      </c>
      <c r="T1303">
        <v>28</v>
      </c>
      <c r="U1303">
        <v>939</v>
      </c>
      <c r="V1303">
        <v>1</v>
      </c>
      <c r="W1303">
        <v>8</v>
      </c>
      <c r="X1303">
        <v>7</v>
      </c>
      <c r="Y1303">
        <v>11</v>
      </c>
      <c r="Z1303">
        <v>26</v>
      </c>
      <c r="AA1303">
        <v>6</v>
      </c>
      <c r="AB1303" t="str">
        <f t="shared" si="62"/>
        <v>Below average customer</v>
      </c>
    </row>
    <row r="1304" spans="1:28" x14ac:dyDescent="0.35">
      <c r="A1304">
        <v>10507</v>
      </c>
      <c r="B1304">
        <v>1977</v>
      </c>
      <c r="C1304" t="s">
        <v>31</v>
      </c>
      <c r="D1304" t="s">
        <v>34</v>
      </c>
      <c r="E1304" t="s">
        <v>35</v>
      </c>
      <c r="F1304">
        <v>59601</v>
      </c>
      <c r="G1304" t="str">
        <f t="shared" si="60"/>
        <v>Mid-high</v>
      </c>
      <c r="H1304">
        <v>0</v>
      </c>
      <c r="I1304">
        <v>1</v>
      </c>
      <c r="J1304">
        <v>1</v>
      </c>
      <c r="K1304" s="1">
        <v>41480</v>
      </c>
      <c r="L1304">
        <v>14</v>
      </c>
      <c r="M1304" t="str">
        <f t="shared" si="61"/>
        <v>Active</v>
      </c>
      <c r="N1304">
        <v>0</v>
      </c>
      <c r="O1304">
        <v>691</v>
      </c>
      <c r="P1304">
        <v>7</v>
      </c>
      <c r="Q1304">
        <v>69</v>
      </c>
      <c r="R1304">
        <v>0</v>
      </c>
      <c r="S1304">
        <v>7</v>
      </c>
      <c r="T1304">
        <v>23</v>
      </c>
      <c r="U1304">
        <v>797</v>
      </c>
      <c r="V1304">
        <v>4</v>
      </c>
      <c r="W1304">
        <v>2</v>
      </c>
      <c r="X1304">
        <v>2</v>
      </c>
      <c r="Y1304">
        <v>7</v>
      </c>
      <c r="Z1304">
        <v>11</v>
      </c>
      <c r="AA1304">
        <v>8</v>
      </c>
      <c r="AB1304" t="str">
        <f t="shared" si="62"/>
        <v>Below average customer</v>
      </c>
    </row>
    <row r="1305" spans="1:28" x14ac:dyDescent="0.35">
      <c r="A1305">
        <v>2674</v>
      </c>
      <c r="B1305">
        <v>1958</v>
      </c>
      <c r="C1305" t="s">
        <v>25</v>
      </c>
      <c r="D1305" t="s">
        <v>34</v>
      </c>
      <c r="E1305" t="s">
        <v>27</v>
      </c>
      <c r="F1305">
        <v>75154</v>
      </c>
      <c r="G1305" t="str">
        <f t="shared" si="60"/>
        <v>High</v>
      </c>
      <c r="H1305">
        <v>0</v>
      </c>
      <c r="I1305">
        <v>1</v>
      </c>
      <c r="J1305">
        <v>1</v>
      </c>
      <c r="K1305" s="1">
        <v>41156</v>
      </c>
      <c r="L1305">
        <v>79</v>
      </c>
      <c r="M1305" t="str">
        <f t="shared" si="61"/>
        <v>Inactive</v>
      </c>
      <c r="N1305">
        <v>0</v>
      </c>
      <c r="O1305">
        <v>543</v>
      </c>
      <c r="P1305">
        <v>10</v>
      </c>
      <c r="Q1305">
        <v>205</v>
      </c>
      <c r="R1305">
        <v>160</v>
      </c>
      <c r="S1305">
        <v>143</v>
      </c>
      <c r="T1305">
        <v>82</v>
      </c>
      <c r="U1305">
        <v>1143</v>
      </c>
      <c r="V1305">
        <v>1</v>
      </c>
      <c r="W1305">
        <v>6</v>
      </c>
      <c r="X1305">
        <v>3</v>
      </c>
      <c r="Y1305">
        <v>6</v>
      </c>
      <c r="Z1305">
        <v>15</v>
      </c>
      <c r="AA1305">
        <v>3</v>
      </c>
      <c r="AB1305" t="str">
        <f t="shared" si="62"/>
        <v>Below average customer</v>
      </c>
    </row>
    <row r="1306" spans="1:28" x14ac:dyDescent="0.35">
      <c r="A1306">
        <v>2698</v>
      </c>
      <c r="B1306">
        <v>1976</v>
      </c>
      <c r="C1306" t="s">
        <v>31</v>
      </c>
      <c r="D1306" t="s">
        <v>26</v>
      </c>
      <c r="E1306" t="s">
        <v>27</v>
      </c>
      <c r="F1306">
        <v>47025</v>
      </c>
      <c r="G1306" t="str">
        <f t="shared" si="60"/>
        <v>Mid-low</v>
      </c>
      <c r="H1306">
        <v>0</v>
      </c>
      <c r="I1306">
        <v>1</v>
      </c>
      <c r="J1306">
        <v>1</v>
      </c>
      <c r="K1306" s="1">
        <v>41585</v>
      </c>
      <c r="L1306">
        <v>52</v>
      </c>
      <c r="M1306" t="str">
        <f t="shared" si="61"/>
        <v>Inactive</v>
      </c>
      <c r="N1306">
        <v>0</v>
      </c>
      <c r="O1306">
        <v>254</v>
      </c>
      <c r="P1306">
        <v>7</v>
      </c>
      <c r="Q1306">
        <v>108</v>
      </c>
      <c r="R1306">
        <v>20</v>
      </c>
      <c r="S1306">
        <v>0</v>
      </c>
      <c r="T1306">
        <v>26</v>
      </c>
      <c r="U1306">
        <v>415</v>
      </c>
      <c r="V1306">
        <v>3</v>
      </c>
      <c r="W1306">
        <v>6</v>
      </c>
      <c r="X1306">
        <v>3</v>
      </c>
      <c r="Y1306">
        <v>5</v>
      </c>
      <c r="Z1306">
        <v>14</v>
      </c>
      <c r="AA1306">
        <v>6</v>
      </c>
      <c r="AB1306" t="str">
        <f t="shared" si="62"/>
        <v>Below average customer</v>
      </c>
    </row>
    <row r="1307" spans="1:28" x14ac:dyDescent="0.35">
      <c r="A1307">
        <v>3231</v>
      </c>
      <c r="B1307">
        <v>1973</v>
      </c>
      <c r="C1307" t="s">
        <v>31</v>
      </c>
      <c r="D1307" t="s">
        <v>26</v>
      </c>
      <c r="E1307" t="s">
        <v>33</v>
      </c>
      <c r="F1307">
        <v>37971</v>
      </c>
      <c r="G1307" t="str">
        <f t="shared" si="60"/>
        <v>Mid-low</v>
      </c>
      <c r="H1307">
        <v>1</v>
      </c>
      <c r="I1307">
        <v>0</v>
      </c>
      <c r="J1307">
        <v>1</v>
      </c>
      <c r="K1307" s="1">
        <v>41603</v>
      </c>
      <c r="L1307">
        <v>97</v>
      </c>
      <c r="M1307" t="str">
        <f t="shared" si="61"/>
        <v>Inactive</v>
      </c>
      <c r="N1307">
        <v>0</v>
      </c>
      <c r="O1307">
        <v>5</v>
      </c>
      <c r="P1307">
        <v>4</v>
      </c>
      <c r="Q1307">
        <v>10</v>
      </c>
      <c r="R1307">
        <v>2</v>
      </c>
      <c r="S1307">
        <v>2</v>
      </c>
      <c r="T1307">
        <v>7</v>
      </c>
      <c r="U1307">
        <v>30</v>
      </c>
      <c r="V1307">
        <v>1</v>
      </c>
      <c r="W1307">
        <v>1</v>
      </c>
      <c r="X1307">
        <v>0</v>
      </c>
      <c r="Y1307">
        <v>3</v>
      </c>
      <c r="Z1307">
        <v>4</v>
      </c>
      <c r="AA1307">
        <v>8</v>
      </c>
      <c r="AB1307" t="str">
        <f t="shared" si="62"/>
        <v>Below average customer</v>
      </c>
    </row>
    <row r="1308" spans="1:28" x14ac:dyDescent="0.35">
      <c r="A1308">
        <v>10476</v>
      </c>
      <c r="B1308">
        <v>1958</v>
      </c>
      <c r="C1308" t="s">
        <v>25</v>
      </c>
      <c r="D1308" t="s">
        <v>26</v>
      </c>
      <c r="E1308" t="s">
        <v>33</v>
      </c>
      <c r="F1308">
        <v>67267</v>
      </c>
      <c r="G1308" t="str">
        <f t="shared" si="60"/>
        <v>Mid-high</v>
      </c>
      <c r="H1308">
        <v>0</v>
      </c>
      <c r="I1308">
        <v>1</v>
      </c>
      <c r="J1308">
        <v>1</v>
      </c>
      <c r="K1308" s="1">
        <v>41772</v>
      </c>
      <c r="L1308">
        <v>0</v>
      </c>
      <c r="M1308" t="str">
        <f t="shared" si="61"/>
        <v>Active</v>
      </c>
      <c r="N1308">
        <v>0</v>
      </c>
      <c r="O1308">
        <v>134</v>
      </c>
      <c r="P1308">
        <v>11</v>
      </c>
      <c r="Q1308">
        <v>59</v>
      </c>
      <c r="R1308">
        <v>15</v>
      </c>
      <c r="S1308">
        <v>2</v>
      </c>
      <c r="T1308">
        <v>30</v>
      </c>
      <c r="U1308">
        <v>251</v>
      </c>
      <c r="V1308">
        <v>1</v>
      </c>
      <c r="W1308">
        <v>3</v>
      </c>
      <c r="X1308">
        <v>2</v>
      </c>
      <c r="Y1308">
        <v>5</v>
      </c>
      <c r="Z1308">
        <v>10</v>
      </c>
      <c r="AA1308">
        <v>2</v>
      </c>
      <c r="AB1308" t="str">
        <f t="shared" si="62"/>
        <v>Below average customer</v>
      </c>
    </row>
    <row r="1309" spans="1:28" x14ac:dyDescent="0.35">
      <c r="A1309">
        <v>5948</v>
      </c>
      <c r="B1309">
        <v>1975</v>
      </c>
      <c r="C1309" t="s">
        <v>31</v>
      </c>
      <c r="D1309" t="s">
        <v>26</v>
      </c>
      <c r="E1309" t="s">
        <v>27</v>
      </c>
      <c r="F1309">
        <v>57338</v>
      </c>
      <c r="G1309" t="str">
        <f t="shared" si="60"/>
        <v>Mid-high</v>
      </c>
      <c r="H1309">
        <v>0</v>
      </c>
      <c r="I1309">
        <v>1</v>
      </c>
      <c r="J1309">
        <v>1</v>
      </c>
      <c r="K1309" s="1">
        <v>41758</v>
      </c>
      <c r="L1309">
        <v>96</v>
      </c>
      <c r="M1309" t="str">
        <f t="shared" si="61"/>
        <v>Inactive</v>
      </c>
      <c r="N1309">
        <v>0</v>
      </c>
      <c r="O1309">
        <v>143</v>
      </c>
      <c r="P1309">
        <v>6</v>
      </c>
      <c r="Q1309">
        <v>52</v>
      </c>
      <c r="R1309">
        <v>11</v>
      </c>
      <c r="S1309">
        <v>8</v>
      </c>
      <c r="T1309">
        <v>17</v>
      </c>
      <c r="U1309">
        <v>237</v>
      </c>
      <c r="V1309">
        <v>2</v>
      </c>
      <c r="W1309">
        <v>4</v>
      </c>
      <c r="X1309">
        <v>1</v>
      </c>
      <c r="Y1309">
        <v>5</v>
      </c>
      <c r="Z1309">
        <v>10</v>
      </c>
      <c r="AA1309">
        <v>5</v>
      </c>
      <c r="AB1309" t="str">
        <f t="shared" si="62"/>
        <v>Below average customer</v>
      </c>
    </row>
    <row r="1310" spans="1:28" x14ac:dyDescent="0.35">
      <c r="A1310">
        <v>9140</v>
      </c>
      <c r="B1310">
        <v>1960</v>
      </c>
      <c r="C1310" t="s">
        <v>25</v>
      </c>
      <c r="D1310" t="s">
        <v>34</v>
      </c>
      <c r="E1310" t="s">
        <v>29</v>
      </c>
      <c r="F1310">
        <v>50523</v>
      </c>
      <c r="G1310" t="str">
        <f t="shared" si="60"/>
        <v>Mid-low</v>
      </c>
      <c r="H1310">
        <v>1</v>
      </c>
      <c r="I1310">
        <v>1</v>
      </c>
      <c r="J1310">
        <v>2</v>
      </c>
      <c r="K1310" s="1">
        <v>41633</v>
      </c>
      <c r="L1310">
        <v>89</v>
      </c>
      <c r="M1310" t="str">
        <f t="shared" si="61"/>
        <v>Inactive</v>
      </c>
      <c r="N1310">
        <v>0</v>
      </c>
      <c r="O1310">
        <v>51</v>
      </c>
      <c r="P1310">
        <v>4</v>
      </c>
      <c r="Q1310">
        <v>24</v>
      </c>
      <c r="R1310">
        <v>4</v>
      </c>
      <c r="S1310">
        <v>7</v>
      </c>
      <c r="T1310">
        <v>1</v>
      </c>
      <c r="U1310">
        <v>91</v>
      </c>
      <c r="V1310">
        <v>2</v>
      </c>
      <c r="W1310">
        <v>2</v>
      </c>
      <c r="X1310">
        <v>0</v>
      </c>
      <c r="Y1310">
        <v>4</v>
      </c>
      <c r="Z1310">
        <v>6</v>
      </c>
      <c r="AA1310">
        <v>6</v>
      </c>
      <c r="AB1310" t="str">
        <f t="shared" si="62"/>
        <v>Below average customer</v>
      </c>
    </row>
    <row r="1311" spans="1:28" x14ac:dyDescent="0.35">
      <c r="A1311">
        <v>5675</v>
      </c>
      <c r="B1311">
        <v>1960</v>
      </c>
      <c r="C1311" t="s">
        <v>25</v>
      </c>
      <c r="D1311" t="s">
        <v>32</v>
      </c>
      <c r="E1311" t="s">
        <v>35</v>
      </c>
      <c r="F1311">
        <v>50611</v>
      </c>
      <c r="G1311" t="str">
        <f t="shared" si="60"/>
        <v>Mid-low</v>
      </c>
      <c r="H1311">
        <v>0</v>
      </c>
      <c r="I1311">
        <v>1</v>
      </c>
      <c r="J1311">
        <v>1</v>
      </c>
      <c r="K1311" s="1">
        <v>41186</v>
      </c>
      <c r="L1311">
        <v>98</v>
      </c>
      <c r="M1311" t="str">
        <f t="shared" si="61"/>
        <v>Inactive</v>
      </c>
      <c r="N1311">
        <v>0</v>
      </c>
      <c r="O1311">
        <v>459</v>
      </c>
      <c r="P1311">
        <v>0</v>
      </c>
      <c r="Q1311">
        <v>24</v>
      </c>
      <c r="R1311">
        <v>6</v>
      </c>
      <c r="S1311">
        <v>0</v>
      </c>
      <c r="T1311">
        <v>4</v>
      </c>
      <c r="U1311">
        <v>493</v>
      </c>
      <c r="V1311">
        <v>6</v>
      </c>
      <c r="W1311">
        <v>4</v>
      </c>
      <c r="X1311">
        <v>5</v>
      </c>
      <c r="Y1311">
        <v>7</v>
      </c>
      <c r="Z1311">
        <v>16</v>
      </c>
      <c r="AA1311">
        <v>6</v>
      </c>
      <c r="AB1311" t="str">
        <f t="shared" si="62"/>
        <v>Below average customer</v>
      </c>
    </row>
    <row r="1312" spans="1:28" x14ac:dyDescent="0.35">
      <c r="A1312">
        <v>4743</v>
      </c>
      <c r="B1312">
        <v>1969</v>
      </c>
      <c r="C1312" t="s">
        <v>28</v>
      </c>
      <c r="D1312" t="s">
        <v>32</v>
      </c>
      <c r="E1312" t="s">
        <v>33</v>
      </c>
      <c r="F1312">
        <v>56242</v>
      </c>
      <c r="G1312" t="str">
        <f t="shared" si="60"/>
        <v>Mid-high</v>
      </c>
      <c r="H1312">
        <v>0</v>
      </c>
      <c r="I1312">
        <v>1</v>
      </c>
      <c r="J1312">
        <v>1</v>
      </c>
      <c r="K1312" s="1">
        <v>41336</v>
      </c>
      <c r="L1312">
        <v>72</v>
      </c>
      <c r="M1312" t="str">
        <f t="shared" si="61"/>
        <v>Inactive</v>
      </c>
      <c r="N1312">
        <v>0</v>
      </c>
      <c r="O1312">
        <v>689</v>
      </c>
      <c r="P1312">
        <v>8</v>
      </c>
      <c r="Q1312">
        <v>167</v>
      </c>
      <c r="R1312">
        <v>11</v>
      </c>
      <c r="S1312">
        <v>8</v>
      </c>
      <c r="T1312">
        <v>88</v>
      </c>
      <c r="U1312">
        <v>971</v>
      </c>
      <c r="V1312">
        <v>5</v>
      </c>
      <c r="W1312">
        <v>8</v>
      </c>
      <c r="X1312">
        <v>4</v>
      </c>
      <c r="Y1312">
        <v>11</v>
      </c>
      <c r="Z1312">
        <v>23</v>
      </c>
      <c r="AA1312">
        <v>6</v>
      </c>
      <c r="AB1312" t="str">
        <f t="shared" si="62"/>
        <v>Below average customer</v>
      </c>
    </row>
    <row r="1313" spans="1:28" x14ac:dyDescent="0.35">
      <c r="A1313">
        <v>8805</v>
      </c>
      <c r="B1313">
        <v>1960</v>
      </c>
      <c r="C1313" t="s">
        <v>25</v>
      </c>
      <c r="D1313" t="s">
        <v>26</v>
      </c>
      <c r="E1313" t="s">
        <v>27</v>
      </c>
      <c r="F1313">
        <v>48904</v>
      </c>
      <c r="G1313" t="str">
        <f t="shared" si="60"/>
        <v>Mid-low</v>
      </c>
      <c r="H1313">
        <v>0</v>
      </c>
      <c r="I1313">
        <v>1</v>
      </c>
      <c r="J1313">
        <v>1</v>
      </c>
      <c r="K1313" s="1">
        <v>41245</v>
      </c>
      <c r="L1313">
        <v>1</v>
      </c>
      <c r="M1313" t="str">
        <f t="shared" si="61"/>
        <v>Active</v>
      </c>
      <c r="N1313">
        <v>0</v>
      </c>
      <c r="O1313">
        <v>283</v>
      </c>
      <c r="P1313">
        <v>10</v>
      </c>
      <c r="Q1313">
        <v>38</v>
      </c>
      <c r="R1313">
        <v>0</v>
      </c>
      <c r="S1313">
        <v>13</v>
      </c>
      <c r="T1313">
        <v>27</v>
      </c>
      <c r="U1313">
        <v>371</v>
      </c>
      <c r="V1313">
        <v>4</v>
      </c>
      <c r="W1313">
        <v>7</v>
      </c>
      <c r="X1313">
        <v>2</v>
      </c>
      <c r="Y1313">
        <v>4</v>
      </c>
      <c r="Z1313">
        <v>13</v>
      </c>
      <c r="AA1313">
        <v>8</v>
      </c>
      <c r="AB1313" t="str">
        <f t="shared" si="62"/>
        <v>Below average customer</v>
      </c>
    </row>
    <row r="1314" spans="1:28" x14ac:dyDescent="0.35">
      <c r="A1314">
        <v>1542</v>
      </c>
      <c r="B1314">
        <v>1975</v>
      </c>
      <c r="C1314" t="s">
        <v>31</v>
      </c>
      <c r="D1314" t="s">
        <v>26</v>
      </c>
      <c r="E1314" t="s">
        <v>27</v>
      </c>
      <c r="F1314">
        <v>56243</v>
      </c>
      <c r="G1314" t="str">
        <f t="shared" si="60"/>
        <v>Mid-high</v>
      </c>
      <c r="H1314">
        <v>1</v>
      </c>
      <c r="I1314">
        <v>2</v>
      </c>
      <c r="J1314">
        <v>3</v>
      </c>
      <c r="K1314" s="1">
        <v>41638</v>
      </c>
      <c r="L1314">
        <v>26</v>
      </c>
      <c r="M1314" t="str">
        <f t="shared" si="61"/>
        <v>Active</v>
      </c>
      <c r="N1314">
        <v>0</v>
      </c>
      <c r="O1314">
        <v>347</v>
      </c>
      <c r="P1314">
        <v>0</v>
      </c>
      <c r="Q1314">
        <v>35</v>
      </c>
      <c r="R1314">
        <v>4</v>
      </c>
      <c r="S1314">
        <v>3</v>
      </c>
      <c r="T1314">
        <v>7</v>
      </c>
      <c r="U1314">
        <v>396</v>
      </c>
      <c r="V1314">
        <v>6</v>
      </c>
      <c r="W1314">
        <v>4</v>
      </c>
      <c r="X1314">
        <v>2</v>
      </c>
      <c r="Y1314">
        <v>8</v>
      </c>
      <c r="Z1314">
        <v>14</v>
      </c>
      <c r="AA1314">
        <v>5</v>
      </c>
      <c r="AB1314" t="str">
        <f t="shared" si="62"/>
        <v>Below average customer</v>
      </c>
    </row>
    <row r="1315" spans="1:28" x14ac:dyDescent="0.35">
      <c r="A1315">
        <v>6770</v>
      </c>
      <c r="B1315">
        <v>1985</v>
      </c>
      <c r="C1315" t="s">
        <v>30</v>
      </c>
      <c r="D1315" t="s">
        <v>26</v>
      </c>
      <c r="E1315" t="s">
        <v>33</v>
      </c>
      <c r="F1315">
        <v>21355</v>
      </c>
      <c r="G1315" t="str">
        <f t="shared" si="60"/>
        <v>Low</v>
      </c>
      <c r="H1315">
        <v>1</v>
      </c>
      <c r="I1315">
        <v>0</v>
      </c>
      <c r="J1315">
        <v>1</v>
      </c>
      <c r="K1315" s="1">
        <v>41506</v>
      </c>
      <c r="L1315">
        <v>5</v>
      </c>
      <c r="M1315" t="str">
        <f t="shared" si="61"/>
        <v>Active</v>
      </c>
      <c r="N1315">
        <v>0</v>
      </c>
      <c r="O1315">
        <v>5</v>
      </c>
      <c r="P1315">
        <v>13</v>
      </c>
      <c r="Q1315">
        <v>14</v>
      </c>
      <c r="R1315">
        <v>0</v>
      </c>
      <c r="S1315">
        <v>5</v>
      </c>
      <c r="T1315">
        <v>31</v>
      </c>
      <c r="U1315">
        <v>68</v>
      </c>
      <c r="V1315">
        <v>2</v>
      </c>
      <c r="W1315">
        <v>2</v>
      </c>
      <c r="X1315">
        <v>1</v>
      </c>
      <c r="Y1315">
        <v>2</v>
      </c>
      <c r="Z1315">
        <v>5</v>
      </c>
      <c r="AA1315">
        <v>6</v>
      </c>
      <c r="AB1315" t="str">
        <f t="shared" si="62"/>
        <v>Below average customer</v>
      </c>
    </row>
    <row r="1316" spans="1:28" x14ac:dyDescent="0.35">
      <c r="A1316">
        <v>8773</v>
      </c>
      <c r="B1316">
        <v>1971</v>
      </c>
      <c r="C1316" t="s">
        <v>28</v>
      </c>
      <c r="D1316" t="s">
        <v>34</v>
      </c>
      <c r="E1316" t="s">
        <v>29</v>
      </c>
      <c r="F1316">
        <v>57420</v>
      </c>
      <c r="G1316" t="str">
        <f t="shared" si="60"/>
        <v>Mid-high</v>
      </c>
      <c r="H1316">
        <v>0</v>
      </c>
      <c r="I1316">
        <v>1</v>
      </c>
      <c r="J1316">
        <v>1</v>
      </c>
      <c r="K1316" s="1">
        <v>41450</v>
      </c>
      <c r="L1316">
        <v>22</v>
      </c>
      <c r="M1316" t="str">
        <f t="shared" si="61"/>
        <v>Active</v>
      </c>
      <c r="N1316">
        <v>0</v>
      </c>
      <c r="O1316">
        <v>280</v>
      </c>
      <c r="P1316">
        <v>0</v>
      </c>
      <c r="Q1316">
        <v>18</v>
      </c>
      <c r="R1316">
        <v>0</v>
      </c>
      <c r="S1316">
        <v>0</v>
      </c>
      <c r="T1316">
        <v>24</v>
      </c>
      <c r="U1316">
        <v>322</v>
      </c>
      <c r="V1316">
        <v>3</v>
      </c>
      <c r="W1316">
        <v>5</v>
      </c>
      <c r="X1316">
        <v>1</v>
      </c>
      <c r="Y1316">
        <v>6</v>
      </c>
      <c r="Z1316">
        <v>12</v>
      </c>
      <c r="AA1316">
        <v>7</v>
      </c>
      <c r="AB1316" t="str">
        <f t="shared" si="62"/>
        <v>Below average customer</v>
      </c>
    </row>
    <row r="1317" spans="1:28" x14ac:dyDescent="0.35">
      <c r="A1317">
        <v>10475</v>
      </c>
      <c r="B1317">
        <v>1970</v>
      </c>
      <c r="C1317" t="s">
        <v>28</v>
      </c>
      <c r="D1317" t="s">
        <v>34</v>
      </c>
      <c r="E1317" t="s">
        <v>29</v>
      </c>
      <c r="G1317" t="str">
        <f t="shared" si="60"/>
        <v>Low</v>
      </c>
      <c r="H1317">
        <v>0</v>
      </c>
      <c r="I1317">
        <v>1</v>
      </c>
      <c r="J1317">
        <v>1</v>
      </c>
      <c r="K1317" s="1">
        <v>41365</v>
      </c>
      <c r="L1317">
        <v>39</v>
      </c>
      <c r="M1317" t="str">
        <f t="shared" si="61"/>
        <v>Active</v>
      </c>
      <c r="N1317">
        <v>0</v>
      </c>
      <c r="O1317">
        <v>187</v>
      </c>
      <c r="P1317">
        <v>5</v>
      </c>
      <c r="Q1317">
        <v>65</v>
      </c>
      <c r="R1317">
        <v>26</v>
      </c>
      <c r="S1317">
        <v>20</v>
      </c>
      <c r="T1317">
        <v>14</v>
      </c>
      <c r="U1317">
        <v>317</v>
      </c>
      <c r="V1317">
        <v>2</v>
      </c>
      <c r="W1317">
        <v>4</v>
      </c>
      <c r="X1317">
        <v>2</v>
      </c>
      <c r="Y1317">
        <v>6</v>
      </c>
      <c r="Z1317">
        <v>12</v>
      </c>
      <c r="AA1317">
        <v>5</v>
      </c>
      <c r="AB1317" t="str">
        <f t="shared" si="62"/>
        <v>Below average customer</v>
      </c>
    </row>
    <row r="1318" spans="1:28" x14ac:dyDescent="0.35">
      <c r="A1318">
        <v>10420</v>
      </c>
      <c r="B1318">
        <v>1955</v>
      </c>
      <c r="C1318" t="s">
        <v>25</v>
      </c>
      <c r="D1318" t="s">
        <v>34</v>
      </c>
      <c r="E1318" t="s">
        <v>35</v>
      </c>
      <c r="F1318">
        <v>46390</v>
      </c>
      <c r="G1318" t="str">
        <f t="shared" si="60"/>
        <v>Mid-low</v>
      </c>
      <c r="H1318">
        <v>0</v>
      </c>
      <c r="I1318">
        <v>1</v>
      </c>
      <c r="J1318">
        <v>1</v>
      </c>
      <c r="K1318" s="1">
        <v>41764</v>
      </c>
      <c r="L1318">
        <v>56</v>
      </c>
      <c r="M1318" t="str">
        <f t="shared" si="61"/>
        <v>Inactive</v>
      </c>
      <c r="N1318">
        <v>0</v>
      </c>
      <c r="O1318">
        <v>95</v>
      </c>
      <c r="P1318">
        <v>14</v>
      </c>
      <c r="Q1318">
        <v>64</v>
      </c>
      <c r="R1318">
        <v>2</v>
      </c>
      <c r="S1318">
        <v>9</v>
      </c>
      <c r="T1318">
        <v>38</v>
      </c>
      <c r="U1318">
        <v>222</v>
      </c>
      <c r="V1318">
        <v>1</v>
      </c>
      <c r="W1318">
        <v>4</v>
      </c>
      <c r="X1318">
        <v>2</v>
      </c>
      <c r="Y1318">
        <v>3</v>
      </c>
      <c r="Z1318">
        <v>9</v>
      </c>
      <c r="AA1318">
        <v>7</v>
      </c>
      <c r="AB1318" t="str">
        <f t="shared" si="62"/>
        <v>Below average customer</v>
      </c>
    </row>
    <row r="1319" spans="1:28" x14ac:dyDescent="0.35">
      <c r="A1319">
        <v>7514</v>
      </c>
      <c r="B1319">
        <v>1956</v>
      </c>
      <c r="C1319" t="s">
        <v>25</v>
      </c>
      <c r="D1319" t="s">
        <v>34</v>
      </c>
      <c r="E1319" t="s">
        <v>29</v>
      </c>
      <c r="F1319">
        <v>54342</v>
      </c>
      <c r="G1319" t="str">
        <f t="shared" si="60"/>
        <v>Mid-high</v>
      </c>
      <c r="H1319">
        <v>1</v>
      </c>
      <c r="I1319">
        <v>1</v>
      </c>
      <c r="J1319">
        <v>2</v>
      </c>
      <c r="K1319" s="1">
        <v>41458</v>
      </c>
      <c r="L1319">
        <v>74</v>
      </c>
      <c r="M1319" t="str">
        <f t="shared" si="61"/>
        <v>Inactive</v>
      </c>
      <c r="N1319">
        <v>0</v>
      </c>
      <c r="O1319">
        <v>84</v>
      </c>
      <c r="P1319">
        <v>10</v>
      </c>
      <c r="Q1319">
        <v>34</v>
      </c>
      <c r="R1319">
        <v>11</v>
      </c>
      <c r="S1319">
        <v>10</v>
      </c>
      <c r="T1319">
        <v>28</v>
      </c>
      <c r="U1319">
        <v>177</v>
      </c>
      <c r="V1319">
        <v>4</v>
      </c>
      <c r="W1319">
        <v>3</v>
      </c>
      <c r="X1319">
        <v>1</v>
      </c>
      <c r="Y1319">
        <v>4</v>
      </c>
      <c r="Z1319">
        <v>8</v>
      </c>
      <c r="AA1319">
        <v>6</v>
      </c>
      <c r="AB1319" t="str">
        <f t="shared" si="62"/>
        <v>Below average customer</v>
      </c>
    </row>
    <row r="1320" spans="1:28" x14ac:dyDescent="0.35">
      <c r="A1320">
        <v>2902</v>
      </c>
      <c r="B1320">
        <v>1958</v>
      </c>
      <c r="C1320" t="s">
        <v>25</v>
      </c>
      <c r="D1320" t="s">
        <v>26</v>
      </c>
      <c r="E1320" t="s">
        <v>29</v>
      </c>
      <c r="G1320" t="str">
        <f t="shared" si="60"/>
        <v>Low</v>
      </c>
      <c r="H1320">
        <v>1</v>
      </c>
      <c r="I1320">
        <v>1</v>
      </c>
      <c r="J1320">
        <v>2</v>
      </c>
      <c r="K1320" s="1">
        <v>41155</v>
      </c>
      <c r="L1320">
        <v>87</v>
      </c>
      <c r="M1320" t="str">
        <f t="shared" si="61"/>
        <v>Inactive</v>
      </c>
      <c r="N1320">
        <v>0</v>
      </c>
      <c r="O1320">
        <v>19</v>
      </c>
      <c r="P1320">
        <v>4</v>
      </c>
      <c r="Q1320">
        <v>12</v>
      </c>
      <c r="R1320">
        <v>2</v>
      </c>
      <c r="S1320">
        <v>2</v>
      </c>
      <c r="T1320">
        <v>6</v>
      </c>
      <c r="U1320">
        <v>45</v>
      </c>
      <c r="V1320">
        <v>1</v>
      </c>
      <c r="W1320">
        <v>1</v>
      </c>
      <c r="X1320">
        <v>0</v>
      </c>
      <c r="Y1320">
        <v>3</v>
      </c>
      <c r="Z1320">
        <v>4</v>
      </c>
      <c r="AA1320">
        <v>5</v>
      </c>
      <c r="AB1320" t="str">
        <f t="shared" si="62"/>
        <v>Below average customer</v>
      </c>
    </row>
    <row r="1321" spans="1:28" x14ac:dyDescent="0.35">
      <c r="A1321">
        <v>4345</v>
      </c>
      <c r="B1321">
        <v>1964</v>
      </c>
      <c r="C1321" t="s">
        <v>28</v>
      </c>
      <c r="D1321" t="s">
        <v>34</v>
      </c>
      <c r="E1321" t="s">
        <v>27</v>
      </c>
      <c r="G1321" t="str">
        <f t="shared" si="60"/>
        <v>Low</v>
      </c>
      <c r="H1321">
        <v>1</v>
      </c>
      <c r="I1321">
        <v>1</v>
      </c>
      <c r="J1321">
        <v>2</v>
      </c>
      <c r="K1321" s="1">
        <v>41651</v>
      </c>
      <c r="L1321">
        <v>49</v>
      </c>
      <c r="M1321" t="str">
        <f t="shared" si="61"/>
        <v>Inactive</v>
      </c>
      <c r="N1321">
        <v>0</v>
      </c>
      <c r="O1321">
        <v>5</v>
      </c>
      <c r="P1321">
        <v>1</v>
      </c>
      <c r="Q1321">
        <v>9</v>
      </c>
      <c r="R1321">
        <v>2</v>
      </c>
      <c r="S1321">
        <v>0</v>
      </c>
      <c r="T1321">
        <v>4</v>
      </c>
      <c r="U1321">
        <v>21</v>
      </c>
      <c r="V1321">
        <v>1</v>
      </c>
      <c r="W1321">
        <v>1</v>
      </c>
      <c r="X1321">
        <v>0</v>
      </c>
      <c r="Y1321">
        <v>2</v>
      </c>
      <c r="Z1321">
        <v>3</v>
      </c>
      <c r="AA1321">
        <v>7</v>
      </c>
      <c r="AB1321" t="str">
        <f t="shared" si="62"/>
        <v>Below average customer</v>
      </c>
    </row>
    <row r="1322" spans="1:28" x14ac:dyDescent="0.35">
      <c r="A1322">
        <v>793</v>
      </c>
      <c r="B1322">
        <v>1973</v>
      </c>
      <c r="C1322" t="s">
        <v>31</v>
      </c>
      <c r="D1322" t="s">
        <v>26</v>
      </c>
      <c r="E1322" t="s">
        <v>33</v>
      </c>
      <c r="F1322">
        <v>20895</v>
      </c>
      <c r="G1322" t="str">
        <f t="shared" si="60"/>
        <v>Low</v>
      </c>
      <c r="H1322">
        <v>1</v>
      </c>
      <c r="I1322">
        <v>0</v>
      </c>
      <c r="J1322">
        <v>1</v>
      </c>
      <c r="K1322" s="1">
        <v>41188</v>
      </c>
      <c r="L1322">
        <v>24</v>
      </c>
      <c r="M1322" t="str">
        <f t="shared" si="61"/>
        <v>Active</v>
      </c>
      <c r="N1322">
        <v>0</v>
      </c>
      <c r="O1322">
        <v>18</v>
      </c>
      <c r="P1322">
        <v>3</v>
      </c>
      <c r="Q1322">
        <v>17</v>
      </c>
      <c r="R1322">
        <v>3</v>
      </c>
      <c r="S1322">
        <v>0</v>
      </c>
      <c r="T1322">
        <v>4</v>
      </c>
      <c r="U1322">
        <v>45</v>
      </c>
      <c r="V1322">
        <v>1</v>
      </c>
      <c r="W1322">
        <v>2</v>
      </c>
      <c r="X1322">
        <v>0</v>
      </c>
      <c r="Y1322">
        <v>3</v>
      </c>
      <c r="Z1322">
        <v>5</v>
      </c>
      <c r="AA1322">
        <v>9</v>
      </c>
      <c r="AB1322" t="str">
        <f t="shared" si="62"/>
        <v>Below average customer</v>
      </c>
    </row>
    <row r="1323" spans="1:28" x14ac:dyDescent="0.35">
      <c r="A1323">
        <v>10909</v>
      </c>
      <c r="B1323">
        <v>1948</v>
      </c>
      <c r="C1323" t="s">
        <v>36</v>
      </c>
      <c r="D1323" t="s">
        <v>26</v>
      </c>
      <c r="E1323" t="s">
        <v>33</v>
      </c>
      <c r="F1323">
        <v>92344</v>
      </c>
      <c r="G1323" t="str">
        <f t="shared" si="60"/>
        <v>High</v>
      </c>
      <c r="H1323">
        <v>0</v>
      </c>
      <c r="I1323">
        <v>0</v>
      </c>
      <c r="J1323">
        <v>0</v>
      </c>
      <c r="K1323" s="1">
        <v>41654</v>
      </c>
      <c r="L1323">
        <v>9</v>
      </c>
      <c r="M1323" t="str">
        <f t="shared" si="61"/>
        <v>Active</v>
      </c>
      <c r="N1323">
        <v>0</v>
      </c>
      <c r="O1323">
        <v>992</v>
      </c>
      <c r="P1323">
        <v>24</v>
      </c>
      <c r="Q1323">
        <v>694</v>
      </c>
      <c r="R1323">
        <v>51</v>
      </c>
      <c r="S1323">
        <v>19</v>
      </c>
      <c r="T1323">
        <v>119</v>
      </c>
      <c r="U1323">
        <v>1899</v>
      </c>
      <c r="V1323">
        <v>0</v>
      </c>
      <c r="W1323">
        <v>5</v>
      </c>
      <c r="X1323">
        <v>10</v>
      </c>
      <c r="Y1323">
        <v>5</v>
      </c>
      <c r="Z1323">
        <v>20</v>
      </c>
      <c r="AA1323">
        <v>1</v>
      </c>
      <c r="AB1323" t="str">
        <f t="shared" si="62"/>
        <v>Above average customer</v>
      </c>
    </row>
    <row r="1324" spans="1:28" x14ac:dyDescent="0.35">
      <c r="A1324">
        <v>3769</v>
      </c>
      <c r="B1324">
        <v>1972</v>
      </c>
      <c r="C1324" t="s">
        <v>28</v>
      </c>
      <c r="D1324" t="s">
        <v>32</v>
      </c>
      <c r="E1324" t="s">
        <v>29</v>
      </c>
      <c r="G1324" t="str">
        <f t="shared" si="60"/>
        <v>Low</v>
      </c>
      <c r="H1324">
        <v>1</v>
      </c>
      <c r="I1324">
        <v>0</v>
      </c>
      <c r="J1324">
        <v>1</v>
      </c>
      <c r="K1324" s="1">
        <v>41700</v>
      </c>
      <c r="L1324">
        <v>17</v>
      </c>
      <c r="M1324" t="str">
        <f t="shared" si="61"/>
        <v>Active</v>
      </c>
      <c r="N1324">
        <v>0</v>
      </c>
      <c r="O1324">
        <v>25</v>
      </c>
      <c r="P1324">
        <v>1</v>
      </c>
      <c r="Q1324">
        <v>13</v>
      </c>
      <c r="R1324">
        <v>0</v>
      </c>
      <c r="S1324">
        <v>0</v>
      </c>
      <c r="T1324">
        <v>3</v>
      </c>
      <c r="U1324">
        <v>42</v>
      </c>
      <c r="V1324">
        <v>1</v>
      </c>
      <c r="W1324">
        <v>1</v>
      </c>
      <c r="X1324">
        <v>0</v>
      </c>
      <c r="Y1324">
        <v>3</v>
      </c>
      <c r="Z1324">
        <v>4</v>
      </c>
      <c r="AA1324">
        <v>7</v>
      </c>
      <c r="AB1324" t="str">
        <f t="shared" si="62"/>
        <v>Below average customer</v>
      </c>
    </row>
    <row r="1325" spans="1:28" x14ac:dyDescent="0.35">
      <c r="A1325">
        <v>4791</v>
      </c>
      <c r="B1325">
        <v>1980</v>
      </c>
      <c r="C1325" t="s">
        <v>31</v>
      </c>
      <c r="D1325" t="s">
        <v>26</v>
      </c>
      <c r="E1325" t="s">
        <v>29</v>
      </c>
      <c r="F1325">
        <v>44964</v>
      </c>
      <c r="G1325" t="str">
        <f t="shared" si="60"/>
        <v>Mid-low</v>
      </c>
      <c r="H1325">
        <v>1</v>
      </c>
      <c r="I1325">
        <v>1</v>
      </c>
      <c r="J1325">
        <v>2</v>
      </c>
      <c r="K1325" s="1">
        <v>41259</v>
      </c>
      <c r="L1325">
        <v>35</v>
      </c>
      <c r="M1325" t="str">
        <f t="shared" si="61"/>
        <v>Active</v>
      </c>
      <c r="N1325">
        <v>0</v>
      </c>
      <c r="O1325">
        <v>19</v>
      </c>
      <c r="P1325">
        <v>1</v>
      </c>
      <c r="Q1325">
        <v>17</v>
      </c>
      <c r="R1325">
        <v>2</v>
      </c>
      <c r="S1325">
        <v>0</v>
      </c>
      <c r="T1325">
        <v>2</v>
      </c>
      <c r="U1325">
        <v>41</v>
      </c>
      <c r="V1325">
        <v>1</v>
      </c>
      <c r="W1325">
        <v>1</v>
      </c>
      <c r="X1325">
        <v>0</v>
      </c>
      <c r="Y1325">
        <v>3</v>
      </c>
      <c r="Z1325">
        <v>4</v>
      </c>
      <c r="AA1325">
        <v>8</v>
      </c>
      <c r="AB1325" t="str">
        <f t="shared" si="62"/>
        <v>Below average customer</v>
      </c>
    </row>
    <row r="1326" spans="1:28" x14ac:dyDescent="0.35">
      <c r="A1326">
        <v>8216</v>
      </c>
      <c r="B1326">
        <v>1972</v>
      </c>
      <c r="C1326" t="s">
        <v>28</v>
      </c>
      <c r="D1326" t="s">
        <v>34</v>
      </c>
      <c r="E1326" t="s">
        <v>33</v>
      </c>
      <c r="F1326">
        <v>53761</v>
      </c>
      <c r="G1326" t="str">
        <f t="shared" si="60"/>
        <v>Mid-high</v>
      </c>
      <c r="H1326">
        <v>1</v>
      </c>
      <c r="I1326">
        <v>1</v>
      </c>
      <c r="J1326">
        <v>2</v>
      </c>
      <c r="K1326" s="1">
        <v>41558</v>
      </c>
      <c r="L1326">
        <v>7</v>
      </c>
      <c r="M1326" t="str">
        <f t="shared" si="61"/>
        <v>Active</v>
      </c>
      <c r="N1326">
        <v>0</v>
      </c>
      <c r="O1326">
        <v>158</v>
      </c>
      <c r="P1326">
        <v>0</v>
      </c>
      <c r="Q1326">
        <v>76</v>
      </c>
      <c r="R1326">
        <v>13</v>
      </c>
      <c r="S1326">
        <v>7</v>
      </c>
      <c r="T1326">
        <v>71</v>
      </c>
      <c r="U1326">
        <v>325</v>
      </c>
      <c r="V1326">
        <v>6</v>
      </c>
      <c r="W1326">
        <v>4</v>
      </c>
      <c r="X1326">
        <v>4</v>
      </c>
      <c r="Y1326">
        <v>3</v>
      </c>
      <c r="Z1326">
        <v>11</v>
      </c>
      <c r="AA1326">
        <v>5</v>
      </c>
      <c r="AB1326" t="str">
        <f t="shared" si="62"/>
        <v>Below average customer</v>
      </c>
    </row>
    <row r="1327" spans="1:28" x14ac:dyDescent="0.35">
      <c r="A1327">
        <v>8140</v>
      </c>
      <c r="B1327">
        <v>1973</v>
      </c>
      <c r="C1327" t="s">
        <v>31</v>
      </c>
      <c r="D1327" t="s">
        <v>26</v>
      </c>
      <c r="E1327" t="s">
        <v>29</v>
      </c>
      <c r="F1327">
        <v>22682</v>
      </c>
      <c r="G1327" t="str">
        <f t="shared" si="60"/>
        <v>Low</v>
      </c>
      <c r="H1327">
        <v>1</v>
      </c>
      <c r="I1327">
        <v>0</v>
      </c>
      <c r="J1327">
        <v>1</v>
      </c>
      <c r="K1327" s="1">
        <v>41550</v>
      </c>
      <c r="L1327">
        <v>51</v>
      </c>
      <c r="M1327" t="str">
        <f t="shared" si="61"/>
        <v>Inactive</v>
      </c>
      <c r="N1327">
        <v>0</v>
      </c>
      <c r="O1327">
        <v>10</v>
      </c>
      <c r="P1327">
        <v>14</v>
      </c>
      <c r="Q1327">
        <v>29</v>
      </c>
      <c r="R1327">
        <v>4</v>
      </c>
      <c r="S1327">
        <v>2</v>
      </c>
      <c r="T1327">
        <v>36</v>
      </c>
      <c r="U1327">
        <v>95</v>
      </c>
      <c r="V1327">
        <v>3</v>
      </c>
      <c r="W1327">
        <v>2</v>
      </c>
      <c r="X1327">
        <v>1</v>
      </c>
      <c r="Y1327">
        <v>4</v>
      </c>
      <c r="Z1327">
        <v>7</v>
      </c>
      <c r="AA1327">
        <v>4</v>
      </c>
      <c r="AB1327" t="str">
        <f t="shared" si="62"/>
        <v>Below average customer</v>
      </c>
    </row>
    <row r="1328" spans="1:28" x14ac:dyDescent="0.35">
      <c r="A1328">
        <v>10146</v>
      </c>
      <c r="B1328">
        <v>1972</v>
      </c>
      <c r="C1328" t="s">
        <v>28</v>
      </c>
      <c r="D1328" t="s">
        <v>32</v>
      </c>
      <c r="E1328" t="s">
        <v>29</v>
      </c>
      <c r="F1328">
        <v>38887</v>
      </c>
      <c r="G1328" t="str">
        <f t="shared" si="60"/>
        <v>Mid-low</v>
      </c>
      <c r="H1328">
        <v>1</v>
      </c>
      <c r="I1328">
        <v>0</v>
      </c>
      <c r="J1328">
        <v>1</v>
      </c>
      <c r="K1328" s="1">
        <v>41700</v>
      </c>
      <c r="L1328">
        <v>17</v>
      </c>
      <c r="M1328" t="str">
        <f t="shared" si="61"/>
        <v>Active</v>
      </c>
      <c r="N1328">
        <v>0</v>
      </c>
      <c r="O1328">
        <v>25</v>
      </c>
      <c r="P1328">
        <v>1</v>
      </c>
      <c r="Q1328">
        <v>13</v>
      </c>
      <c r="R1328">
        <v>0</v>
      </c>
      <c r="S1328">
        <v>0</v>
      </c>
      <c r="T1328">
        <v>3</v>
      </c>
      <c r="U1328">
        <v>42</v>
      </c>
      <c r="V1328">
        <v>1</v>
      </c>
      <c r="W1328">
        <v>1</v>
      </c>
      <c r="X1328">
        <v>0</v>
      </c>
      <c r="Y1328">
        <v>3</v>
      </c>
      <c r="Z1328">
        <v>4</v>
      </c>
      <c r="AA1328">
        <v>7</v>
      </c>
      <c r="AB1328" t="str">
        <f t="shared" si="62"/>
        <v>Below average customer</v>
      </c>
    </row>
    <row r="1329" spans="1:28" x14ac:dyDescent="0.35">
      <c r="A1329">
        <v>5289</v>
      </c>
      <c r="B1329">
        <v>1975</v>
      </c>
      <c r="C1329" t="s">
        <v>31</v>
      </c>
      <c r="D1329" t="s">
        <v>34</v>
      </c>
      <c r="E1329" t="s">
        <v>27</v>
      </c>
      <c r="F1329">
        <v>41658</v>
      </c>
      <c r="G1329" t="str">
        <f t="shared" si="60"/>
        <v>Mid-low</v>
      </c>
      <c r="H1329">
        <v>1</v>
      </c>
      <c r="I1329">
        <v>1</v>
      </c>
      <c r="J1329">
        <v>2</v>
      </c>
      <c r="K1329" s="1">
        <v>41222</v>
      </c>
      <c r="L1329">
        <v>30</v>
      </c>
      <c r="M1329" t="str">
        <f t="shared" si="61"/>
        <v>Active</v>
      </c>
      <c r="N1329">
        <v>0</v>
      </c>
      <c r="O1329">
        <v>8</v>
      </c>
      <c r="P1329">
        <v>4</v>
      </c>
      <c r="Q1329">
        <v>12</v>
      </c>
      <c r="R1329">
        <v>15</v>
      </c>
      <c r="S1329">
        <v>4</v>
      </c>
      <c r="T1329">
        <v>29</v>
      </c>
      <c r="U1329">
        <v>72</v>
      </c>
      <c r="V1329">
        <v>2</v>
      </c>
      <c r="W1329">
        <v>1</v>
      </c>
      <c r="X1329">
        <v>1</v>
      </c>
      <c r="Y1329">
        <v>2</v>
      </c>
      <c r="Z1329">
        <v>4</v>
      </c>
      <c r="AA1329">
        <v>4</v>
      </c>
      <c r="AB1329" t="str">
        <f t="shared" si="62"/>
        <v>Below average customer</v>
      </c>
    </row>
    <row r="1330" spans="1:28" x14ac:dyDescent="0.35">
      <c r="A1330">
        <v>2587</v>
      </c>
      <c r="B1330">
        <v>1972</v>
      </c>
      <c r="C1330" t="s">
        <v>28</v>
      </c>
      <c r="D1330" t="s">
        <v>32</v>
      </c>
      <c r="E1330" t="s">
        <v>33</v>
      </c>
      <c r="F1330">
        <v>29791</v>
      </c>
      <c r="G1330" t="str">
        <f t="shared" si="60"/>
        <v>Low</v>
      </c>
      <c r="H1330">
        <v>1</v>
      </c>
      <c r="I1330">
        <v>0</v>
      </c>
      <c r="J1330">
        <v>1</v>
      </c>
      <c r="K1330" s="1">
        <v>41774</v>
      </c>
      <c r="L1330">
        <v>21</v>
      </c>
      <c r="M1330" t="str">
        <f t="shared" si="61"/>
        <v>Active</v>
      </c>
      <c r="N1330">
        <v>0</v>
      </c>
      <c r="O1330">
        <v>14</v>
      </c>
      <c r="P1330">
        <v>0</v>
      </c>
      <c r="Q1330">
        <v>6</v>
      </c>
      <c r="R1330">
        <v>0</v>
      </c>
      <c r="S1330">
        <v>0</v>
      </c>
      <c r="T1330">
        <v>0</v>
      </c>
      <c r="U1330">
        <v>20</v>
      </c>
      <c r="V1330">
        <v>2</v>
      </c>
      <c r="W1330">
        <v>2</v>
      </c>
      <c r="X1330">
        <v>0</v>
      </c>
      <c r="Y1330">
        <v>3</v>
      </c>
      <c r="Z1330">
        <v>5</v>
      </c>
      <c r="AA1330">
        <v>5</v>
      </c>
      <c r="AB1330" t="str">
        <f t="shared" si="62"/>
        <v>Below average customer</v>
      </c>
    </row>
    <row r="1331" spans="1:28" x14ac:dyDescent="0.35">
      <c r="A1331">
        <v>4405</v>
      </c>
      <c r="B1331">
        <v>1956</v>
      </c>
      <c r="C1331" t="s">
        <v>25</v>
      </c>
      <c r="D1331" t="s">
        <v>34</v>
      </c>
      <c r="E1331" t="s">
        <v>33</v>
      </c>
      <c r="F1331">
        <v>63915</v>
      </c>
      <c r="G1331" t="str">
        <f t="shared" si="60"/>
        <v>Mid-high</v>
      </c>
      <c r="H1331">
        <v>0</v>
      </c>
      <c r="I1331">
        <v>2</v>
      </c>
      <c r="J1331">
        <v>2</v>
      </c>
      <c r="K1331" s="1">
        <v>41485</v>
      </c>
      <c r="L1331">
        <v>2</v>
      </c>
      <c r="M1331" t="str">
        <f t="shared" si="61"/>
        <v>Active</v>
      </c>
      <c r="N1331">
        <v>0</v>
      </c>
      <c r="O1331">
        <v>622</v>
      </c>
      <c r="P1331">
        <v>7</v>
      </c>
      <c r="Q1331">
        <v>115</v>
      </c>
      <c r="R1331">
        <v>30</v>
      </c>
      <c r="S1331">
        <v>0</v>
      </c>
      <c r="T1331">
        <v>15</v>
      </c>
      <c r="U1331">
        <v>789</v>
      </c>
      <c r="V1331">
        <v>2</v>
      </c>
      <c r="W1331">
        <v>6</v>
      </c>
      <c r="X1331">
        <v>3</v>
      </c>
      <c r="Y1331">
        <v>12</v>
      </c>
      <c r="Z1331">
        <v>21</v>
      </c>
      <c r="AA1331">
        <v>5</v>
      </c>
      <c r="AB1331" t="str">
        <f t="shared" si="62"/>
        <v>Above average customer</v>
      </c>
    </row>
    <row r="1332" spans="1:28" x14ac:dyDescent="0.35">
      <c r="A1332">
        <v>8663</v>
      </c>
      <c r="B1332">
        <v>1974</v>
      </c>
      <c r="C1332" t="s">
        <v>31</v>
      </c>
      <c r="D1332" t="s">
        <v>26</v>
      </c>
      <c r="E1332" t="s">
        <v>35</v>
      </c>
      <c r="F1332">
        <v>39996</v>
      </c>
      <c r="G1332" t="str">
        <f t="shared" si="60"/>
        <v>Mid-low</v>
      </c>
      <c r="H1332">
        <v>1</v>
      </c>
      <c r="I1332">
        <v>1</v>
      </c>
      <c r="J1332">
        <v>2</v>
      </c>
      <c r="K1332" s="1">
        <v>41781</v>
      </c>
      <c r="L1332">
        <v>85</v>
      </c>
      <c r="M1332" t="str">
        <f t="shared" si="61"/>
        <v>Inactive</v>
      </c>
      <c r="N1332">
        <v>0</v>
      </c>
      <c r="O1332">
        <v>11</v>
      </c>
      <c r="P1332">
        <v>0</v>
      </c>
      <c r="Q1332">
        <v>3</v>
      </c>
      <c r="R1332">
        <v>0</v>
      </c>
      <c r="S1332">
        <v>0</v>
      </c>
      <c r="T1332">
        <v>1</v>
      </c>
      <c r="U1332">
        <v>15</v>
      </c>
      <c r="V1332">
        <v>1</v>
      </c>
      <c r="W1332">
        <v>1</v>
      </c>
      <c r="X1332">
        <v>0</v>
      </c>
      <c r="Y1332">
        <v>2</v>
      </c>
      <c r="Z1332">
        <v>3</v>
      </c>
      <c r="AA1332">
        <v>6</v>
      </c>
      <c r="AB1332" t="str">
        <f t="shared" si="62"/>
        <v>Below average customer</v>
      </c>
    </row>
    <row r="1333" spans="1:28" x14ac:dyDescent="0.35">
      <c r="A1333">
        <v>2589</v>
      </c>
      <c r="B1333">
        <v>1972</v>
      </c>
      <c r="C1333" t="s">
        <v>28</v>
      </c>
      <c r="D1333" t="s">
        <v>26</v>
      </c>
      <c r="E1333" t="s">
        <v>35</v>
      </c>
      <c r="F1333">
        <v>26759</v>
      </c>
      <c r="G1333" t="str">
        <f t="shared" si="60"/>
        <v>Low</v>
      </c>
      <c r="H1333">
        <v>1</v>
      </c>
      <c r="I1333">
        <v>0</v>
      </c>
      <c r="J1333">
        <v>1</v>
      </c>
      <c r="K1333" s="1">
        <v>41677</v>
      </c>
      <c r="L1333">
        <v>65</v>
      </c>
      <c r="M1333" t="str">
        <f t="shared" si="61"/>
        <v>Inactive</v>
      </c>
      <c r="N1333">
        <v>0</v>
      </c>
      <c r="O1333">
        <v>25</v>
      </c>
      <c r="P1333">
        <v>3</v>
      </c>
      <c r="Q1333">
        <v>16</v>
      </c>
      <c r="R1333">
        <v>8</v>
      </c>
      <c r="S1333">
        <v>5</v>
      </c>
      <c r="T1333">
        <v>2</v>
      </c>
      <c r="U1333">
        <v>59</v>
      </c>
      <c r="V1333">
        <v>2</v>
      </c>
      <c r="W1333">
        <v>2</v>
      </c>
      <c r="X1333">
        <v>1</v>
      </c>
      <c r="Y1333">
        <v>3</v>
      </c>
      <c r="Z1333">
        <v>6</v>
      </c>
      <c r="AA1333">
        <v>6</v>
      </c>
      <c r="AB1333" t="str">
        <f t="shared" si="62"/>
        <v>Below average customer</v>
      </c>
    </row>
    <row r="1334" spans="1:28" x14ac:dyDescent="0.35">
      <c r="A1334">
        <v>10490</v>
      </c>
      <c r="B1334">
        <v>1969</v>
      </c>
      <c r="C1334" t="s">
        <v>28</v>
      </c>
      <c r="D1334" t="s">
        <v>32</v>
      </c>
      <c r="E1334" t="s">
        <v>33</v>
      </c>
      <c r="F1334">
        <v>51039</v>
      </c>
      <c r="G1334" t="str">
        <f t="shared" si="60"/>
        <v>Mid-low</v>
      </c>
      <c r="H1334">
        <v>1</v>
      </c>
      <c r="I1334">
        <v>1</v>
      </c>
      <c r="J1334">
        <v>2</v>
      </c>
      <c r="K1334" s="1">
        <v>41253</v>
      </c>
      <c r="L1334">
        <v>11</v>
      </c>
      <c r="M1334" t="str">
        <f t="shared" si="61"/>
        <v>Active</v>
      </c>
      <c r="N1334">
        <v>0</v>
      </c>
      <c r="O1334">
        <v>100</v>
      </c>
      <c r="P1334">
        <v>64</v>
      </c>
      <c r="Q1334">
        <v>79</v>
      </c>
      <c r="R1334">
        <v>65</v>
      </c>
      <c r="S1334">
        <v>0</v>
      </c>
      <c r="T1334">
        <v>109</v>
      </c>
      <c r="U1334">
        <v>417</v>
      </c>
      <c r="V1334">
        <v>2</v>
      </c>
      <c r="W1334">
        <v>6</v>
      </c>
      <c r="X1334">
        <v>2</v>
      </c>
      <c r="Y1334">
        <v>4</v>
      </c>
      <c r="Z1334">
        <v>12</v>
      </c>
      <c r="AA1334">
        <v>7</v>
      </c>
      <c r="AB1334" t="str">
        <f t="shared" si="62"/>
        <v>Below average customer</v>
      </c>
    </row>
    <row r="1335" spans="1:28" x14ac:dyDescent="0.35">
      <c r="A1335">
        <v>4094</v>
      </c>
      <c r="B1335">
        <v>1961</v>
      </c>
      <c r="C1335" t="s">
        <v>25</v>
      </c>
      <c r="D1335" t="s">
        <v>26</v>
      </c>
      <c r="E1335" t="s">
        <v>33</v>
      </c>
      <c r="F1335">
        <v>60544</v>
      </c>
      <c r="G1335" t="str">
        <f t="shared" si="60"/>
        <v>Mid-high</v>
      </c>
      <c r="H1335">
        <v>1</v>
      </c>
      <c r="I1335">
        <v>1</v>
      </c>
      <c r="J1335">
        <v>2</v>
      </c>
      <c r="K1335" s="1">
        <v>41146</v>
      </c>
      <c r="L1335">
        <v>92</v>
      </c>
      <c r="M1335" t="str">
        <f t="shared" si="61"/>
        <v>Inactive</v>
      </c>
      <c r="N1335">
        <v>0</v>
      </c>
      <c r="O1335">
        <v>201</v>
      </c>
      <c r="P1335">
        <v>2</v>
      </c>
      <c r="Q1335">
        <v>43</v>
      </c>
      <c r="R1335">
        <v>3</v>
      </c>
      <c r="S1335">
        <v>5</v>
      </c>
      <c r="T1335">
        <v>35</v>
      </c>
      <c r="U1335">
        <v>289</v>
      </c>
      <c r="V1335">
        <v>4</v>
      </c>
      <c r="W1335">
        <v>5</v>
      </c>
      <c r="X1335">
        <v>1</v>
      </c>
      <c r="Y1335">
        <v>5</v>
      </c>
      <c r="Z1335">
        <v>11</v>
      </c>
      <c r="AA1335">
        <v>6</v>
      </c>
      <c r="AB1335" t="str">
        <f t="shared" si="62"/>
        <v>Below average customer</v>
      </c>
    </row>
    <row r="1336" spans="1:28" x14ac:dyDescent="0.35">
      <c r="A1336">
        <v>2534</v>
      </c>
      <c r="B1336">
        <v>1953</v>
      </c>
      <c r="C1336" t="s">
        <v>25</v>
      </c>
      <c r="D1336" t="s">
        <v>26</v>
      </c>
      <c r="E1336" t="s">
        <v>33</v>
      </c>
      <c r="F1336">
        <v>37716</v>
      </c>
      <c r="G1336" t="str">
        <f t="shared" si="60"/>
        <v>Mid-low</v>
      </c>
      <c r="H1336">
        <v>0</v>
      </c>
      <c r="I1336">
        <v>1</v>
      </c>
      <c r="J1336">
        <v>1</v>
      </c>
      <c r="K1336" s="1">
        <v>41750</v>
      </c>
      <c r="L1336">
        <v>4</v>
      </c>
      <c r="M1336" t="str">
        <f t="shared" si="61"/>
        <v>Active</v>
      </c>
      <c r="N1336">
        <v>0</v>
      </c>
      <c r="O1336">
        <v>97</v>
      </c>
      <c r="P1336">
        <v>1</v>
      </c>
      <c r="Q1336">
        <v>41</v>
      </c>
      <c r="R1336">
        <v>6</v>
      </c>
      <c r="S1336">
        <v>2</v>
      </c>
      <c r="T1336">
        <v>41</v>
      </c>
      <c r="U1336">
        <v>188</v>
      </c>
      <c r="V1336">
        <v>2</v>
      </c>
      <c r="W1336">
        <v>4</v>
      </c>
      <c r="X1336">
        <v>1</v>
      </c>
      <c r="Y1336">
        <v>3</v>
      </c>
      <c r="Z1336">
        <v>8</v>
      </c>
      <c r="AA1336">
        <v>7</v>
      </c>
      <c r="AB1336" t="str">
        <f t="shared" si="62"/>
        <v>Below average customer</v>
      </c>
    </row>
    <row r="1337" spans="1:28" x14ac:dyDescent="0.35">
      <c r="A1337">
        <v>4188</v>
      </c>
      <c r="B1337">
        <v>1957</v>
      </c>
      <c r="C1337" t="s">
        <v>25</v>
      </c>
      <c r="D1337" t="s">
        <v>26</v>
      </c>
      <c r="E1337" t="s">
        <v>27</v>
      </c>
      <c r="F1337">
        <v>36864</v>
      </c>
      <c r="G1337" t="str">
        <f t="shared" si="60"/>
        <v>Mid-low</v>
      </c>
      <c r="H1337">
        <v>0</v>
      </c>
      <c r="I1337">
        <v>1</v>
      </c>
      <c r="J1337">
        <v>1</v>
      </c>
      <c r="K1337" s="1">
        <v>41134</v>
      </c>
      <c r="L1337">
        <v>53</v>
      </c>
      <c r="M1337" t="str">
        <f t="shared" si="61"/>
        <v>Inactive</v>
      </c>
      <c r="N1337">
        <v>0</v>
      </c>
      <c r="O1337">
        <v>204</v>
      </c>
      <c r="P1337">
        <v>5</v>
      </c>
      <c r="Q1337">
        <v>39</v>
      </c>
      <c r="R1337">
        <v>17</v>
      </c>
      <c r="S1337">
        <v>0</v>
      </c>
      <c r="T1337">
        <v>89</v>
      </c>
      <c r="U1337">
        <v>354</v>
      </c>
      <c r="V1337">
        <v>3</v>
      </c>
      <c r="W1337">
        <v>5</v>
      </c>
      <c r="X1337">
        <v>2</v>
      </c>
      <c r="Y1337">
        <v>4</v>
      </c>
      <c r="Z1337">
        <v>11</v>
      </c>
      <c r="AA1337">
        <v>8</v>
      </c>
      <c r="AB1337" t="str">
        <f t="shared" si="62"/>
        <v>Below average customer</v>
      </c>
    </row>
    <row r="1338" spans="1:28" x14ac:dyDescent="0.35">
      <c r="A1338">
        <v>6613</v>
      </c>
      <c r="B1338">
        <v>1970</v>
      </c>
      <c r="C1338" t="s">
        <v>28</v>
      </c>
      <c r="D1338" t="s">
        <v>34</v>
      </c>
      <c r="E1338" t="s">
        <v>33</v>
      </c>
      <c r="F1338">
        <v>44511</v>
      </c>
      <c r="G1338" t="str">
        <f t="shared" si="60"/>
        <v>Mid-low</v>
      </c>
      <c r="H1338">
        <v>1</v>
      </c>
      <c r="I1338">
        <v>0</v>
      </c>
      <c r="J1338">
        <v>1</v>
      </c>
      <c r="K1338" s="1">
        <v>41194</v>
      </c>
      <c r="L1338">
        <v>39</v>
      </c>
      <c r="M1338" t="str">
        <f t="shared" si="61"/>
        <v>Active</v>
      </c>
      <c r="N1338">
        <v>0</v>
      </c>
      <c r="O1338">
        <v>513</v>
      </c>
      <c r="P1338">
        <v>7</v>
      </c>
      <c r="Q1338">
        <v>133</v>
      </c>
      <c r="R1338">
        <v>46</v>
      </c>
      <c r="S1338">
        <v>14</v>
      </c>
      <c r="T1338">
        <v>14</v>
      </c>
      <c r="U1338">
        <v>727</v>
      </c>
      <c r="V1338">
        <v>6</v>
      </c>
      <c r="W1338">
        <v>8</v>
      </c>
      <c r="X1338">
        <v>4</v>
      </c>
      <c r="Y1338">
        <v>8</v>
      </c>
      <c r="Z1338">
        <v>20</v>
      </c>
      <c r="AA1338">
        <v>8</v>
      </c>
      <c r="AB1338" t="str">
        <f t="shared" si="62"/>
        <v>Below average customer</v>
      </c>
    </row>
    <row r="1339" spans="1:28" x14ac:dyDescent="0.35">
      <c r="A1339">
        <v>10827</v>
      </c>
      <c r="B1339">
        <v>1967</v>
      </c>
      <c r="C1339" t="s">
        <v>28</v>
      </c>
      <c r="D1339" t="s">
        <v>32</v>
      </c>
      <c r="E1339" t="s">
        <v>33</v>
      </c>
      <c r="F1339">
        <v>36947</v>
      </c>
      <c r="G1339" t="str">
        <f t="shared" si="60"/>
        <v>Mid-low</v>
      </c>
      <c r="H1339">
        <v>1</v>
      </c>
      <c r="I1339">
        <v>1</v>
      </c>
      <c r="J1339">
        <v>2</v>
      </c>
      <c r="K1339" s="1">
        <v>41128</v>
      </c>
      <c r="L1339">
        <v>49</v>
      </c>
      <c r="M1339" t="str">
        <f t="shared" si="61"/>
        <v>Inactive</v>
      </c>
      <c r="N1339">
        <v>0</v>
      </c>
      <c r="O1339">
        <v>88</v>
      </c>
      <c r="P1339">
        <v>3</v>
      </c>
      <c r="Q1339">
        <v>21</v>
      </c>
      <c r="R1339">
        <v>4</v>
      </c>
      <c r="S1339">
        <v>1</v>
      </c>
      <c r="T1339">
        <v>29</v>
      </c>
      <c r="U1339">
        <v>146</v>
      </c>
      <c r="V1339">
        <v>4</v>
      </c>
      <c r="W1339">
        <v>3</v>
      </c>
      <c r="X1339">
        <v>0</v>
      </c>
      <c r="Y1339">
        <v>4</v>
      </c>
      <c r="Z1339">
        <v>7</v>
      </c>
      <c r="AA1339">
        <v>9</v>
      </c>
      <c r="AB1339" t="str">
        <f t="shared" si="62"/>
        <v>Below average customer</v>
      </c>
    </row>
    <row r="1340" spans="1:28" x14ac:dyDescent="0.35">
      <c r="A1340">
        <v>8402</v>
      </c>
      <c r="B1340">
        <v>1953</v>
      </c>
      <c r="C1340" t="s">
        <v>25</v>
      </c>
      <c r="D1340" t="s">
        <v>34</v>
      </c>
      <c r="E1340" t="s">
        <v>33</v>
      </c>
      <c r="F1340">
        <v>67087</v>
      </c>
      <c r="G1340" t="str">
        <f t="shared" si="60"/>
        <v>Mid-high</v>
      </c>
      <c r="H1340">
        <v>0</v>
      </c>
      <c r="I1340">
        <v>1</v>
      </c>
      <c r="J1340">
        <v>1</v>
      </c>
      <c r="K1340" s="1">
        <v>41625</v>
      </c>
      <c r="L1340">
        <v>40</v>
      </c>
      <c r="M1340" t="str">
        <f t="shared" si="61"/>
        <v>Active</v>
      </c>
      <c r="N1340">
        <v>0</v>
      </c>
      <c r="O1340">
        <v>329</v>
      </c>
      <c r="P1340">
        <v>35</v>
      </c>
      <c r="Q1340">
        <v>222</v>
      </c>
      <c r="R1340">
        <v>130</v>
      </c>
      <c r="S1340">
        <v>35</v>
      </c>
      <c r="T1340">
        <v>43</v>
      </c>
      <c r="U1340">
        <v>794</v>
      </c>
      <c r="V1340">
        <v>2</v>
      </c>
      <c r="W1340">
        <v>7</v>
      </c>
      <c r="X1340">
        <v>5</v>
      </c>
      <c r="Y1340">
        <v>8</v>
      </c>
      <c r="Z1340">
        <v>20</v>
      </c>
      <c r="AA1340">
        <v>4</v>
      </c>
      <c r="AB1340" t="str">
        <f t="shared" si="62"/>
        <v>Above average customer</v>
      </c>
    </row>
    <row r="1341" spans="1:28" x14ac:dyDescent="0.35">
      <c r="A1341">
        <v>8783</v>
      </c>
      <c r="B1341">
        <v>1950</v>
      </c>
      <c r="C1341" t="s">
        <v>36</v>
      </c>
      <c r="D1341" t="s">
        <v>26</v>
      </c>
      <c r="E1341" t="s">
        <v>33</v>
      </c>
      <c r="F1341">
        <v>57045</v>
      </c>
      <c r="G1341" t="str">
        <f t="shared" si="60"/>
        <v>Mid-high</v>
      </c>
      <c r="H1341">
        <v>0</v>
      </c>
      <c r="I1341">
        <v>1</v>
      </c>
      <c r="J1341">
        <v>1</v>
      </c>
      <c r="K1341" s="1">
        <v>41160</v>
      </c>
      <c r="L1341">
        <v>40</v>
      </c>
      <c r="M1341" t="str">
        <f t="shared" si="61"/>
        <v>Active</v>
      </c>
      <c r="N1341">
        <v>0</v>
      </c>
      <c r="O1341">
        <v>296</v>
      </c>
      <c r="P1341">
        <v>13</v>
      </c>
      <c r="Q1341">
        <v>104</v>
      </c>
      <c r="R1341">
        <v>11</v>
      </c>
      <c r="S1341">
        <v>13</v>
      </c>
      <c r="T1341">
        <v>17</v>
      </c>
      <c r="U1341">
        <v>454</v>
      </c>
      <c r="V1341">
        <v>3</v>
      </c>
      <c r="W1341">
        <v>4</v>
      </c>
      <c r="X1341">
        <v>2</v>
      </c>
      <c r="Y1341">
        <v>9</v>
      </c>
      <c r="Z1341">
        <v>15</v>
      </c>
      <c r="AA1341">
        <v>3</v>
      </c>
      <c r="AB1341" t="str">
        <f t="shared" si="62"/>
        <v>Below average customer</v>
      </c>
    </row>
    <row r="1342" spans="1:28" x14ac:dyDescent="0.35">
      <c r="A1342">
        <v>10010</v>
      </c>
      <c r="B1342">
        <v>1953</v>
      </c>
      <c r="C1342" t="s">
        <v>25</v>
      </c>
      <c r="D1342" t="s">
        <v>32</v>
      </c>
      <c r="E1342" t="s">
        <v>35</v>
      </c>
      <c r="F1342">
        <v>36957</v>
      </c>
      <c r="G1342" t="str">
        <f t="shared" si="60"/>
        <v>Mid-low</v>
      </c>
      <c r="H1342">
        <v>1</v>
      </c>
      <c r="I1342">
        <v>1</v>
      </c>
      <c r="J1342">
        <v>2</v>
      </c>
      <c r="K1342" s="1">
        <v>41158</v>
      </c>
      <c r="L1342">
        <v>43</v>
      </c>
      <c r="M1342" t="str">
        <f t="shared" si="61"/>
        <v>Active</v>
      </c>
      <c r="N1342">
        <v>0</v>
      </c>
      <c r="O1342">
        <v>100</v>
      </c>
      <c r="P1342">
        <v>2</v>
      </c>
      <c r="Q1342">
        <v>16</v>
      </c>
      <c r="R1342">
        <v>2</v>
      </c>
      <c r="S1342">
        <v>1</v>
      </c>
      <c r="T1342">
        <v>31</v>
      </c>
      <c r="U1342">
        <v>152</v>
      </c>
      <c r="V1342">
        <v>4</v>
      </c>
      <c r="W1342">
        <v>3</v>
      </c>
      <c r="X1342">
        <v>2</v>
      </c>
      <c r="Y1342">
        <v>2</v>
      </c>
      <c r="Z1342">
        <v>7</v>
      </c>
      <c r="AA1342">
        <v>9</v>
      </c>
      <c r="AB1342" t="str">
        <f t="shared" si="62"/>
        <v>Below average customer</v>
      </c>
    </row>
    <row r="1343" spans="1:28" x14ac:dyDescent="0.35">
      <c r="A1343">
        <v>618</v>
      </c>
      <c r="B1343">
        <v>1977</v>
      </c>
      <c r="C1343" t="s">
        <v>31</v>
      </c>
      <c r="D1343" t="s">
        <v>32</v>
      </c>
      <c r="E1343" t="s">
        <v>33</v>
      </c>
      <c r="F1343">
        <v>69389</v>
      </c>
      <c r="G1343" t="str">
        <f t="shared" si="60"/>
        <v>High</v>
      </c>
      <c r="H1343">
        <v>0</v>
      </c>
      <c r="I1343">
        <v>1</v>
      </c>
      <c r="J1343">
        <v>1</v>
      </c>
      <c r="K1343" s="1">
        <v>41180</v>
      </c>
      <c r="L1343">
        <v>17</v>
      </c>
      <c r="M1343" t="str">
        <f t="shared" si="61"/>
        <v>Active</v>
      </c>
      <c r="N1343">
        <v>0</v>
      </c>
      <c r="O1343">
        <v>422</v>
      </c>
      <c r="P1343">
        <v>7</v>
      </c>
      <c r="Q1343">
        <v>238</v>
      </c>
      <c r="R1343">
        <v>69</v>
      </c>
      <c r="S1343">
        <v>46</v>
      </c>
      <c r="T1343">
        <v>15</v>
      </c>
      <c r="U1343">
        <v>797</v>
      </c>
      <c r="V1343">
        <v>1</v>
      </c>
      <c r="W1343">
        <v>7</v>
      </c>
      <c r="X1343">
        <v>2</v>
      </c>
      <c r="Y1343">
        <v>12</v>
      </c>
      <c r="Z1343">
        <v>21</v>
      </c>
      <c r="AA1343">
        <v>4</v>
      </c>
      <c r="AB1343" t="str">
        <f t="shared" si="62"/>
        <v>Above average customer</v>
      </c>
    </row>
    <row r="1344" spans="1:28" x14ac:dyDescent="0.35">
      <c r="A1344">
        <v>361</v>
      </c>
      <c r="B1344">
        <v>1969</v>
      </c>
      <c r="C1344" t="s">
        <v>28</v>
      </c>
      <c r="D1344" t="s">
        <v>34</v>
      </c>
      <c r="E1344" t="s">
        <v>33</v>
      </c>
      <c r="F1344">
        <v>43142</v>
      </c>
      <c r="G1344" t="str">
        <f t="shared" si="60"/>
        <v>Mid-low</v>
      </c>
      <c r="H1344">
        <v>1</v>
      </c>
      <c r="I1344">
        <v>1</v>
      </c>
      <c r="J1344">
        <v>2</v>
      </c>
      <c r="K1344" s="1">
        <v>41688</v>
      </c>
      <c r="L1344">
        <v>84</v>
      </c>
      <c r="M1344" t="str">
        <f t="shared" si="61"/>
        <v>Inactive</v>
      </c>
      <c r="N1344">
        <v>0</v>
      </c>
      <c r="O1344">
        <v>5</v>
      </c>
      <c r="P1344">
        <v>1</v>
      </c>
      <c r="Q1344">
        <v>7</v>
      </c>
      <c r="R1344">
        <v>2</v>
      </c>
      <c r="S1344">
        <v>1</v>
      </c>
      <c r="T1344">
        <v>4</v>
      </c>
      <c r="U1344">
        <v>20</v>
      </c>
      <c r="V1344">
        <v>1</v>
      </c>
      <c r="W1344">
        <v>1</v>
      </c>
      <c r="X1344">
        <v>0</v>
      </c>
      <c r="Y1344">
        <v>2</v>
      </c>
      <c r="Z1344">
        <v>3</v>
      </c>
      <c r="AA1344">
        <v>7</v>
      </c>
      <c r="AB1344" t="str">
        <f t="shared" si="62"/>
        <v>Below average customer</v>
      </c>
    </row>
    <row r="1345" spans="1:28" x14ac:dyDescent="0.35">
      <c r="A1345">
        <v>4310</v>
      </c>
      <c r="B1345">
        <v>1944</v>
      </c>
      <c r="C1345" t="s">
        <v>36</v>
      </c>
      <c r="D1345" t="s">
        <v>26</v>
      </c>
      <c r="E1345" t="s">
        <v>33</v>
      </c>
      <c r="F1345">
        <v>80589</v>
      </c>
      <c r="G1345" t="str">
        <f t="shared" si="60"/>
        <v>High</v>
      </c>
      <c r="H1345">
        <v>0</v>
      </c>
      <c r="I1345">
        <v>0</v>
      </c>
      <c r="J1345">
        <v>0</v>
      </c>
      <c r="K1345" s="1">
        <v>41661</v>
      </c>
      <c r="L1345">
        <v>25</v>
      </c>
      <c r="M1345" t="str">
        <f t="shared" si="61"/>
        <v>Active</v>
      </c>
      <c r="N1345">
        <v>0</v>
      </c>
      <c r="O1345">
        <v>507</v>
      </c>
      <c r="P1345">
        <v>93</v>
      </c>
      <c r="Q1345">
        <v>520</v>
      </c>
      <c r="R1345">
        <v>242</v>
      </c>
      <c r="S1345">
        <v>40</v>
      </c>
      <c r="T1345">
        <v>26</v>
      </c>
      <c r="U1345">
        <v>1428</v>
      </c>
      <c r="V1345">
        <v>1</v>
      </c>
      <c r="W1345">
        <v>5</v>
      </c>
      <c r="X1345">
        <v>10</v>
      </c>
      <c r="Y1345">
        <v>5</v>
      </c>
      <c r="Z1345">
        <v>20</v>
      </c>
      <c r="AA1345">
        <v>1</v>
      </c>
      <c r="AB1345" t="str">
        <f t="shared" si="62"/>
        <v>Above average customer</v>
      </c>
    </row>
    <row r="1346" spans="1:28" x14ac:dyDescent="0.35">
      <c r="A1346">
        <v>2678</v>
      </c>
      <c r="B1346">
        <v>1990</v>
      </c>
      <c r="C1346" t="s">
        <v>30</v>
      </c>
      <c r="D1346" t="s">
        <v>26</v>
      </c>
      <c r="E1346" t="s">
        <v>27</v>
      </c>
      <c r="F1346">
        <v>34412</v>
      </c>
      <c r="G1346" t="str">
        <f t="shared" ref="G1346:G1409" si="63">IF(F1346&lt;=_xlfn.PERCENTILE.INC($F$2:$F$2056,0.25),"Low",IF(F1346&lt;=_xlfn.PERCENTILE.INC($F$2:$F$2056,0.5),"Mid-low",IF(F1346&lt;=_xlfn.PERCENTILE.INC($F$2:$F$2056,0.75),"Mid-high","High")))</f>
        <v>Low</v>
      </c>
      <c r="H1346">
        <v>1</v>
      </c>
      <c r="I1346">
        <v>0</v>
      </c>
      <c r="J1346">
        <v>1</v>
      </c>
      <c r="K1346" s="1">
        <v>41318</v>
      </c>
      <c r="L1346">
        <v>62</v>
      </c>
      <c r="M1346" t="str">
        <f t="shared" ref="M1346:M1409" si="64">IF(L1346&gt;AVERAGE($L$2:$L$2056),"Inactive","Active")</f>
        <v>Inactive</v>
      </c>
      <c r="N1346">
        <v>0</v>
      </c>
      <c r="O1346">
        <v>52</v>
      </c>
      <c r="P1346">
        <v>12</v>
      </c>
      <c r="Q1346">
        <v>50</v>
      </c>
      <c r="R1346">
        <v>4</v>
      </c>
      <c r="S1346">
        <v>36</v>
      </c>
      <c r="T1346">
        <v>55</v>
      </c>
      <c r="U1346">
        <v>209</v>
      </c>
      <c r="V1346">
        <v>3</v>
      </c>
      <c r="W1346">
        <v>5</v>
      </c>
      <c r="X1346">
        <v>0</v>
      </c>
      <c r="Y1346">
        <v>3</v>
      </c>
      <c r="Z1346">
        <v>8</v>
      </c>
      <c r="AA1346">
        <v>9</v>
      </c>
      <c r="AB1346" t="str">
        <f t="shared" ref="AB1346:AB1409" si="65">IF(AND(Z1346&gt;AVERAGE($Z$2:$Z$2056),U1346&gt;AVERAGE($U$2:$U$2056),N1346=0,L1346&lt;AVERAGE($L$2:$L$2056),F1346&gt;AVERAGE($F$2:$F$2240)),"Above average customer","Below average customer")</f>
        <v>Below average customer</v>
      </c>
    </row>
    <row r="1347" spans="1:28" x14ac:dyDescent="0.35">
      <c r="A1347">
        <v>6376</v>
      </c>
      <c r="B1347">
        <v>1979</v>
      </c>
      <c r="C1347" t="s">
        <v>31</v>
      </c>
      <c r="D1347" t="s">
        <v>26</v>
      </c>
      <c r="E1347" t="s">
        <v>27</v>
      </c>
      <c r="F1347">
        <v>57537</v>
      </c>
      <c r="G1347" t="str">
        <f t="shared" si="63"/>
        <v>Mid-high</v>
      </c>
      <c r="H1347">
        <v>1</v>
      </c>
      <c r="I1347">
        <v>0</v>
      </c>
      <c r="J1347">
        <v>1</v>
      </c>
      <c r="K1347" s="1">
        <v>41435</v>
      </c>
      <c r="L1347">
        <v>83</v>
      </c>
      <c r="M1347" t="str">
        <f t="shared" si="64"/>
        <v>Inactive</v>
      </c>
      <c r="N1347">
        <v>0</v>
      </c>
      <c r="O1347">
        <v>191</v>
      </c>
      <c r="P1347">
        <v>56</v>
      </c>
      <c r="Q1347">
        <v>139</v>
      </c>
      <c r="R1347">
        <v>51</v>
      </c>
      <c r="S1347">
        <v>8</v>
      </c>
      <c r="T1347">
        <v>100</v>
      </c>
      <c r="U1347">
        <v>545</v>
      </c>
      <c r="V1347">
        <v>4</v>
      </c>
      <c r="W1347">
        <v>4</v>
      </c>
      <c r="X1347">
        <v>3</v>
      </c>
      <c r="Y1347">
        <v>8</v>
      </c>
      <c r="Z1347">
        <v>15</v>
      </c>
      <c r="AA1347">
        <v>4</v>
      </c>
      <c r="AB1347" t="str">
        <f t="shared" si="65"/>
        <v>Below average customer</v>
      </c>
    </row>
    <row r="1348" spans="1:28" x14ac:dyDescent="0.35">
      <c r="A1348">
        <v>10341</v>
      </c>
      <c r="B1348">
        <v>1948</v>
      </c>
      <c r="C1348" t="s">
        <v>36</v>
      </c>
      <c r="D1348" t="s">
        <v>26</v>
      </c>
      <c r="E1348" t="s">
        <v>29</v>
      </c>
      <c r="F1348">
        <v>51315</v>
      </c>
      <c r="G1348" t="str">
        <f t="shared" si="63"/>
        <v>Mid-low</v>
      </c>
      <c r="H1348">
        <v>0</v>
      </c>
      <c r="I1348">
        <v>0</v>
      </c>
      <c r="J1348">
        <v>0</v>
      </c>
      <c r="K1348" s="1">
        <v>41693</v>
      </c>
      <c r="L1348">
        <v>45</v>
      </c>
      <c r="M1348" t="str">
        <f t="shared" si="64"/>
        <v>Active</v>
      </c>
      <c r="N1348">
        <v>0</v>
      </c>
      <c r="O1348">
        <v>68</v>
      </c>
      <c r="P1348">
        <v>28</v>
      </c>
      <c r="Q1348">
        <v>39</v>
      </c>
      <c r="R1348">
        <v>16</v>
      </c>
      <c r="S1348">
        <v>30</v>
      </c>
      <c r="T1348">
        <v>41</v>
      </c>
      <c r="U1348">
        <v>222</v>
      </c>
      <c r="V1348">
        <v>1</v>
      </c>
      <c r="W1348">
        <v>2</v>
      </c>
      <c r="X1348">
        <v>2</v>
      </c>
      <c r="Y1348">
        <v>5</v>
      </c>
      <c r="Z1348">
        <v>9</v>
      </c>
      <c r="AA1348">
        <v>2</v>
      </c>
      <c r="AB1348" t="str">
        <f t="shared" si="65"/>
        <v>Below average customer</v>
      </c>
    </row>
    <row r="1349" spans="1:28" x14ac:dyDescent="0.35">
      <c r="A1349">
        <v>5654</v>
      </c>
      <c r="B1349">
        <v>1972</v>
      </c>
      <c r="C1349" t="s">
        <v>28</v>
      </c>
      <c r="D1349" t="s">
        <v>26</v>
      </c>
      <c r="E1349" t="s">
        <v>33</v>
      </c>
      <c r="F1349">
        <v>36026</v>
      </c>
      <c r="G1349" t="str">
        <f t="shared" si="63"/>
        <v>Mid-low</v>
      </c>
      <c r="H1349">
        <v>2</v>
      </c>
      <c r="I1349">
        <v>1</v>
      </c>
      <c r="J1349">
        <v>3</v>
      </c>
      <c r="K1349" s="1">
        <v>41714</v>
      </c>
      <c r="L1349">
        <v>34</v>
      </c>
      <c r="M1349" t="str">
        <f t="shared" si="64"/>
        <v>Active</v>
      </c>
      <c r="N1349">
        <v>0</v>
      </c>
      <c r="O1349">
        <v>20</v>
      </c>
      <c r="P1349">
        <v>4</v>
      </c>
      <c r="Q1349">
        <v>10</v>
      </c>
      <c r="R1349">
        <v>6</v>
      </c>
      <c r="S1349">
        <v>4</v>
      </c>
      <c r="T1349">
        <v>17</v>
      </c>
      <c r="U1349">
        <v>61</v>
      </c>
      <c r="V1349">
        <v>2</v>
      </c>
      <c r="W1349">
        <v>2</v>
      </c>
      <c r="X1349">
        <v>0</v>
      </c>
      <c r="Y1349">
        <v>3</v>
      </c>
      <c r="Z1349">
        <v>5</v>
      </c>
      <c r="AA1349">
        <v>6</v>
      </c>
      <c r="AB1349" t="str">
        <f t="shared" si="65"/>
        <v>Below average customer</v>
      </c>
    </row>
    <row r="1350" spans="1:28" x14ac:dyDescent="0.35">
      <c r="A1350">
        <v>4098</v>
      </c>
      <c r="B1350">
        <v>1973</v>
      </c>
      <c r="C1350" t="s">
        <v>31</v>
      </c>
      <c r="D1350" t="s">
        <v>26</v>
      </c>
      <c r="E1350" t="s">
        <v>33</v>
      </c>
      <c r="F1350">
        <v>24639</v>
      </c>
      <c r="G1350" t="str">
        <f t="shared" si="63"/>
        <v>Low</v>
      </c>
      <c r="H1350">
        <v>1</v>
      </c>
      <c r="I1350">
        <v>1</v>
      </c>
      <c r="J1350">
        <v>2</v>
      </c>
      <c r="K1350" s="1">
        <v>41667</v>
      </c>
      <c r="L1350">
        <v>3</v>
      </c>
      <c r="M1350" t="str">
        <f t="shared" si="64"/>
        <v>Active</v>
      </c>
      <c r="N1350">
        <v>0</v>
      </c>
      <c r="O1350">
        <v>20</v>
      </c>
      <c r="P1350">
        <v>3</v>
      </c>
      <c r="Q1350">
        <v>16</v>
      </c>
      <c r="R1350">
        <v>0</v>
      </c>
      <c r="S1350">
        <v>4</v>
      </c>
      <c r="T1350">
        <v>1</v>
      </c>
      <c r="U1350">
        <v>44</v>
      </c>
      <c r="V1350">
        <v>3</v>
      </c>
      <c r="W1350">
        <v>2</v>
      </c>
      <c r="X1350">
        <v>0</v>
      </c>
      <c r="Y1350">
        <v>4</v>
      </c>
      <c r="Z1350">
        <v>6</v>
      </c>
      <c r="AA1350">
        <v>6</v>
      </c>
      <c r="AB1350" t="str">
        <f t="shared" si="65"/>
        <v>Below average customer</v>
      </c>
    </row>
    <row r="1351" spans="1:28" x14ac:dyDescent="0.35">
      <c r="A1351">
        <v>5824</v>
      </c>
      <c r="B1351">
        <v>1972</v>
      </c>
      <c r="C1351" t="s">
        <v>28</v>
      </c>
      <c r="D1351" t="s">
        <v>32</v>
      </c>
      <c r="E1351" t="s">
        <v>29</v>
      </c>
      <c r="F1351">
        <v>34578</v>
      </c>
      <c r="G1351" t="str">
        <f t="shared" si="63"/>
        <v>Low</v>
      </c>
      <c r="H1351">
        <v>2</v>
      </c>
      <c r="I1351">
        <v>1</v>
      </c>
      <c r="J1351">
        <v>3</v>
      </c>
      <c r="K1351" s="1">
        <v>41740</v>
      </c>
      <c r="L1351">
        <v>1</v>
      </c>
      <c r="M1351" t="str">
        <f t="shared" si="64"/>
        <v>Active</v>
      </c>
      <c r="N1351">
        <v>0</v>
      </c>
      <c r="O1351">
        <v>7</v>
      </c>
      <c r="P1351">
        <v>0</v>
      </c>
      <c r="Q1351">
        <v>1</v>
      </c>
      <c r="R1351">
        <v>0</v>
      </c>
      <c r="S1351">
        <v>0</v>
      </c>
      <c r="T1351">
        <v>0</v>
      </c>
      <c r="U1351">
        <v>8</v>
      </c>
      <c r="V1351">
        <v>1</v>
      </c>
      <c r="W1351">
        <v>1</v>
      </c>
      <c r="X1351">
        <v>0</v>
      </c>
      <c r="Y1351">
        <v>2</v>
      </c>
      <c r="Z1351">
        <v>3</v>
      </c>
      <c r="AA1351">
        <v>6</v>
      </c>
      <c r="AB1351" t="str">
        <f t="shared" si="65"/>
        <v>Below average customer</v>
      </c>
    </row>
    <row r="1352" spans="1:28" x14ac:dyDescent="0.35">
      <c r="A1352">
        <v>7000</v>
      </c>
      <c r="B1352">
        <v>1972</v>
      </c>
      <c r="C1352" t="s">
        <v>28</v>
      </c>
      <c r="D1352" t="s">
        <v>34</v>
      </c>
      <c r="E1352" t="s">
        <v>27</v>
      </c>
      <c r="F1352">
        <v>65704</v>
      </c>
      <c r="G1352" t="str">
        <f t="shared" si="63"/>
        <v>Mid-high</v>
      </c>
      <c r="H1352">
        <v>0</v>
      </c>
      <c r="I1352">
        <v>0</v>
      </c>
      <c r="J1352">
        <v>0</v>
      </c>
      <c r="K1352" s="1">
        <v>41560</v>
      </c>
      <c r="L1352">
        <v>18</v>
      </c>
      <c r="M1352" t="str">
        <f t="shared" si="64"/>
        <v>Active</v>
      </c>
      <c r="N1352">
        <v>0</v>
      </c>
      <c r="O1352">
        <v>279</v>
      </c>
      <c r="P1352">
        <v>172</v>
      </c>
      <c r="Q1352">
        <v>74</v>
      </c>
      <c r="R1352">
        <v>38</v>
      </c>
      <c r="S1352">
        <v>8</v>
      </c>
      <c r="T1352">
        <v>246</v>
      </c>
      <c r="U1352">
        <v>817</v>
      </c>
      <c r="V1352">
        <v>1</v>
      </c>
      <c r="W1352">
        <v>2</v>
      </c>
      <c r="X1352">
        <v>10</v>
      </c>
      <c r="Y1352">
        <v>10</v>
      </c>
      <c r="Z1352">
        <v>22</v>
      </c>
      <c r="AA1352">
        <v>1</v>
      </c>
      <c r="AB1352" t="str">
        <f t="shared" si="65"/>
        <v>Above average customer</v>
      </c>
    </row>
    <row r="1353" spans="1:28" x14ac:dyDescent="0.35">
      <c r="A1353">
        <v>5229</v>
      </c>
      <c r="B1353">
        <v>1969</v>
      </c>
      <c r="C1353" t="s">
        <v>28</v>
      </c>
      <c r="D1353" t="s">
        <v>32</v>
      </c>
      <c r="E1353" t="s">
        <v>29</v>
      </c>
      <c r="F1353">
        <v>54132</v>
      </c>
      <c r="G1353" t="str">
        <f t="shared" si="63"/>
        <v>Mid-high</v>
      </c>
      <c r="H1353">
        <v>0</v>
      </c>
      <c r="I1353">
        <v>1</v>
      </c>
      <c r="J1353">
        <v>1</v>
      </c>
      <c r="K1353" s="1">
        <v>41686</v>
      </c>
      <c r="L1353">
        <v>81</v>
      </c>
      <c r="M1353" t="str">
        <f t="shared" si="64"/>
        <v>Inactive</v>
      </c>
      <c r="N1353">
        <v>0</v>
      </c>
      <c r="O1353">
        <v>30</v>
      </c>
      <c r="P1353">
        <v>1</v>
      </c>
      <c r="Q1353">
        <v>8</v>
      </c>
      <c r="R1353">
        <v>0</v>
      </c>
      <c r="S1353">
        <v>0</v>
      </c>
      <c r="T1353">
        <v>3</v>
      </c>
      <c r="U1353">
        <v>42</v>
      </c>
      <c r="V1353">
        <v>1</v>
      </c>
      <c r="W1353">
        <v>1</v>
      </c>
      <c r="X1353">
        <v>0</v>
      </c>
      <c r="Y1353">
        <v>3</v>
      </c>
      <c r="Z1353">
        <v>4</v>
      </c>
      <c r="AA1353">
        <v>7</v>
      </c>
      <c r="AB1353" t="str">
        <f t="shared" si="65"/>
        <v>Below average customer</v>
      </c>
    </row>
    <row r="1354" spans="1:28" x14ac:dyDescent="0.35">
      <c r="A1354">
        <v>2428</v>
      </c>
      <c r="B1354">
        <v>1970</v>
      </c>
      <c r="C1354" t="s">
        <v>28</v>
      </c>
      <c r="D1354" t="s">
        <v>26</v>
      </c>
      <c r="E1354" t="s">
        <v>33</v>
      </c>
      <c r="F1354">
        <v>28164</v>
      </c>
      <c r="G1354" t="str">
        <f t="shared" si="63"/>
        <v>Low</v>
      </c>
      <c r="H1354">
        <v>1</v>
      </c>
      <c r="I1354">
        <v>0</v>
      </c>
      <c r="J1354">
        <v>1</v>
      </c>
      <c r="K1354" s="1">
        <v>41398</v>
      </c>
      <c r="L1354">
        <v>23</v>
      </c>
      <c r="M1354" t="str">
        <f t="shared" si="64"/>
        <v>Active</v>
      </c>
      <c r="N1354">
        <v>0</v>
      </c>
      <c r="O1354">
        <v>3</v>
      </c>
      <c r="P1354">
        <v>18</v>
      </c>
      <c r="Q1354">
        <v>26</v>
      </c>
      <c r="R1354">
        <v>11</v>
      </c>
      <c r="S1354">
        <v>8</v>
      </c>
      <c r="T1354">
        <v>12</v>
      </c>
      <c r="U1354">
        <v>78</v>
      </c>
      <c r="V1354">
        <v>3</v>
      </c>
      <c r="W1354">
        <v>2</v>
      </c>
      <c r="X1354">
        <v>0</v>
      </c>
      <c r="Y1354">
        <v>4</v>
      </c>
      <c r="Z1354">
        <v>6</v>
      </c>
      <c r="AA1354">
        <v>7</v>
      </c>
      <c r="AB1354" t="str">
        <f t="shared" si="65"/>
        <v>Below average customer</v>
      </c>
    </row>
    <row r="1355" spans="1:28" x14ac:dyDescent="0.35">
      <c r="A1355">
        <v>8254</v>
      </c>
      <c r="B1355">
        <v>1974</v>
      </c>
      <c r="C1355" t="s">
        <v>31</v>
      </c>
      <c r="D1355" t="s">
        <v>32</v>
      </c>
      <c r="E1355" t="s">
        <v>33</v>
      </c>
      <c r="F1355">
        <v>34596</v>
      </c>
      <c r="G1355" t="str">
        <f t="shared" si="63"/>
        <v>Low</v>
      </c>
      <c r="H1355">
        <v>1</v>
      </c>
      <c r="I1355">
        <v>0</v>
      </c>
      <c r="J1355">
        <v>1</v>
      </c>
      <c r="K1355" s="1">
        <v>41377</v>
      </c>
      <c r="L1355">
        <v>48</v>
      </c>
      <c r="M1355" t="str">
        <f t="shared" si="64"/>
        <v>Active</v>
      </c>
      <c r="N1355">
        <v>0</v>
      </c>
      <c r="O1355">
        <v>14</v>
      </c>
      <c r="P1355">
        <v>0</v>
      </c>
      <c r="Q1355">
        <v>2</v>
      </c>
      <c r="R1355">
        <v>0</v>
      </c>
      <c r="S1355">
        <v>0</v>
      </c>
      <c r="T1355">
        <v>7</v>
      </c>
      <c r="U1355">
        <v>23</v>
      </c>
      <c r="V1355">
        <v>1</v>
      </c>
      <c r="W1355">
        <v>1</v>
      </c>
      <c r="X1355">
        <v>0</v>
      </c>
      <c r="Y1355">
        <v>2</v>
      </c>
      <c r="Z1355">
        <v>3</v>
      </c>
      <c r="AA1355">
        <v>8</v>
      </c>
      <c r="AB1355" t="str">
        <f t="shared" si="65"/>
        <v>Below average customer</v>
      </c>
    </row>
    <row r="1356" spans="1:28" x14ac:dyDescent="0.35">
      <c r="A1356">
        <v>2836</v>
      </c>
      <c r="B1356">
        <v>1972</v>
      </c>
      <c r="C1356" t="s">
        <v>28</v>
      </c>
      <c r="D1356" t="s">
        <v>32</v>
      </c>
      <c r="E1356" t="s">
        <v>33</v>
      </c>
      <c r="F1356">
        <v>43269</v>
      </c>
      <c r="G1356" t="str">
        <f t="shared" si="63"/>
        <v>Mid-low</v>
      </c>
      <c r="H1356">
        <v>1</v>
      </c>
      <c r="I1356">
        <v>0</v>
      </c>
      <c r="J1356">
        <v>1</v>
      </c>
      <c r="K1356" s="1">
        <v>41533</v>
      </c>
      <c r="L1356">
        <v>61</v>
      </c>
      <c r="M1356" t="str">
        <f t="shared" si="64"/>
        <v>Inactive</v>
      </c>
      <c r="N1356">
        <v>0</v>
      </c>
      <c r="O1356">
        <v>10</v>
      </c>
      <c r="P1356">
        <v>1</v>
      </c>
      <c r="Q1356">
        <v>7</v>
      </c>
      <c r="R1356">
        <v>0</v>
      </c>
      <c r="S1356">
        <v>0</v>
      </c>
      <c r="T1356">
        <v>1</v>
      </c>
      <c r="U1356">
        <v>19</v>
      </c>
      <c r="V1356">
        <v>1</v>
      </c>
      <c r="W1356">
        <v>1</v>
      </c>
      <c r="X1356">
        <v>0</v>
      </c>
      <c r="Y1356">
        <v>2</v>
      </c>
      <c r="Z1356">
        <v>3</v>
      </c>
      <c r="AA1356">
        <v>8</v>
      </c>
      <c r="AB1356" t="str">
        <f t="shared" si="65"/>
        <v>Below average customer</v>
      </c>
    </row>
    <row r="1357" spans="1:28" x14ac:dyDescent="0.35">
      <c r="A1357">
        <v>8418</v>
      </c>
      <c r="B1357">
        <v>1958</v>
      </c>
      <c r="C1357" t="s">
        <v>25</v>
      </c>
      <c r="D1357" t="s">
        <v>34</v>
      </c>
      <c r="E1357" t="s">
        <v>27</v>
      </c>
      <c r="F1357">
        <v>38741</v>
      </c>
      <c r="G1357" t="str">
        <f t="shared" si="63"/>
        <v>Mid-low</v>
      </c>
      <c r="H1357">
        <v>1</v>
      </c>
      <c r="I1357">
        <v>1</v>
      </c>
      <c r="J1357">
        <v>2</v>
      </c>
      <c r="K1357" s="1">
        <v>41728</v>
      </c>
      <c r="L1357">
        <v>60</v>
      </c>
      <c r="M1357" t="str">
        <f t="shared" si="64"/>
        <v>Inactive</v>
      </c>
      <c r="N1357">
        <v>0</v>
      </c>
      <c r="O1357">
        <v>7</v>
      </c>
      <c r="P1357">
        <v>10</v>
      </c>
      <c r="Q1357">
        <v>17</v>
      </c>
      <c r="R1357">
        <v>8</v>
      </c>
      <c r="S1357">
        <v>6</v>
      </c>
      <c r="T1357">
        <v>13</v>
      </c>
      <c r="U1357">
        <v>61</v>
      </c>
      <c r="V1357">
        <v>2</v>
      </c>
      <c r="W1357">
        <v>2</v>
      </c>
      <c r="X1357">
        <v>0</v>
      </c>
      <c r="Y1357">
        <v>3</v>
      </c>
      <c r="Z1357">
        <v>5</v>
      </c>
      <c r="AA1357">
        <v>7</v>
      </c>
      <c r="AB1357" t="str">
        <f t="shared" si="65"/>
        <v>Below average customer</v>
      </c>
    </row>
    <row r="1358" spans="1:28" x14ac:dyDescent="0.35">
      <c r="A1358">
        <v>1362</v>
      </c>
      <c r="B1358">
        <v>1972</v>
      </c>
      <c r="C1358" t="s">
        <v>28</v>
      </c>
      <c r="D1358" t="s">
        <v>26</v>
      </c>
      <c r="E1358" t="s">
        <v>27</v>
      </c>
      <c r="F1358">
        <v>31907</v>
      </c>
      <c r="G1358" t="str">
        <f t="shared" si="63"/>
        <v>Low</v>
      </c>
      <c r="H1358">
        <v>0</v>
      </c>
      <c r="I1358">
        <v>0</v>
      </c>
      <c r="J1358">
        <v>0</v>
      </c>
      <c r="K1358" s="1">
        <v>41337</v>
      </c>
      <c r="L1358">
        <v>75</v>
      </c>
      <c r="M1358" t="str">
        <f t="shared" si="64"/>
        <v>Inactive</v>
      </c>
      <c r="N1358">
        <v>0</v>
      </c>
      <c r="O1358">
        <v>33</v>
      </c>
      <c r="P1358">
        <v>87</v>
      </c>
      <c r="Q1358">
        <v>64</v>
      </c>
      <c r="R1358">
        <v>175</v>
      </c>
      <c r="S1358">
        <v>16</v>
      </c>
      <c r="T1358">
        <v>74</v>
      </c>
      <c r="U1358">
        <v>449</v>
      </c>
      <c r="V1358">
        <v>1</v>
      </c>
      <c r="W1358">
        <v>6</v>
      </c>
      <c r="X1358">
        <v>1</v>
      </c>
      <c r="Y1358">
        <v>6</v>
      </c>
      <c r="Z1358">
        <v>13</v>
      </c>
      <c r="AA1358">
        <v>7</v>
      </c>
      <c r="AB1358" t="str">
        <f t="shared" si="65"/>
        <v>Below average customer</v>
      </c>
    </row>
    <row r="1359" spans="1:28" x14ac:dyDescent="0.35">
      <c r="A1359">
        <v>10033</v>
      </c>
      <c r="B1359">
        <v>1973</v>
      </c>
      <c r="C1359" t="s">
        <v>31</v>
      </c>
      <c r="D1359" t="s">
        <v>34</v>
      </c>
      <c r="E1359" t="s">
        <v>35</v>
      </c>
      <c r="F1359">
        <v>31163</v>
      </c>
      <c r="G1359" t="str">
        <f t="shared" si="63"/>
        <v>Low</v>
      </c>
      <c r="H1359">
        <v>1</v>
      </c>
      <c r="I1359">
        <v>0</v>
      </c>
      <c r="J1359">
        <v>1</v>
      </c>
      <c r="K1359" s="1">
        <v>41683</v>
      </c>
      <c r="L1359">
        <v>54</v>
      </c>
      <c r="M1359" t="str">
        <f t="shared" si="64"/>
        <v>Inactive</v>
      </c>
      <c r="N1359">
        <v>0</v>
      </c>
      <c r="O1359">
        <v>2</v>
      </c>
      <c r="P1359">
        <v>3</v>
      </c>
      <c r="Q1359">
        <v>10</v>
      </c>
      <c r="R1359">
        <v>11</v>
      </c>
      <c r="S1359">
        <v>2</v>
      </c>
      <c r="T1359">
        <v>10</v>
      </c>
      <c r="U1359">
        <v>38</v>
      </c>
      <c r="V1359">
        <v>1</v>
      </c>
      <c r="W1359">
        <v>1</v>
      </c>
      <c r="X1359">
        <v>0</v>
      </c>
      <c r="Y1359">
        <v>3</v>
      </c>
      <c r="Z1359">
        <v>4</v>
      </c>
      <c r="AA1359">
        <v>6</v>
      </c>
      <c r="AB1359" t="str">
        <f t="shared" si="65"/>
        <v>Below average customer</v>
      </c>
    </row>
    <row r="1360" spans="1:28" x14ac:dyDescent="0.35">
      <c r="A1360">
        <v>9349</v>
      </c>
      <c r="B1360">
        <v>1985</v>
      </c>
      <c r="C1360" t="s">
        <v>30</v>
      </c>
      <c r="D1360" t="s">
        <v>26</v>
      </c>
      <c r="E1360" t="s">
        <v>33</v>
      </c>
      <c r="F1360">
        <v>92533</v>
      </c>
      <c r="G1360" t="str">
        <f t="shared" si="63"/>
        <v>High</v>
      </c>
      <c r="H1360">
        <v>0</v>
      </c>
      <c r="I1360">
        <v>0</v>
      </c>
      <c r="J1360">
        <v>0</v>
      </c>
      <c r="K1360" s="1">
        <v>41627</v>
      </c>
      <c r="L1360">
        <v>84</v>
      </c>
      <c r="M1360" t="str">
        <f t="shared" si="64"/>
        <v>Inactive</v>
      </c>
      <c r="N1360">
        <v>0</v>
      </c>
      <c r="O1360">
        <v>693</v>
      </c>
      <c r="P1360">
        <v>21</v>
      </c>
      <c r="Q1360">
        <v>118</v>
      </c>
      <c r="R1360">
        <v>110</v>
      </c>
      <c r="S1360">
        <v>147</v>
      </c>
      <c r="T1360">
        <v>42</v>
      </c>
      <c r="U1360">
        <v>1131</v>
      </c>
      <c r="V1360">
        <v>1</v>
      </c>
      <c r="W1360">
        <v>6</v>
      </c>
      <c r="X1360">
        <v>5</v>
      </c>
      <c r="Y1360">
        <v>11</v>
      </c>
      <c r="Z1360">
        <v>22</v>
      </c>
      <c r="AA1360">
        <v>2</v>
      </c>
      <c r="AB1360" t="str">
        <f t="shared" si="65"/>
        <v>Below average customer</v>
      </c>
    </row>
    <row r="1361" spans="1:28" x14ac:dyDescent="0.35">
      <c r="A1361">
        <v>274</v>
      </c>
      <c r="B1361">
        <v>1973</v>
      </c>
      <c r="C1361" t="s">
        <v>31</v>
      </c>
      <c r="D1361" t="s">
        <v>26</v>
      </c>
      <c r="E1361" t="s">
        <v>27</v>
      </c>
      <c r="F1361">
        <v>34853</v>
      </c>
      <c r="G1361" t="str">
        <f t="shared" si="63"/>
        <v>Low</v>
      </c>
      <c r="H1361">
        <v>1</v>
      </c>
      <c r="I1361">
        <v>1</v>
      </c>
      <c r="J1361">
        <v>2</v>
      </c>
      <c r="K1361" s="1">
        <v>41631</v>
      </c>
      <c r="L1361">
        <v>75</v>
      </c>
      <c r="M1361" t="str">
        <f t="shared" si="64"/>
        <v>Inactive</v>
      </c>
      <c r="N1361">
        <v>0</v>
      </c>
      <c r="O1361">
        <v>9</v>
      </c>
      <c r="P1361">
        <v>3</v>
      </c>
      <c r="Q1361">
        <v>15</v>
      </c>
      <c r="R1361">
        <v>2</v>
      </c>
      <c r="S1361">
        <v>3</v>
      </c>
      <c r="T1361">
        <v>2</v>
      </c>
      <c r="U1361">
        <v>34</v>
      </c>
      <c r="V1361">
        <v>2</v>
      </c>
      <c r="W1361">
        <v>2</v>
      </c>
      <c r="X1361">
        <v>0</v>
      </c>
      <c r="Y1361">
        <v>3</v>
      </c>
      <c r="Z1361">
        <v>5</v>
      </c>
      <c r="AA1361">
        <v>6</v>
      </c>
      <c r="AB1361" t="str">
        <f t="shared" si="65"/>
        <v>Below average customer</v>
      </c>
    </row>
    <row r="1362" spans="1:28" x14ac:dyDescent="0.35">
      <c r="A1362">
        <v>3388</v>
      </c>
      <c r="B1362">
        <v>1967</v>
      </c>
      <c r="C1362" t="s">
        <v>28</v>
      </c>
      <c r="D1362" t="s">
        <v>26</v>
      </c>
      <c r="E1362" t="s">
        <v>35</v>
      </c>
      <c r="F1362">
        <v>70844</v>
      </c>
      <c r="G1362" t="str">
        <f t="shared" si="63"/>
        <v>High</v>
      </c>
      <c r="H1362">
        <v>1</v>
      </c>
      <c r="I1362">
        <v>1</v>
      </c>
      <c r="J1362">
        <v>2</v>
      </c>
      <c r="K1362" s="1">
        <v>41577</v>
      </c>
      <c r="L1362">
        <v>16</v>
      </c>
      <c r="M1362" t="str">
        <f t="shared" si="64"/>
        <v>Active</v>
      </c>
      <c r="N1362">
        <v>0</v>
      </c>
      <c r="O1362">
        <v>129</v>
      </c>
      <c r="P1362">
        <v>26</v>
      </c>
      <c r="Q1362">
        <v>67</v>
      </c>
      <c r="R1362">
        <v>3</v>
      </c>
      <c r="S1362">
        <v>67</v>
      </c>
      <c r="T1362">
        <v>2</v>
      </c>
      <c r="U1362">
        <v>294</v>
      </c>
      <c r="V1362">
        <v>5</v>
      </c>
      <c r="W1362">
        <v>6</v>
      </c>
      <c r="X1362">
        <v>1</v>
      </c>
      <c r="Y1362">
        <v>5</v>
      </c>
      <c r="Z1362">
        <v>12</v>
      </c>
      <c r="AA1362">
        <v>7</v>
      </c>
      <c r="AB1362" t="str">
        <f t="shared" si="65"/>
        <v>Below average customer</v>
      </c>
    </row>
    <row r="1363" spans="1:28" x14ac:dyDescent="0.35">
      <c r="A1363">
        <v>922</v>
      </c>
      <c r="B1363">
        <v>1979</v>
      </c>
      <c r="C1363" t="s">
        <v>31</v>
      </c>
      <c r="D1363" t="s">
        <v>34</v>
      </c>
      <c r="E1363" t="s">
        <v>33</v>
      </c>
      <c r="F1363">
        <v>31086</v>
      </c>
      <c r="G1363" t="str">
        <f t="shared" si="63"/>
        <v>Low</v>
      </c>
      <c r="H1363">
        <v>1</v>
      </c>
      <c r="I1363">
        <v>1</v>
      </c>
      <c r="J1363">
        <v>2</v>
      </c>
      <c r="K1363" s="1">
        <v>41398</v>
      </c>
      <c r="L1363">
        <v>79</v>
      </c>
      <c r="M1363" t="str">
        <f t="shared" si="64"/>
        <v>Inactive</v>
      </c>
      <c r="N1363">
        <v>0</v>
      </c>
      <c r="O1363">
        <v>16</v>
      </c>
      <c r="P1363">
        <v>2</v>
      </c>
      <c r="Q1363">
        <v>11</v>
      </c>
      <c r="R1363">
        <v>3</v>
      </c>
      <c r="S1363">
        <v>0</v>
      </c>
      <c r="T1363">
        <v>16</v>
      </c>
      <c r="U1363">
        <v>48</v>
      </c>
      <c r="V1363">
        <v>2</v>
      </c>
      <c r="W1363">
        <v>1</v>
      </c>
      <c r="X1363">
        <v>1</v>
      </c>
      <c r="Y1363">
        <v>2</v>
      </c>
      <c r="Z1363">
        <v>4</v>
      </c>
      <c r="AA1363">
        <v>8</v>
      </c>
      <c r="AB1363" t="str">
        <f t="shared" si="65"/>
        <v>Below average customer</v>
      </c>
    </row>
    <row r="1364" spans="1:28" x14ac:dyDescent="0.35">
      <c r="A1364">
        <v>2518</v>
      </c>
      <c r="B1364">
        <v>1986</v>
      </c>
      <c r="C1364" t="s">
        <v>30</v>
      </c>
      <c r="D1364" t="s">
        <v>34</v>
      </c>
      <c r="E1364" t="s">
        <v>29</v>
      </c>
      <c r="F1364">
        <v>20491</v>
      </c>
      <c r="G1364" t="str">
        <f t="shared" si="63"/>
        <v>Low</v>
      </c>
      <c r="H1364">
        <v>0</v>
      </c>
      <c r="I1364">
        <v>0</v>
      </c>
      <c r="J1364">
        <v>0</v>
      </c>
      <c r="K1364" s="1">
        <v>41299</v>
      </c>
      <c r="L1364">
        <v>16</v>
      </c>
      <c r="M1364" t="str">
        <f t="shared" si="64"/>
        <v>Active</v>
      </c>
      <c r="N1364">
        <v>0</v>
      </c>
      <c r="O1364">
        <v>5</v>
      </c>
      <c r="P1364">
        <v>4</v>
      </c>
      <c r="Q1364">
        <v>5</v>
      </c>
      <c r="R1364">
        <v>4</v>
      </c>
      <c r="S1364">
        <v>2</v>
      </c>
      <c r="T1364">
        <v>10</v>
      </c>
      <c r="U1364">
        <v>30</v>
      </c>
      <c r="V1364">
        <v>1</v>
      </c>
      <c r="W1364">
        <v>0</v>
      </c>
      <c r="X1364">
        <v>1</v>
      </c>
      <c r="Y1364">
        <v>2</v>
      </c>
      <c r="Z1364">
        <v>3</v>
      </c>
      <c r="AA1364">
        <v>7</v>
      </c>
      <c r="AB1364" t="str">
        <f t="shared" si="65"/>
        <v>Below average customer</v>
      </c>
    </row>
    <row r="1365" spans="1:28" x14ac:dyDescent="0.35">
      <c r="A1365">
        <v>574</v>
      </c>
      <c r="B1365">
        <v>1964</v>
      </c>
      <c r="C1365" t="s">
        <v>28</v>
      </c>
      <c r="D1365" t="s">
        <v>26</v>
      </c>
      <c r="E1365" t="s">
        <v>33</v>
      </c>
      <c r="F1365">
        <v>42523</v>
      </c>
      <c r="G1365" t="str">
        <f t="shared" si="63"/>
        <v>Mid-low</v>
      </c>
      <c r="H1365">
        <v>0</v>
      </c>
      <c r="I1365">
        <v>0</v>
      </c>
      <c r="J1365">
        <v>0</v>
      </c>
      <c r="K1365" s="1">
        <v>41752</v>
      </c>
      <c r="L1365">
        <v>96</v>
      </c>
      <c r="M1365" t="str">
        <f t="shared" si="64"/>
        <v>Inactive</v>
      </c>
      <c r="N1365">
        <v>0</v>
      </c>
      <c r="O1365">
        <v>14</v>
      </c>
      <c r="P1365">
        <v>36</v>
      </c>
      <c r="Q1365">
        <v>11</v>
      </c>
      <c r="R1365">
        <v>3</v>
      </c>
      <c r="S1365">
        <v>26</v>
      </c>
      <c r="T1365">
        <v>35</v>
      </c>
      <c r="U1365">
        <v>125</v>
      </c>
      <c r="V1365">
        <v>1</v>
      </c>
      <c r="W1365">
        <v>1</v>
      </c>
      <c r="X1365">
        <v>1</v>
      </c>
      <c r="Y1365">
        <v>4</v>
      </c>
      <c r="Z1365">
        <v>6</v>
      </c>
      <c r="AA1365">
        <v>2</v>
      </c>
      <c r="AB1365" t="str">
        <f t="shared" si="65"/>
        <v>Below average customer</v>
      </c>
    </row>
    <row r="1366" spans="1:28" x14ac:dyDescent="0.35">
      <c r="A1366">
        <v>5967</v>
      </c>
      <c r="B1366">
        <v>1952</v>
      </c>
      <c r="C1366" t="s">
        <v>36</v>
      </c>
      <c r="D1366" t="s">
        <v>26</v>
      </c>
      <c r="E1366" t="s">
        <v>29</v>
      </c>
      <c r="F1366">
        <v>33402</v>
      </c>
      <c r="G1366" t="str">
        <f t="shared" si="63"/>
        <v>Low</v>
      </c>
      <c r="H1366">
        <v>1</v>
      </c>
      <c r="I1366">
        <v>1</v>
      </c>
      <c r="J1366">
        <v>2</v>
      </c>
      <c r="K1366" s="1">
        <v>41473</v>
      </c>
      <c r="L1366">
        <v>60</v>
      </c>
      <c r="M1366" t="str">
        <f t="shared" si="64"/>
        <v>Inactive</v>
      </c>
      <c r="N1366">
        <v>0</v>
      </c>
      <c r="O1366">
        <v>26</v>
      </c>
      <c r="P1366">
        <v>2</v>
      </c>
      <c r="Q1366">
        <v>19</v>
      </c>
      <c r="R1366">
        <v>10</v>
      </c>
      <c r="S1366">
        <v>5</v>
      </c>
      <c r="T1366">
        <v>8</v>
      </c>
      <c r="U1366">
        <v>70</v>
      </c>
      <c r="V1366">
        <v>3</v>
      </c>
      <c r="W1366">
        <v>2</v>
      </c>
      <c r="X1366">
        <v>1</v>
      </c>
      <c r="Y1366">
        <v>3</v>
      </c>
      <c r="Z1366">
        <v>6</v>
      </c>
      <c r="AA1366">
        <v>8</v>
      </c>
      <c r="AB1366" t="str">
        <f t="shared" si="65"/>
        <v>Below average customer</v>
      </c>
    </row>
    <row r="1367" spans="1:28" x14ac:dyDescent="0.35">
      <c r="A1367">
        <v>1183</v>
      </c>
      <c r="B1367">
        <v>1949</v>
      </c>
      <c r="C1367" t="s">
        <v>36</v>
      </c>
      <c r="D1367" t="s">
        <v>34</v>
      </c>
      <c r="E1367" t="s">
        <v>33</v>
      </c>
      <c r="F1367">
        <v>36408</v>
      </c>
      <c r="G1367" t="str">
        <f t="shared" si="63"/>
        <v>Mid-low</v>
      </c>
      <c r="H1367">
        <v>1</v>
      </c>
      <c r="I1367">
        <v>1</v>
      </c>
      <c r="J1367">
        <v>2</v>
      </c>
      <c r="K1367" s="1">
        <v>41538</v>
      </c>
      <c r="L1367">
        <v>11</v>
      </c>
      <c r="M1367" t="str">
        <f t="shared" si="64"/>
        <v>Active</v>
      </c>
      <c r="N1367">
        <v>0</v>
      </c>
      <c r="O1367">
        <v>9</v>
      </c>
      <c r="P1367">
        <v>1</v>
      </c>
      <c r="Q1367">
        <v>4</v>
      </c>
      <c r="R1367">
        <v>3</v>
      </c>
      <c r="S1367">
        <v>2</v>
      </c>
      <c r="T1367">
        <v>3</v>
      </c>
      <c r="U1367">
        <v>22</v>
      </c>
      <c r="V1367">
        <v>1</v>
      </c>
      <c r="W1367">
        <v>1</v>
      </c>
      <c r="X1367">
        <v>0</v>
      </c>
      <c r="Y1367">
        <v>2</v>
      </c>
      <c r="Z1367">
        <v>3</v>
      </c>
      <c r="AA1367">
        <v>6</v>
      </c>
      <c r="AB1367" t="str">
        <f t="shared" si="65"/>
        <v>Below average customer</v>
      </c>
    </row>
    <row r="1368" spans="1:28" x14ac:dyDescent="0.35">
      <c r="A1368">
        <v>6856</v>
      </c>
      <c r="B1368">
        <v>1979</v>
      </c>
      <c r="C1368" t="s">
        <v>31</v>
      </c>
      <c r="D1368" t="s">
        <v>26</v>
      </c>
      <c r="E1368" t="s">
        <v>29</v>
      </c>
      <c r="F1368">
        <v>21645</v>
      </c>
      <c r="G1368" t="str">
        <f t="shared" si="63"/>
        <v>Low</v>
      </c>
      <c r="H1368">
        <v>1</v>
      </c>
      <c r="I1368">
        <v>0</v>
      </c>
      <c r="J1368">
        <v>1</v>
      </c>
      <c r="K1368" s="1">
        <v>41155</v>
      </c>
      <c r="L1368">
        <v>75</v>
      </c>
      <c r="M1368" t="str">
        <f t="shared" si="64"/>
        <v>Inactive</v>
      </c>
      <c r="N1368">
        <v>0</v>
      </c>
      <c r="O1368">
        <v>14</v>
      </c>
      <c r="P1368">
        <v>0</v>
      </c>
      <c r="Q1368">
        <v>23</v>
      </c>
      <c r="R1368">
        <v>4</v>
      </c>
      <c r="S1368">
        <v>5</v>
      </c>
      <c r="T1368">
        <v>19</v>
      </c>
      <c r="U1368">
        <v>65</v>
      </c>
      <c r="V1368">
        <v>3</v>
      </c>
      <c r="W1368">
        <v>3</v>
      </c>
      <c r="X1368">
        <v>0</v>
      </c>
      <c r="Y1368">
        <v>3</v>
      </c>
      <c r="Z1368">
        <v>6</v>
      </c>
      <c r="AA1368">
        <v>9</v>
      </c>
      <c r="AB1368" t="str">
        <f t="shared" si="65"/>
        <v>Below average customer</v>
      </c>
    </row>
    <row r="1369" spans="1:28" x14ac:dyDescent="0.35">
      <c r="A1369">
        <v>4530</v>
      </c>
      <c r="B1369">
        <v>1948</v>
      </c>
      <c r="C1369" t="s">
        <v>36</v>
      </c>
      <c r="D1369" t="s">
        <v>34</v>
      </c>
      <c r="E1369" t="s">
        <v>38</v>
      </c>
      <c r="F1369">
        <v>78427</v>
      </c>
      <c r="G1369" t="str">
        <f t="shared" si="63"/>
        <v>High</v>
      </c>
      <c r="H1369">
        <v>0</v>
      </c>
      <c r="I1369">
        <v>0</v>
      </c>
      <c r="J1369">
        <v>0</v>
      </c>
      <c r="K1369" s="1">
        <v>41206</v>
      </c>
      <c r="L1369">
        <v>36</v>
      </c>
      <c r="M1369" t="str">
        <f t="shared" si="64"/>
        <v>Active</v>
      </c>
      <c r="N1369">
        <v>0</v>
      </c>
      <c r="O1369">
        <v>972</v>
      </c>
      <c r="P1369">
        <v>19</v>
      </c>
      <c r="Q1369">
        <v>595</v>
      </c>
      <c r="R1369">
        <v>180</v>
      </c>
      <c r="S1369">
        <v>26</v>
      </c>
      <c r="T1369">
        <v>138</v>
      </c>
      <c r="U1369">
        <v>1930</v>
      </c>
      <c r="V1369">
        <v>3</v>
      </c>
      <c r="W1369">
        <v>3</v>
      </c>
      <c r="X1369">
        <v>7</v>
      </c>
      <c r="Y1369">
        <v>10</v>
      </c>
      <c r="Z1369">
        <v>20</v>
      </c>
      <c r="AA1369">
        <v>3</v>
      </c>
      <c r="AB1369" t="str">
        <f t="shared" si="65"/>
        <v>Above average customer</v>
      </c>
    </row>
    <row r="1370" spans="1:28" x14ac:dyDescent="0.35">
      <c r="A1370">
        <v>1553</v>
      </c>
      <c r="B1370">
        <v>1946</v>
      </c>
      <c r="C1370" t="s">
        <v>36</v>
      </c>
      <c r="D1370" t="s">
        <v>26</v>
      </c>
      <c r="E1370" t="s">
        <v>29</v>
      </c>
      <c r="F1370">
        <v>82657</v>
      </c>
      <c r="G1370" t="str">
        <f t="shared" si="63"/>
        <v>High</v>
      </c>
      <c r="H1370">
        <v>0</v>
      </c>
      <c r="I1370">
        <v>0</v>
      </c>
      <c r="J1370">
        <v>0</v>
      </c>
      <c r="K1370" s="1">
        <v>41544</v>
      </c>
      <c r="L1370">
        <v>71</v>
      </c>
      <c r="M1370" t="str">
        <f t="shared" si="64"/>
        <v>Inactive</v>
      </c>
      <c r="N1370">
        <v>0</v>
      </c>
      <c r="O1370">
        <v>966</v>
      </c>
      <c r="P1370">
        <v>168</v>
      </c>
      <c r="Q1370">
        <v>672</v>
      </c>
      <c r="R1370">
        <v>246</v>
      </c>
      <c r="S1370">
        <v>105</v>
      </c>
      <c r="T1370">
        <v>126</v>
      </c>
      <c r="U1370">
        <v>2283</v>
      </c>
      <c r="V1370">
        <v>1</v>
      </c>
      <c r="W1370">
        <v>7</v>
      </c>
      <c r="X1370">
        <v>5</v>
      </c>
      <c r="Y1370">
        <v>10</v>
      </c>
      <c r="Z1370">
        <v>22</v>
      </c>
      <c r="AA1370">
        <v>4</v>
      </c>
      <c r="AB1370" t="str">
        <f t="shared" si="65"/>
        <v>Below average customer</v>
      </c>
    </row>
    <row r="1371" spans="1:28" x14ac:dyDescent="0.35">
      <c r="A1371">
        <v>4682</v>
      </c>
      <c r="B1371">
        <v>1958</v>
      </c>
      <c r="C1371" t="s">
        <v>25</v>
      </c>
      <c r="D1371" t="s">
        <v>26</v>
      </c>
      <c r="E1371" t="s">
        <v>33</v>
      </c>
      <c r="F1371">
        <v>51876</v>
      </c>
      <c r="G1371" t="str">
        <f t="shared" si="63"/>
        <v>Mid-high</v>
      </c>
      <c r="H1371">
        <v>0</v>
      </c>
      <c r="I1371">
        <v>0</v>
      </c>
      <c r="J1371">
        <v>0</v>
      </c>
      <c r="K1371" s="1">
        <v>41562</v>
      </c>
      <c r="L1371">
        <v>88</v>
      </c>
      <c r="M1371" t="str">
        <f t="shared" si="64"/>
        <v>Inactive</v>
      </c>
      <c r="N1371">
        <v>0</v>
      </c>
      <c r="O1371">
        <v>99</v>
      </c>
      <c r="P1371">
        <v>27</v>
      </c>
      <c r="Q1371">
        <v>102</v>
      </c>
      <c r="R1371">
        <v>28</v>
      </c>
      <c r="S1371">
        <v>48</v>
      </c>
      <c r="T1371">
        <v>6</v>
      </c>
      <c r="U1371">
        <v>310</v>
      </c>
      <c r="V1371">
        <v>1</v>
      </c>
      <c r="W1371">
        <v>2</v>
      </c>
      <c r="X1371">
        <v>2</v>
      </c>
      <c r="Y1371">
        <v>8</v>
      </c>
      <c r="Z1371">
        <v>12</v>
      </c>
      <c r="AA1371">
        <v>1</v>
      </c>
      <c r="AB1371" t="str">
        <f t="shared" si="65"/>
        <v>Below average customer</v>
      </c>
    </row>
    <row r="1372" spans="1:28" x14ac:dyDescent="0.35">
      <c r="A1372">
        <v>8204</v>
      </c>
      <c r="B1372">
        <v>1971</v>
      </c>
      <c r="C1372" t="s">
        <v>28</v>
      </c>
      <c r="D1372" t="s">
        <v>34</v>
      </c>
      <c r="E1372" t="s">
        <v>33</v>
      </c>
      <c r="F1372">
        <v>78041</v>
      </c>
      <c r="G1372" t="str">
        <f t="shared" si="63"/>
        <v>High</v>
      </c>
      <c r="H1372">
        <v>0</v>
      </c>
      <c r="I1372">
        <v>0</v>
      </c>
      <c r="J1372">
        <v>0</v>
      </c>
      <c r="K1372" s="1">
        <v>41259</v>
      </c>
      <c r="L1372">
        <v>93</v>
      </c>
      <c r="M1372" t="str">
        <f t="shared" si="64"/>
        <v>Inactive</v>
      </c>
      <c r="N1372">
        <v>0</v>
      </c>
      <c r="O1372">
        <v>482</v>
      </c>
      <c r="P1372">
        <v>35</v>
      </c>
      <c r="Q1372">
        <v>553</v>
      </c>
      <c r="R1372">
        <v>72</v>
      </c>
      <c r="S1372">
        <v>160</v>
      </c>
      <c r="T1372">
        <v>17</v>
      </c>
      <c r="U1372">
        <v>1319</v>
      </c>
      <c r="V1372">
        <v>1</v>
      </c>
      <c r="W1372">
        <v>4</v>
      </c>
      <c r="X1372">
        <v>4</v>
      </c>
      <c r="Y1372">
        <v>9</v>
      </c>
      <c r="Z1372">
        <v>17</v>
      </c>
      <c r="AA1372">
        <v>2</v>
      </c>
      <c r="AB1372" t="str">
        <f t="shared" si="65"/>
        <v>Below average customer</v>
      </c>
    </row>
    <row r="1373" spans="1:28" x14ac:dyDescent="0.35">
      <c r="A1373">
        <v>5221</v>
      </c>
      <c r="B1373">
        <v>1957</v>
      </c>
      <c r="C1373" t="s">
        <v>25</v>
      </c>
      <c r="D1373" t="s">
        <v>26</v>
      </c>
      <c r="E1373" t="s">
        <v>33</v>
      </c>
      <c r="F1373">
        <v>52852</v>
      </c>
      <c r="G1373" t="str">
        <f t="shared" si="63"/>
        <v>Mid-high</v>
      </c>
      <c r="H1373">
        <v>0</v>
      </c>
      <c r="I1373">
        <v>1</v>
      </c>
      <c r="J1373">
        <v>1</v>
      </c>
      <c r="K1373" s="1">
        <v>41244</v>
      </c>
      <c r="L1373">
        <v>93</v>
      </c>
      <c r="M1373" t="str">
        <f t="shared" si="64"/>
        <v>Inactive</v>
      </c>
      <c r="N1373">
        <v>0</v>
      </c>
      <c r="O1373">
        <v>714</v>
      </c>
      <c r="P1373">
        <v>8</v>
      </c>
      <c r="Q1373">
        <v>99</v>
      </c>
      <c r="R1373">
        <v>11</v>
      </c>
      <c r="S1373">
        <v>0</v>
      </c>
      <c r="T1373">
        <v>47</v>
      </c>
      <c r="U1373">
        <v>879</v>
      </c>
      <c r="V1373">
        <v>4</v>
      </c>
      <c r="W1373">
        <v>10</v>
      </c>
      <c r="X1373">
        <v>7</v>
      </c>
      <c r="Y1373">
        <v>5</v>
      </c>
      <c r="Z1373">
        <v>22</v>
      </c>
      <c r="AA1373">
        <v>8</v>
      </c>
      <c r="AB1373" t="str">
        <f t="shared" si="65"/>
        <v>Below average customer</v>
      </c>
    </row>
    <row r="1374" spans="1:28" x14ac:dyDescent="0.35">
      <c r="A1374">
        <v>1232</v>
      </c>
      <c r="B1374">
        <v>1982</v>
      </c>
      <c r="C1374" t="s">
        <v>31</v>
      </c>
      <c r="D1374" t="s">
        <v>32</v>
      </c>
      <c r="E1374" t="s">
        <v>29</v>
      </c>
      <c r="F1374">
        <v>70038</v>
      </c>
      <c r="G1374" t="str">
        <f t="shared" si="63"/>
        <v>High</v>
      </c>
      <c r="H1374">
        <v>0</v>
      </c>
      <c r="I1374">
        <v>0</v>
      </c>
      <c r="J1374">
        <v>0</v>
      </c>
      <c r="K1374" s="1">
        <v>41572</v>
      </c>
      <c r="L1374">
        <v>54</v>
      </c>
      <c r="M1374" t="str">
        <f t="shared" si="64"/>
        <v>Inactive</v>
      </c>
      <c r="N1374">
        <v>0</v>
      </c>
      <c r="O1374">
        <v>587</v>
      </c>
      <c r="P1374">
        <v>54</v>
      </c>
      <c r="Q1374">
        <v>348</v>
      </c>
      <c r="R1374">
        <v>71</v>
      </c>
      <c r="S1374">
        <v>54</v>
      </c>
      <c r="T1374">
        <v>130</v>
      </c>
      <c r="U1374">
        <v>1244</v>
      </c>
      <c r="V1374">
        <v>1</v>
      </c>
      <c r="W1374">
        <v>4</v>
      </c>
      <c r="X1374">
        <v>4</v>
      </c>
      <c r="Y1374">
        <v>8</v>
      </c>
      <c r="Z1374">
        <v>16</v>
      </c>
      <c r="AA1374">
        <v>2</v>
      </c>
      <c r="AB1374" t="str">
        <f t="shared" si="65"/>
        <v>Below average customer</v>
      </c>
    </row>
    <row r="1375" spans="1:28" x14ac:dyDescent="0.35">
      <c r="A1375">
        <v>1927</v>
      </c>
      <c r="B1375">
        <v>1973</v>
      </c>
      <c r="C1375" t="s">
        <v>31</v>
      </c>
      <c r="D1375" t="s">
        <v>34</v>
      </c>
      <c r="E1375" t="s">
        <v>29</v>
      </c>
      <c r="F1375">
        <v>69401</v>
      </c>
      <c r="G1375" t="str">
        <f t="shared" si="63"/>
        <v>High</v>
      </c>
      <c r="H1375">
        <v>0</v>
      </c>
      <c r="I1375">
        <v>1</v>
      </c>
      <c r="J1375">
        <v>1</v>
      </c>
      <c r="K1375" s="1">
        <v>41721</v>
      </c>
      <c r="L1375">
        <v>41</v>
      </c>
      <c r="M1375" t="str">
        <f t="shared" si="64"/>
        <v>Active</v>
      </c>
      <c r="N1375">
        <v>0</v>
      </c>
      <c r="O1375">
        <v>399</v>
      </c>
      <c r="P1375">
        <v>27</v>
      </c>
      <c r="Q1375">
        <v>159</v>
      </c>
      <c r="R1375">
        <v>58</v>
      </c>
      <c r="S1375">
        <v>8</v>
      </c>
      <c r="T1375">
        <v>39</v>
      </c>
      <c r="U1375">
        <v>690</v>
      </c>
      <c r="V1375">
        <v>4</v>
      </c>
      <c r="W1375">
        <v>4</v>
      </c>
      <c r="X1375">
        <v>4</v>
      </c>
      <c r="Y1375">
        <v>5</v>
      </c>
      <c r="Z1375">
        <v>13</v>
      </c>
      <c r="AA1375">
        <v>2</v>
      </c>
      <c r="AB1375" t="str">
        <f t="shared" si="65"/>
        <v>Above average customer</v>
      </c>
    </row>
    <row r="1376" spans="1:28" x14ac:dyDescent="0.35">
      <c r="A1376">
        <v>5788</v>
      </c>
      <c r="B1376">
        <v>1972</v>
      </c>
      <c r="C1376" t="s">
        <v>28</v>
      </c>
      <c r="D1376" t="s">
        <v>26</v>
      </c>
      <c r="E1376" t="s">
        <v>29</v>
      </c>
      <c r="F1376">
        <v>46053</v>
      </c>
      <c r="G1376" t="str">
        <f t="shared" si="63"/>
        <v>Mid-low</v>
      </c>
      <c r="H1376">
        <v>1</v>
      </c>
      <c r="I1376">
        <v>0</v>
      </c>
      <c r="J1376">
        <v>1</v>
      </c>
      <c r="K1376" s="1">
        <v>41322</v>
      </c>
      <c r="L1376">
        <v>46</v>
      </c>
      <c r="M1376" t="str">
        <f t="shared" si="64"/>
        <v>Active</v>
      </c>
      <c r="N1376">
        <v>0</v>
      </c>
      <c r="O1376">
        <v>56</v>
      </c>
      <c r="P1376">
        <v>10</v>
      </c>
      <c r="Q1376">
        <v>92</v>
      </c>
      <c r="R1376">
        <v>19</v>
      </c>
      <c r="S1376">
        <v>7</v>
      </c>
      <c r="T1376">
        <v>25</v>
      </c>
      <c r="U1376">
        <v>209</v>
      </c>
      <c r="V1376">
        <v>3</v>
      </c>
      <c r="W1376">
        <v>3</v>
      </c>
      <c r="X1376">
        <v>2</v>
      </c>
      <c r="Y1376">
        <v>4</v>
      </c>
      <c r="Z1376">
        <v>9</v>
      </c>
      <c r="AA1376">
        <v>5</v>
      </c>
      <c r="AB1376" t="str">
        <f t="shared" si="65"/>
        <v>Below average customer</v>
      </c>
    </row>
    <row r="1377" spans="1:28" x14ac:dyDescent="0.35">
      <c r="A1377">
        <v>6652</v>
      </c>
      <c r="B1377">
        <v>1965</v>
      </c>
      <c r="C1377" t="s">
        <v>28</v>
      </c>
      <c r="D1377" t="s">
        <v>26</v>
      </c>
      <c r="E1377" t="s">
        <v>33</v>
      </c>
      <c r="F1377">
        <v>77343</v>
      </c>
      <c r="G1377" t="str">
        <f t="shared" si="63"/>
        <v>High</v>
      </c>
      <c r="H1377">
        <v>0</v>
      </c>
      <c r="I1377">
        <v>0</v>
      </c>
      <c r="J1377">
        <v>0</v>
      </c>
      <c r="K1377" s="1">
        <v>41799</v>
      </c>
      <c r="L1377">
        <v>28</v>
      </c>
      <c r="M1377" t="str">
        <f t="shared" si="64"/>
        <v>Active</v>
      </c>
      <c r="N1377">
        <v>0</v>
      </c>
      <c r="O1377">
        <v>227</v>
      </c>
      <c r="P1377">
        <v>151</v>
      </c>
      <c r="Q1377">
        <v>573</v>
      </c>
      <c r="R1377">
        <v>98</v>
      </c>
      <c r="S1377">
        <v>54</v>
      </c>
      <c r="T1377">
        <v>31</v>
      </c>
      <c r="U1377">
        <v>1134</v>
      </c>
      <c r="V1377">
        <v>1</v>
      </c>
      <c r="W1377">
        <v>3</v>
      </c>
      <c r="X1377">
        <v>4</v>
      </c>
      <c r="Y1377">
        <v>9</v>
      </c>
      <c r="Z1377">
        <v>16</v>
      </c>
      <c r="AA1377">
        <v>1</v>
      </c>
      <c r="AB1377" t="str">
        <f t="shared" si="65"/>
        <v>Above average customer</v>
      </c>
    </row>
    <row r="1378" spans="1:28" x14ac:dyDescent="0.35">
      <c r="A1378">
        <v>6246</v>
      </c>
      <c r="B1378">
        <v>1953</v>
      </c>
      <c r="C1378" t="s">
        <v>25</v>
      </c>
      <c r="D1378" t="s">
        <v>26</v>
      </c>
      <c r="E1378" t="s">
        <v>27</v>
      </c>
      <c r="F1378">
        <v>73892</v>
      </c>
      <c r="G1378" t="str">
        <f t="shared" si="63"/>
        <v>High</v>
      </c>
      <c r="H1378">
        <v>0</v>
      </c>
      <c r="I1378">
        <v>0</v>
      </c>
      <c r="J1378">
        <v>0</v>
      </c>
      <c r="K1378" s="1">
        <v>41591</v>
      </c>
      <c r="L1378">
        <v>40</v>
      </c>
      <c r="M1378" t="str">
        <f t="shared" si="64"/>
        <v>Active</v>
      </c>
      <c r="N1378">
        <v>0</v>
      </c>
      <c r="O1378">
        <v>703</v>
      </c>
      <c r="P1378">
        <v>102</v>
      </c>
      <c r="Q1378">
        <v>601</v>
      </c>
      <c r="R1378">
        <v>0</v>
      </c>
      <c r="S1378">
        <v>58</v>
      </c>
      <c r="T1378">
        <v>43</v>
      </c>
      <c r="U1378">
        <v>1507</v>
      </c>
      <c r="V1378">
        <v>1</v>
      </c>
      <c r="W1378">
        <v>3</v>
      </c>
      <c r="X1378">
        <v>11</v>
      </c>
      <c r="Y1378">
        <v>8</v>
      </c>
      <c r="Z1378">
        <v>22</v>
      </c>
      <c r="AA1378">
        <v>1</v>
      </c>
      <c r="AB1378" t="str">
        <f t="shared" si="65"/>
        <v>Above average customer</v>
      </c>
    </row>
    <row r="1379" spans="1:28" x14ac:dyDescent="0.35">
      <c r="A1379">
        <v>5975</v>
      </c>
      <c r="B1379">
        <v>1967</v>
      </c>
      <c r="C1379" t="s">
        <v>28</v>
      </c>
      <c r="D1379" t="s">
        <v>32</v>
      </c>
      <c r="E1379" t="s">
        <v>27</v>
      </c>
      <c r="F1379">
        <v>40304</v>
      </c>
      <c r="G1379" t="str">
        <f t="shared" si="63"/>
        <v>Mid-low</v>
      </c>
      <c r="H1379">
        <v>1</v>
      </c>
      <c r="I1379">
        <v>0</v>
      </c>
      <c r="J1379">
        <v>1</v>
      </c>
      <c r="K1379" s="1">
        <v>41547</v>
      </c>
      <c r="L1379">
        <v>82</v>
      </c>
      <c r="M1379" t="str">
        <f t="shared" si="64"/>
        <v>Inactive</v>
      </c>
      <c r="N1379">
        <v>0</v>
      </c>
      <c r="O1379">
        <v>37</v>
      </c>
      <c r="P1379">
        <v>0</v>
      </c>
      <c r="Q1379">
        <v>17</v>
      </c>
      <c r="R1379">
        <v>0</v>
      </c>
      <c r="S1379">
        <v>0</v>
      </c>
      <c r="T1379">
        <v>3</v>
      </c>
      <c r="U1379">
        <v>57</v>
      </c>
      <c r="V1379">
        <v>1</v>
      </c>
      <c r="W1379">
        <v>2</v>
      </c>
      <c r="X1379">
        <v>0</v>
      </c>
      <c r="Y1379">
        <v>3</v>
      </c>
      <c r="Z1379">
        <v>5</v>
      </c>
      <c r="AA1379">
        <v>7</v>
      </c>
      <c r="AB1379" t="str">
        <f t="shared" si="65"/>
        <v>Below average customer</v>
      </c>
    </row>
    <row r="1380" spans="1:28" x14ac:dyDescent="0.35">
      <c r="A1380">
        <v>6875</v>
      </c>
      <c r="B1380">
        <v>1965</v>
      </c>
      <c r="C1380" t="s">
        <v>28</v>
      </c>
      <c r="D1380" t="s">
        <v>32</v>
      </c>
      <c r="E1380" t="s">
        <v>29</v>
      </c>
      <c r="F1380">
        <v>32727</v>
      </c>
      <c r="G1380" t="str">
        <f t="shared" si="63"/>
        <v>Low</v>
      </c>
      <c r="H1380">
        <v>0</v>
      </c>
      <c r="I1380">
        <v>0</v>
      </c>
      <c r="J1380">
        <v>0</v>
      </c>
      <c r="K1380" s="1">
        <v>41149</v>
      </c>
      <c r="L1380">
        <v>38</v>
      </c>
      <c r="M1380" t="str">
        <f t="shared" si="64"/>
        <v>Active</v>
      </c>
      <c r="N1380">
        <v>0</v>
      </c>
      <c r="O1380">
        <v>167</v>
      </c>
      <c r="P1380">
        <v>13</v>
      </c>
      <c r="Q1380">
        <v>180</v>
      </c>
      <c r="R1380">
        <v>86</v>
      </c>
      <c r="S1380">
        <v>13</v>
      </c>
      <c r="T1380">
        <v>70</v>
      </c>
      <c r="U1380">
        <v>529</v>
      </c>
      <c r="V1380">
        <v>2</v>
      </c>
      <c r="W1380">
        <v>7</v>
      </c>
      <c r="X1380">
        <v>3</v>
      </c>
      <c r="Y1380">
        <v>5</v>
      </c>
      <c r="Z1380">
        <v>15</v>
      </c>
      <c r="AA1380">
        <v>8</v>
      </c>
      <c r="AB1380" t="str">
        <f t="shared" si="65"/>
        <v>Below average customer</v>
      </c>
    </row>
    <row r="1381" spans="1:28" x14ac:dyDescent="0.35">
      <c r="A1381">
        <v>4042</v>
      </c>
      <c r="B1381">
        <v>1971</v>
      </c>
      <c r="C1381" t="s">
        <v>28</v>
      </c>
      <c r="D1381" t="s">
        <v>26</v>
      </c>
      <c r="E1381" t="s">
        <v>35</v>
      </c>
      <c r="F1381">
        <v>43300</v>
      </c>
      <c r="G1381" t="str">
        <f t="shared" si="63"/>
        <v>Mid-low</v>
      </c>
      <c r="H1381">
        <v>0</v>
      </c>
      <c r="I1381">
        <v>1</v>
      </c>
      <c r="J1381">
        <v>1</v>
      </c>
      <c r="K1381" s="1">
        <v>41195</v>
      </c>
      <c r="L1381">
        <v>87</v>
      </c>
      <c r="M1381" t="str">
        <f t="shared" si="64"/>
        <v>Inactive</v>
      </c>
      <c r="N1381">
        <v>0</v>
      </c>
      <c r="O1381">
        <v>91</v>
      </c>
      <c r="P1381">
        <v>3</v>
      </c>
      <c r="Q1381">
        <v>52</v>
      </c>
      <c r="R1381">
        <v>2</v>
      </c>
      <c r="S1381">
        <v>1</v>
      </c>
      <c r="T1381">
        <v>31</v>
      </c>
      <c r="U1381">
        <v>180</v>
      </c>
      <c r="V1381">
        <v>3</v>
      </c>
      <c r="W1381">
        <v>4</v>
      </c>
      <c r="X1381">
        <v>0</v>
      </c>
      <c r="Y1381">
        <v>4</v>
      </c>
      <c r="Z1381">
        <v>8</v>
      </c>
      <c r="AA1381">
        <v>8</v>
      </c>
      <c r="AB1381" t="str">
        <f t="shared" si="65"/>
        <v>Below average customer</v>
      </c>
    </row>
    <row r="1382" spans="1:28" x14ac:dyDescent="0.35">
      <c r="A1382">
        <v>2157</v>
      </c>
      <c r="B1382">
        <v>1972</v>
      </c>
      <c r="C1382" t="s">
        <v>28</v>
      </c>
      <c r="D1382" t="s">
        <v>26</v>
      </c>
      <c r="E1382" t="s">
        <v>29</v>
      </c>
      <c r="F1382">
        <v>26290</v>
      </c>
      <c r="G1382" t="str">
        <f t="shared" si="63"/>
        <v>Low</v>
      </c>
      <c r="H1382">
        <v>1</v>
      </c>
      <c r="I1382">
        <v>1</v>
      </c>
      <c r="J1382">
        <v>2</v>
      </c>
      <c r="K1382" s="1">
        <v>41286</v>
      </c>
      <c r="L1382">
        <v>49</v>
      </c>
      <c r="M1382" t="str">
        <f t="shared" si="64"/>
        <v>Inactive</v>
      </c>
      <c r="N1382">
        <v>0</v>
      </c>
      <c r="O1382">
        <v>15</v>
      </c>
      <c r="P1382">
        <v>8</v>
      </c>
      <c r="Q1382">
        <v>16</v>
      </c>
      <c r="R1382">
        <v>11</v>
      </c>
      <c r="S1382">
        <v>5</v>
      </c>
      <c r="T1382">
        <v>22</v>
      </c>
      <c r="U1382">
        <v>77</v>
      </c>
      <c r="V1382">
        <v>4</v>
      </c>
      <c r="W1382">
        <v>2</v>
      </c>
      <c r="X1382">
        <v>0</v>
      </c>
      <c r="Y1382">
        <v>4</v>
      </c>
      <c r="Z1382">
        <v>6</v>
      </c>
      <c r="AA1382">
        <v>6</v>
      </c>
      <c r="AB1382" t="str">
        <f t="shared" si="65"/>
        <v>Below average customer</v>
      </c>
    </row>
    <row r="1383" spans="1:28" x14ac:dyDescent="0.35">
      <c r="A1383">
        <v>10133</v>
      </c>
      <c r="B1383">
        <v>1970</v>
      </c>
      <c r="C1383" t="s">
        <v>28</v>
      </c>
      <c r="D1383" t="s">
        <v>26</v>
      </c>
      <c r="E1383" t="s">
        <v>27</v>
      </c>
      <c r="F1383">
        <v>93790</v>
      </c>
      <c r="G1383" t="str">
        <f t="shared" si="63"/>
        <v>High</v>
      </c>
      <c r="H1383">
        <v>0</v>
      </c>
      <c r="I1383">
        <v>0</v>
      </c>
      <c r="J1383">
        <v>0</v>
      </c>
      <c r="K1383" s="1">
        <v>41682</v>
      </c>
      <c r="L1383">
        <v>16</v>
      </c>
      <c r="M1383" t="str">
        <f t="shared" si="64"/>
        <v>Active</v>
      </c>
      <c r="N1383">
        <v>0</v>
      </c>
      <c r="O1383">
        <v>1302</v>
      </c>
      <c r="P1383">
        <v>68</v>
      </c>
      <c r="Q1383">
        <v>731</v>
      </c>
      <c r="R1383">
        <v>89</v>
      </c>
      <c r="S1383">
        <v>114</v>
      </c>
      <c r="T1383">
        <v>45</v>
      </c>
      <c r="U1383">
        <v>2349</v>
      </c>
      <c r="V1383">
        <v>0</v>
      </c>
      <c r="W1383">
        <v>6</v>
      </c>
      <c r="X1383">
        <v>7</v>
      </c>
      <c r="Y1383">
        <v>12</v>
      </c>
      <c r="Z1383">
        <v>25</v>
      </c>
      <c r="AA1383">
        <v>2</v>
      </c>
      <c r="AB1383" t="str">
        <f t="shared" si="65"/>
        <v>Above average customer</v>
      </c>
    </row>
    <row r="1384" spans="1:28" x14ac:dyDescent="0.35">
      <c r="A1384">
        <v>2525</v>
      </c>
      <c r="B1384">
        <v>1974</v>
      </c>
      <c r="C1384" t="s">
        <v>31</v>
      </c>
      <c r="D1384" t="s">
        <v>32</v>
      </c>
      <c r="E1384" t="s">
        <v>33</v>
      </c>
      <c r="F1384">
        <v>38410</v>
      </c>
      <c r="G1384" t="str">
        <f t="shared" si="63"/>
        <v>Mid-low</v>
      </c>
      <c r="H1384">
        <v>0</v>
      </c>
      <c r="I1384">
        <v>0</v>
      </c>
      <c r="J1384">
        <v>0</v>
      </c>
      <c r="K1384" s="1">
        <v>41166</v>
      </c>
      <c r="L1384">
        <v>65</v>
      </c>
      <c r="M1384" t="str">
        <f t="shared" si="64"/>
        <v>Inactive</v>
      </c>
      <c r="N1384">
        <v>0</v>
      </c>
      <c r="O1384">
        <v>153</v>
      </c>
      <c r="P1384">
        <v>64</v>
      </c>
      <c r="Q1384">
        <v>123</v>
      </c>
      <c r="R1384">
        <v>116</v>
      </c>
      <c r="S1384">
        <v>64</v>
      </c>
      <c r="T1384">
        <v>14</v>
      </c>
      <c r="U1384">
        <v>534</v>
      </c>
      <c r="V1384">
        <v>2</v>
      </c>
      <c r="W1384">
        <v>5</v>
      </c>
      <c r="X1384">
        <v>2</v>
      </c>
      <c r="Y1384">
        <v>9</v>
      </c>
      <c r="Z1384">
        <v>16</v>
      </c>
      <c r="AA1384">
        <v>6</v>
      </c>
      <c r="AB1384" t="str">
        <f t="shared" si="65"/>
        <v>Below average customer</v>
      </c>
    </row>
    <row r="1385" spans="1:28" x14ac:dyDescent="0.35">
      <c r="A1385">
        <v>8233</v>
      </c>
      <c r="B1385">
        <v>1950</v>
      </c>
      <c r="C1385" t="s">
        <v>36</v>
      </c>
      <c r="D1385" t="s">
        <v>34</v>
      </c>
      <c r="E1385" t="s">
        <v>38</v>
      </c>
      <c r="F1385">
        <v>64866</v>
      </c>
      <c r="G1385" t="str">
        <f t="shared" si="63"/>
        <v>Mid-high</v>
      </c>
      <c r="H1385">
        <v>0</v>
      </c>
      <c r="I1385">
        <v>1</v>
      </c>
      <c r="J1385">
        <v>1</v>
      </c>
      <c r="K1385" s="1">
        <v>41665</v>
      </c>
      <c r="L1385">
        <v>9</v>
      </c>
      <c r="M1385" t="str">
        <f t="shared" si="64"/>
        <v>Active</v>
      </c>
      <c r="N1385">
        <v>0</v>
      </c>
      <c r="O1385">
        <v>508</v>
      </c>
      <c r="P1385">
        <v>5</v>
      </c>
      <c r="Q1385">
        <v>21</v>
      </c>
      <c r="R1385">
        <v>7</v>
      </c>
      <c r="S1385">
        <v>5</v>
      </c>
      <c r="T1385">
        <v>10</v>
      </c>
      <c r="U1385">
        <v>556</v>
      </c>
      <c r="V1385">
        <v>4</v>
      </c>
      <c r="W1385">
        <v>7</v>
      </c>
      <c r="X1385">
        <v>3</v>
      </c>
      <c r="Y1385">
        <v>7</v>
      </c>
      <c r="Z1385">
        <v>17</v>
      </c>
      <c r="AA1385">
        <v>5</v>
      </c>
      <c r="AB1385" t="str">
        <f t="shared" si="65"/>
        <v>Below average customer</v>
      </c>
    </row>
    <row r="1386" spans="1:28" x14ac:dyDescent="0.35">
      <c r="A1386">
        <v>9483</v>
      </c>
      <c r="B1386">
        <v>1959</v>
      </c>
      <c r="C1386" t="s">
        <v>25</v>
      </c>
      <c r="D1386" t="s">
        <v>26</v>
      </c>
      <c r="E1386" t="s">
        <v>29</v>
      </c>
      <c r="F1386">
        <v>57957</v>
      </c>
      <c r="G1386" t="str">
        <f t="shared" si="63"/>
        <v>Mid-high</v>
      </c>
      <c r="H1386">
        <v>0</v>
      </c>
      <c r="I1386">
        <v>1</v>
      </c>
      <c r="J1386">
        <v>1</v>
      </c>
      <c r="K1386" s="1">
        <v>41505</v>
      </c>
      <c r="L1386">
        <v>24</v>
      </c>
      <c r="M1386" t="str">
        <f t="shared" si="64"/>
        <v>Active</v>
      </c>
      <c r="N1386">
        <v>1</v>
      </c>
      <c r="O1386">
        <v>290</v>
      </c>
      <c r="P1386">
        <v>59</v>
      </c>
      <c r="Q1386">
        <v>177</v>
      </c>
      <c r="R1386">
        <v>77</v>
      </c>
      <c r="S1386">
        <v>5</v>
      </c>
      <c r="T1386">
        <v>29</v>
      </c>
      <c r="U1386">
        <v>637</v>
      </c>
      <c r="V1386">
        <v>7</v>
      </c>
      <c r="W1386">
        <v>4</v>
      </c>
      <c r="X1386">
        <v>6</v>
      </c>
      <c r="Y1386">
        <v>8</v>
      </c>
      <c r="Z1386">
        <v>18</v>
      </c>
      <c r="AA1386">
        <v>3</v>
      </c>
      <c r="AB1386" t="str">
        <f t="shared" si="65"/>
        <v>Below average customer</v>
      </c>
    </row>
    <row r="1387" spans="1:28" x14ac:dyDescent="0.35">
      <c r="A1387">
        <v>10403</v>
      </c>
      <c r="B1387">
        <v>1978</v>
      </c>
      <c r="C1387" t="s">
        <v>31</v>
      </c>
      <c r="D1387" t="s">
        <v>26</v>
      </c>
      <c r="E1387" t="s">
        <v>29</v>
      </c>
      <c r="F1387">
        <v>16531</v>
      </c>
      <c r="G1387" t="str">
        <f t="shared" si="63"/>
        <v>Low</v>
      </c>
      <c r="H1387">
        <v>1</v>
      </c>
      <c r="I1387">
        <v>0</v>
      </c>
      <c r="J1387">
        <v>1</v>
      </c>
      <c r="K1387" s="1">
        <v>41808</v>
      </c>
      <c r="L1387">
        <v>43</v>
      </c>
      <c r="M1387" t="str">
        <f t="shared" si="64"/>
        <v>Active</v>
      </c>
      <c r="N1387">
        <v>0</v>
      </c>
      <c r="O1387">
        <v>2</v>
      </c>
      <c r="P1387">
        <v>13</v>
      </c>
      <c r="Q1387">
        <v>6</v>
      </c>
      <c r="R1387">
        <v>7</v>
      </c>
      <c r="S1387">
        <v>5</v>
      </c>
      <c r="T1387">
        <v>11</v>
      </c>
      <c r="U1387">
        <v>44</v>
      </c>
      <c r="V1387">
        <v>3</v>
      </c>
      <c r="W1387">
        <v>3</v>
      </c>
      <c r="X1387">
        <v>0</v>
      </c>
      <c r="Y1387">
        <v>3</v>
      </c>
      <c r="Z1387">
        <v>6</v>
      </c>
      <c r="AA1387">
        <v>7</v>
      </c>
      <c r="AB1387" t="str">
        <f t="shared" si="65"/>
        <v>Below average customer</v>
      </c>
    </row>
    <row r="1388" spans="1:28" x14ac:dyDescent="0.35">
      <c r="A1388">
        <v>5074</v>
      </c>
      <c r="B1388">
        <v>1986</v>
      </c>
      <c r="C1388" t="s">
        <v>30</v>
      </c>
      <c r="D1388" t="s">
        <v>34</v>
      </c>
      <c r="E1388" t="s">
        <v>33</v>
      </c>
      <c r="F1388">
        <v>28072</v>
      </c>
      <c r="G1388" t="str">
        <f t="shared" si="63"/>
        <v>Low</v>
      </c>
      <c r="H1388">
        <v>1</v>
      </c>
      <c r="I1388">
        <v>0</v>
      </c>
      <c r="J1388">
        <v>1</v>
      </c>
      <c r="K1388" s="1">
        <v>41463</v>
      </c>
      <c r="L1388">
        <v>10</v>
      </c>
      <c r="M1388" t="str">
        <f t="shared" si="64"/>
        <v>Active</v>
      </c>
      <c r="N1388">
        <v>0</v>
      </c>
      <c r="O1388">
        <v>30</v>
      </c>
      <c r="P1388">
        <v>0</v>
      </c>
      <c r="Q1388">
        <v>10</v>
      </c>
      <c r="R1388">
        <v>2</v>
      </c>
      <c r="S1388">
        <v>0</v>
      </c>
      <c r="T1388">
        <v>5</v>
      </c>
      <c r="U1388">
        <v>47</v>
      </c>
      <c r="V1388">
        <v>1</v>
      </c>
      <c r="W1388">
        <v>1</v>
      </c>
      <c r="X1388">
        <v>0</v>
      </c>
      <c r="Y1388">
        <v>3</v>
      </c>
      <c r="Z1388">
        <v>4</v>
      </c>
      <c r="AA1388">
        <v>7</v>
      </c>
      <c r="AB1388" t="str">
        <f t="shared" si="65"/>
        <v>Below average customer</v>
      </c>
    </row>
    <row r="1389" spans="1:28" x14ac:dyDescent="0.35">
      <c r="A1389">
        <v>10524</v>
      </c>
      <c r="B1389">
        <v>1963</v>
      </c>
      <c r="C1389" t="s">
        <v>28</v>
      </c>
      <c r="D1389" t="s">
        <v>34</v>
      </c>
      <c r="E1389" t="s">
        <v>35</v>
      </c>
      <c r="F1389">
        <v>49476</v>
      </c>
      <c r="G1389" t="str">
        <f t="shared" si="63"/>
        <v>Mid-low</v>
      </c>
      <c r="H1389">
        <v>0</v>
      </c>
      <c r="I1389">
        <v>1</v>
      </c>
      <c r="J1389">
        <v>1</v>
      </c>
      <c r="K1389" s="1">
        <v>41445</v>
      </c>
      <c r="L1389">
        <v>29</v>
      </c>
      <c r="M1389" t="str">
        <f t="shared" si="64"/>
        <v>Active</v>
      </c>
      <c r="N1389">
        <v>0</v>
      </c>
      <c r="O1389">
        <v>386</v>
      </c>
      <c r="P1389">
        <v>23</v>
      </c>
      <c r="Q1389">
        <v>95</v>
      </c>
      <c r="R1389">
        <v>54</v>
      </c>
      <c r="S1389">
        <v>41</v>
      </c>
      <c r="T1389">
        <v>196</v>
      </c>
      <c r="U1389">
        <v>795</v>
      </c>
      <c r="V1389">
        <v>4</v>
      </c>
      <c r="W1389">
        <v>2</v>
      </c>
      <c r="X1389">
        <v>11</v>
      </c>
      <c r="Y1389">
        <v>5</v>
      </c>
      <c r="Z1389">
        <v>18</v>
      </c>
      <c r="AA1389">
        <v>2</v>
      </c>
      <c r="AB1389" t="str">
        <f t="shared" si="65"/>
        <v>Below average customer</v>
      </c>
    </row>
    <row r="1390" spans="1:28" x14ac:dyDescent="0.35">
      <c r="A1390">
        <v>4690</v>
      </c>
      <c r="B1390">
        <v>1953</v>
      </c>
      <c r="C1390" t="s">
        <v>25</v>
      </c>
      <c r="D1390" t="s">
        <v>26</v>
      </c>
      <c r="E1390" t="s">
        <v>33</v>
      </c>
      <c r="F1390">
        <v>50725</v>
      </c>
      <c r="G1390" t="str">
        <f t="shared" si="63"/>
        <v>Mid-low</v>
      </c>
      <c r="H1390">
        <v>0</v>
      </c>
      <c r="I1390">
        <v>1</v>
      </c>
      <c r="J1390">
        <v>1</v>
      </c>
      <c r="K1390" s="1">
        <v>41318</v>
      </c>
      <c r="L1390">
        <v>45</v>
      </c>
      <c r="M1390" t="str">
        <f t="shared" si="64"/>
        <v>Active</v>
      </c>
      <c r="N1390">
        <v>0</v>
      </c>
      <c r="O1390">
        <v>443</v>
      </c>
      <c r="P1390">
        <v>10</v>
      </c>
      <c r="Q1390">
        <v>75</v>
      </c>
      <c r="R1390">
        <v>0</v>
      </c>
      <c r="S1390">
        <v>10</v>
      </c>
      <c r="T1390">
        <v>48</v>
      </c>
      <c r="U1390">
        <v>586</v>
      </c>
      <c r="V1390">
        <v>4</v>
      </c>
      <c r="W1390">
        <v>8</v>
      </c>
      <c r="X1390">
        <v>1</v>
      </c>
      <c r="Y1390">
        <v>8</v>
      </c>
      <c r="Z1390">
        <v>17</v>
      </c>
      <c r="AA1390">
        <v>8</v>
      </c>
      <c r="AB1390" t="str">
        <f t="shared" si="65"/>
        <v>Below average customer</v>
      </c>
    </row>
    <row r="1391" spans="1:28" x14ac:dyDescent="0.35">
      <c r="A1391">
        <v>7196</v>
      </c>
      <c r="B1391">
        <v>1950</v>
      </c>
      <c r="C1391" t="s">
        <v>36</v>
      </c>
      <c r="D1391" t="s">
        <v>32</v>
      </c>
      <c r="E1391" t="s">
        <v>33</v>
      </c>
      <c r="F1391">
        <v>41145</v>
      </c>
      <c r="G1391" t="str">
        <f t="shared" si="63"/>
        <v>Mid-low</v>
      </c>
      <c r="H1391">
        <v>1</v>
      </c>
      <c r="I1391">
        <v>1</v>
      </c>
      <c r="J1391">
        <v>2</v>
      </c>
      <c r="K1391" s="1">
        <v>41678</v>
      </c>
      <c r="L1391">
        <v>20</v>
      </c>
      <c r="M1391" t="str">
        <f t="shared" si="64"/>
        <v>Active</v>
      </c>
      <c r="N1391">
        <v>0</v>
      </c>
      <c r="O1391">
        <v>9</v>
      </c>
      <c r="P1391">
        <v>0</v>
      </c>
      <c r="Q1391">
        <v>3</v>
      </c>
      <c r="R1391">
        <v>0</v>
      </c>
      <c r="S1391">
        <v>0</v>
      </c>
      <c r="T1391">
        <v>1</v>
      </c>
      <c r="U1391">
        <v>13</v>
      </c>
      <c r="V1391">
        <v>1</v>
      </c>
      <c r="W1391">
        <v>0</v>
      </c>
      <c r="X1391">
        <v>0</v>
      </c>
      <c r="Y1391">
        <v>3</v>
      </c>
      <c r="Z1391">
        <v>3</v>
      </c>
      <c r="AA1391">
        <v>3</v>
      </c>
      <c r="AB1391" t="str">
        <f t="shared" si="65"/>
        <v>Below average customer</v>
      </c>
    </row>
    <row r="1392" spans="1:28" x14ac:dyDescent="0.35">
      <c r="A1392">
        <v>4406</v>
      </c>
      <c r="B1392">
        <v>1970</v>
      </c>
      <c r="C1392" t="s">
        <v>28</v>
      </c>
      <c r="D1392" t="s">
        <v>26</v>
      </c>
      <c r="E1392" t="s">
        <v>29</v>
      </c>
      <c r="F1392">
        <v>67419</v>
      </c>
      <c r="G1392" t="str">
        <f t="shared" si="63"/>
        <v>Mid-high</v>
      </c>
      <c r="H1392">
        <v>0</v>
      </c>
      <c r="I1392">
        <v>1</v>
      </c>
      <c r="J1392">
        <v>1</v>
      </c>
      <c r="K1392" s="1">
        <v>41290</v>
      </c>
      <c r="L1392">
        <v>29</v>
      </c>
      <c r="M1392" t="str">
        <f t="shared" si="64"/>
        <v>Active</v>
      </c>
      <c r="N1392">
        <v>0</v>
      </c>
      <c r="O1392">
        <v>846</v>
      </c>
      <c r="P1392">
        <v>84</v>
      </c>
      <c r="Q1392">
        <v>352</v>
      </c>
      <c r="R1392">
        <v>91</v>
      </c>
      <c r="S1392">
        <v>56</v>
      </c>
      <c r="T1392">
        <v>42</v>
      </c>
      <c r="U1392">
        <v>1471</v>
      </c>
      <c r="V1392">
        <v>4</v>
      </c>
      <c r="W1392">
        <v>9</v>
      </c>
      <c r="X1392">
        <v>4</v>
      </c>
      <c r="Y1392">
        <v>8</v>
      </c>
      <c r="Z1392">
        <v>21</v>
      </c>
      <c r="AA1392">
        <v>5</v>
      </c>
      <c r="AB1392" t="str">
        <f t="shared" si="65"/>
        <v>Above average customer</v>
      </c>
    </row>
    <row r="1393" spans="1:28" x14ac:dyDescent="0.35">
      <c r="A1393">
        <v>9672</v>
      </c>
      <c r="B1393">
        <v>1970</v>
      </c>
      <c r="C1393" t="s">
        <v>28</v>
      </c>
      <c r="D1393" t="s">
        <v>34</v>
      </c>
      <c r="E1393" t="s">
        <v>33</v>
      </c>
      <c r="F1393">
        <v>23162</v>
      </c>
      <c r="G1393" t="str">
        <f t="shared" si="63"/>
        <v>Low</v>
      </c>
      <c r="H1393">
        <v>1</v>
      </c>
      <c r="I1393">
        <v>1</v>
      </c>
      <c r="J1393">
        <v>2</v>
      </c>
      <c r="K1393" s="1">
        <v>41629</v>
      </c>
      <c r="L1393">
        <v>82</v>
      </c>
      <c r="M1393" t="str">
        <f t="shared" si="64"/>
        <v>Inactive</v>
      </c>
      <c r="N1393">
        <v>0</v>
      </c>
      <c r="O1393">
        <v>8</v>
      </c>
      <c r="P1393">
        <v>3</v>
      </c>
      <c r="Q1393">
        <v>9</v>
      </c>
      <c r="R1393">
        <v>19</v>
      </c>
      <c r="S1393">
        <v>4</v>
      </c>
      <c r="T1393">
        <v>22</v>
      </c>
      <c r="U1393">
        <v>65</v>
      </c>
      <c r="V1393">
        <v>3</v>
      </c>
      <c r="W1393">
        <v>1</v>
      </c>
      <c r="X1393">
        <v>1</v>
      </c>
      <c r="Y1393">
        <v>3</v>
      </c>
      <c r="Z1393">
        <v>5</v>
      </c>
      <c r="AA1393">
        <v>6</v>
      </c>
      <c r="AB1393" t="str">
        <f t="shared" si="65"/>
        <v>Below average customer</v>
      </c>
    </row>
    <row r="1394" spans="1:28" x14ac:dyDescent="0.35">
      <c r="A1394">
        <v>4864</v>
      </c>
      <c r="B1394">
        <v>1977</v>
      </c>
      <c r="C1394" t="s">
        <v>31</v>
      </c>
      <c r="D1394" t="s">
        <v>26</v>
      </c>
      <c r="E1394" t="s">
        <v>33</v>
      </c>
      <c r="F1394">
        <v>34380</v>
      </c>
      <c r="G1394" t="str">
        <f t="shared" si="63"/>
        <v>Low</v>
      </c>
      <c r="H1394">
        <v>1</v>
      </c>
      <c r="I1394">
        <v>0</v>
      </c>
      <c r="J1394">
        <v>1</v>
      </c>
      <c r="K1394" s="1">
        <v>41396</v>
      </c>
      <c r="L1394">
        <v>68</v>
      </c>
      <c r="M1394" t="str">
        <f t="shared" si="64"/>
        <v>Inactive</v>
      </c>
      <c r="N1394">
        <v>0</v>
      </c>
      <c r="O1394">
        <v>72</v>
      </c>
      <c r="P1394">
        <v>7</v>
      </c>
      <c r="Q1394">
        <v>58</v>
      </c>
      <c r="R1394">
        <v>13</v>
      </c>
      <c r="S1394">
        <v>1</v>
      </c>
      <c r="T1394">
        <v>24</v>
      </c>
      <c r="U1394">
        <v>175</v>
      </c>
      <c r="V1394">
        <v>4</v>
      </c>
      <c r="W1394">
        <v>4</v>
      </c>
      <c r="X1394">
        <v>1</v>
      </c>
      <c r="Y1394">
        <v>3</v>
      </c>
      <c r="Z1394">
        <v>8</v>
      </c>
      <c r="AA1394">
        <v>8</v>
      </c>
      <c r="AB1394" t="str">
        <f t="shared" si="65"/>
        <v>Below average customer</v>
      </c>
    </row>
    <row r="1395" spans="1:28" x14ac:dyDescent="0.35">
      <c r="A1395">
        <v>4706</v>
      </c>
      <c r="B1395">
        <v>1966</v>
      </c>
      <c r="C1395" t="s">
        <v>28</v>
      </c>
      <c r="D1395" t="s">
        <v>26</v>
      </c>
      <c r="E1395" t="s">
        <v>27</v>
      </c>
      <c r="F1395">
        <v>34704</v>
      </c>
      <c r="G1395" t="str">
        <f t="shared" si="63"/>
        <v>Low</v>
      </c>
      <c r="H1395">
        <v>0</v>
      </c>
      <c r="I1395">
        <v>1</v>
      </c>
      <c r="J1395">
        <v>1</v>
      </c>
      <c r="K1395" s="1">
        <v>41391</v>
      </c>
      <c r="L1395">
        <v>65</v>
      </c>
      <c r="M1395" t="str">
        <f t="shared" si="64"/>
        <v>Inactive</v>
      </c>
      <c r="N1395">
        <v>0</v>
      </c>
      <c r="O1395">
        <v>29</v>
      </c>
      <c r="P1395">
        <v>0</v>
      </c>
      <c r="Q1395">
        <v>5</v>
      </c>
      <c r="R1395">
        <v>0</v>
      </c>
      <c r="S1395">
        <v>1</v>
      </c>
      <c r="T1395">
        <v>5</v>
      </c>
      <c r="U1395">
        <v>40</v>
      </c>
      <c r="V1395">
        <v>1</v>
      </c>
      <c r="W1395">
        <v>1</v>
      </c>
      <c r="X1395">
        <v>0</v>
      </c>
      <c r="Y1395">
        <v>3</v>
      </c>
      <c r="Z1395">
        <v>4</v>
      </c>
      <c r="AA1395">
        <v>5</v>
      </c>
      <c r="AB1395" t="str">
        <f t="shared" si="65"/>
        <v>Below average customer</v>
      </c>
    </row>
    <row r="1396" spans="1:28" x14ac:dyDescent="0.35">
      <c r="A1396">
        <v>4070</v>
      </c>
      <c r="B1396">
        <v>1969</v>
      </c>
      <c r="C1396" t="s">
        <v>28</v>
      </c>
      <c r="D1396" t="s">
        <v>32</v>
      </c>
      <c r="E1396" t="s">
        <v>33</v>
      </c>
      <c r="F1396">
        <v>94871</v>
      </c>
      <c r="G1396" t="str">
        <f t="shared" si="63"/>
        <v>High</v>
      </c>
      <c r="H1396">
        <v>0</v>
      </c>
      <c r="I1396">
        <v>2</v>
      </c>
      <c r="J1396">
        <v>2</v>
      </c>
      <c r="K1396" s="1">
        <v>41153</v>
      </c>
      <c r="L1396">
        <v>99</v>
      </c>
      <c r="M1396" t="str">
        <f t="shared" si="64"/>
        <v>Inactive</v>
      </c>
      <c r="N1396">
        <v>0</v>
      </c>
      <c r="O1396">
        <v>169</v>
      </c>
      <c r="P1396">
        <v>24</v>
      </c>
      <c r="Q1396">
        <v>553</v>
      </c>
      <c r="R1396">
        <v>188</v>
      </c>
      <c r="S1396">
        <v>0</v>
      </c>
      <c r="T1396">
        <v>144</v>
      </c>
      <c r="U1396">
        <v>1078</v>
      </c>
      <c r="V1396">
        <v>1</v>
      </c>
      <c r="W1396">
        <v>8</v>
      </c>
      <c r="X1396">
        <v>5</v>
      </c>
      <c r="Y1396">
        <v>4</v>
      </c>
      <c r="Z1396">
        <v>17</v>
      </c>
      <c r="AA1396">
        <v>7</v>
      </c>
      <c r="AB1396" t="str">
        <f t="shared" si="65"/>
        <v>Below average customer</v>
      </c>
    </row>
    <row r="1397" spans="1:28" x14ac:dyDescent="0.35">
      <c r="A1397">
        <v>25</v>
      </c>
      <c r="B1397">
        <v>1958</v>
      </c>
      <c r="C1397" t="s">
        <v>39</v>
      </c>
      <c r="D1397" t="s">
        <v>26</v>
      </c>
      <c r="E1397" t="s">
        <v>33</v>
      </c>
      <c r="F1397">
        <v>65148</v>
      </c>
      <c r="G1397" t="str">
        <f t="shared" si="63"/>
        <v>Mid-high</v>
      </c>
      <c r="H1397">
        <v>0</v>
      </c>
      <c r="I1397">
        <v>1</v>
      </c>
      <c r="J1397">
        <v>1</v>
      </c>
      <c r="K1397" s="1">
        <v>41229</v>
      </c>
      <c r="L1397">
        <v>9</v>
      </c>
      <c r="M1397" t="str">
        <f t="shared" si="64"/>
        <v>Active</v>
      </c>
      <c r="N1397">
        <v>0</v>
      </c>
      <c r="O1397">
        <v>460</v>
      </c>
      <c r="P1397">
        <v>35</v>
      </c>
      <c r="Q1397">
        <v>422</v>
      </c>
      <c r="R1397">
        <v>33</v>
      </c>
      <c r="S1397">
        <v>12</v>
      </c>
      <c r="T1397">
        <v>153</v>
      </c>
      <c r="U1397">
        <v>1115</v>
      </c>
      <c r="V1397">
        <v>2</v>
      </c>
      <c r="W1397">
        <v>6</v>
      </c>
      <c r="X1397">
        <v>6</v>
      </c>
      <c r="Y1397">
        <v>7</v>
      </c>
      <c r="Z1397">
        <v>19</v>
      </c>
      <c r="AA1397">
        <v>4</v>
      </c>
      <c r="AB1397" t="str">
        <f t="shared" si="65"/>
        <v>Above average customer</v>
      </c>
    </row>
    <row r="1398" spans="1:28" x14ac:dyDescent="0.35">
      <c r="A1398">
        <v>3697</v>
      </c>
      <c r="B1398">
        <v>1954</v>
      </c>
      <c r="C1398" t="s">
        <v>25</v>
      </c>
      <c r="D1398" t="s">
        <v>26</v>
      </c>
      <c r="E1398" t="s">
        <v>29</v>
      </c>
      <c r="F1398">
        <v>39898</v>
      </c>
      <c r="G1398" t="str">
        <f t="shared" si="63"/>
        <v>Mid-low</v>
      </c>
      <c r="H1398">
        <v>0</v>
      </c>
      <c r="I1398">
        <v>1</v>
      </c>
      <c r="J1398">
        <v>1</v>
      </c>
      <c r="K1398" s="1">
        <v>41317</v>
      </c>
      <c r="L1398">
        <v>20</v>
      </c>
      <c r="M1398" t="str">
        <f t="shared" si="64"/>
        <v>Active</v>
      </c>
      <c r="N1398">
        <v>0</v>
      </c>
      <c r="O1398">
        <v>69</v>
      </c>
      <c r="P1398">
        <v>8</v>
      </c>
      <c r="Q1398">
        <v>26</v>
      </c>
      <c r="R1398">
        <v>12</v>
      </c>
      <c r="S1398">
        <v>7</v>
      </c>
      <c r="T1398">
        <v>12</v>
      </c>
      <c r="U1398">
        <v>134</v>
      </c>
      <c r="V1398">
        <v>2</v>
      </c>
      <c r="W1398">
        <v>3</v>
      </c>
      <c r="X1398">
        <v>0</v>
      </c>
      <c r="Y1398">
        <v>4</v>
      </c>
      <c r="Z1398">
        <v>7</v>
      </c>
      <c r="AA1398">
        <v>7</v>
      </c>
      <c r="AB1398" t="str">
        <f t="shared" si="65"/>
        <v>Below average customer</v>
      </c>
    </row>
    <row r="1399" spans="1:28" x14ac:dyDescent="0.35">
      <c r="A1399">
        <v>4220</v>
      </c>
      <c r="B1399">
        <v>1970</v>
      </c>
      <c r="C1399" t="s">
        <v>28</v>
      </c>
      <c r="D1399" t="s">
        <v>32</v>
      </c>
      <c r="E1399" t="s">
        <v>33</v>
      </c>
      <c r="F1399">
        <v>59892</v>
      </c>
      <c r="G1399" t="str">
        <f t="shared" si="63"/>
        <v>Mid-high</v>
      </c>
      <c r="H1399">
        <v>0</v>
      </c>
      <c r="I1399">
        <v>1</v>
      </c>
      <c r="J1399">
        <v>1</v>
      </c>
      <c r="K1399" s="1">
        <v>41580</v>
      </c>
      <c r="L1399">
        <v>26</v>
      </c>
      <c r="M1399" t="str">
        <f t="shared" si="64"/>
        <v>Active</v>
      </c>
      <c r="N1399">
        <v>0</v>
      </c>
      <c r="O1399">
        <v>73</v>
      </c>
      <c r="P1399">
        <v>0</v>
      </c>
      <c r="Q1399">
        <v>13</v>
      </c>
      <c r="R1399">
        <v>0</v>
      </c>
      <c r="S1399">
        <v>1</v>
      </c>
      <c r="T1399">
        <v>0</v>
      </c>
      <c r="U1399">
        <v>87</v>
      </c>
      <c r="V1399">
        <v>1</v>
      </c>
      <c r="W1399">
        <v>2</v>
      </c>
      <c r="X1399">
        <v>1</v>
      </c>
      <c r="Y1399">
        <v>3</v>
      </c>
      <c r="Z1399">
        <v>6</v>
      </c>
      <c r="AA1399">
        <v>3</v>
      </c>
      <c r="AB1399" t="str">
        <f t="shared" si="65"/>
        <v>Below average customer</v>
      </c>
    </row>
    <row r="1400" spans="1:28" x14ac:dyDescent="0.35">
      <c r="A1400">
        <v>5286</v>
      </c>
      <c r="B1400">
        <v>1987</v>
      </c>
      <c r="C1400" t="s">
        <v>30</v>
      </c>
      <c r="D1400" t="s">
        <v>34</v>
      </c>
      <c r="E1400" t="s">
        <v>27</v>
      </c>
      <c r="F1400">
        <v>41020</v>
      </c>
      <c r="G1400" t="str">
        <f t="shared" si="63"/>
        <v>Mid-low</v>
      </c>
      <c r="H1400">
        <v>0</v>
      </c>
      <c r="I1400">
        <v>0</v>
      </c>
      <c r="J1400">
        <v>0</v>
      </c>
      <c r="K1400" s="1">
        <v>41575</v>
      </c>
      <c r="L1400">
        <v>68</v>
      </c>
      <c r="M1400" t="str">
        <f t="shared" si="64"/>
        <v>Inactive</v>
      </c>
      <c r="N1400">
        <v>0</v>
      </c>
      <c r="O1400">
        <v>112</v>
      </c>
      <c r="P1400">
        <v>1</v>
      </c>
      <c r="Q1400">
        <v>54</v>
      </c>
      <c r="R1400">
        <v>7</v>
      </c>
      <c r="S1400">
        <v>7</v>
      </c>
      <c r="T1400">
        <v>36</v>
      </c>
      <c r="U1400">
        <v>217</v>
      </c>
      <c r="V1400">
        <v>1</v>
      </c>
      <c r="W1400">
        <v>3</v>
      </c>
      <c r="X1400">
        <v>2</v>
      </c>
      <c r="Y1400">
        <v>4</v>
      </c>
      <c r="Z1400">
        <v>9</v>
      </c>
      <c r="AA1400">
        <v>3</v>
      </c>
      <c r="AB1400" t="str">
        <f t="shared" si="65"/>
        <v>Below average customer</v>
      </c>
    </row>
    <row r="1401" spans="1:28" x14ac:dyDescent="0.35">
      <c r="A1401">
        <v>9559</v>
      </c>
      <c r="B1401">
        <v>1961</v>
      </c>
      <c r="C1401" t="s">
        <v>25</v>
      </c>
      <c r="D1401" t="s">
        <v>32</v>
      </c>
      <c r="E1401" t="s">
        <v>33</v>
      </c>
      <c r="F1401">
        <v>57072</v>
      </c>
      <c r="G1401" t="str">
        <f t="shared" si="63"/>
        <v>Mid-high</v>
      </c>
      <c r="H1401">
        <v>0</v>
      </c>
      <c r="I1401">
        <v>1</v>
      </c>
      <c r="J1401">
        <v>1</v>
      </c>
      <c r="K1401" s="1">
        <v>41663</v>
      </c>
      <c r="L1401">
        <v>79</v>
      </c>
      <c r="M1401" t="str">
        <f t="shared" si="64"/>
        <v>Inactive</v>
      </c>
      <c r="N1401">
        <v>0</v>
      </c>
      <c r="O1401">
        <v>944</v>
      </c>
      <c r="P1401">
        <v>0</v>
      </c>
      <c r="Q1401">
        <v>60</v>
      </c>
      <c r="R1401">
        <v>0</v>
      </c>
      <c r="S1401">
        <v>0</v>
      </c>
      <c r="T1401">
        <v>30</v>
      </c>
      <c r="U1401">
        <v>1034</v>
      </c>
      <c r="V1401">
        <v>2</v>
      </c>
      <c r="W1401">
        <v>7</v>
      </c>
      <c r="X1401">
        <v>5</v>
      </c>
      <c r="Y1401">
        <v>13</v>
      </c>
      <c r="Z1401">
        <v>25</v>
      </c>
      <c r="AA1401">
        <v>5</v>
      </c>
      <c r="AB1401" t="str">
        <f t="shared" si="65"/>
        <v>Below average customer</v>
      </c>
    </row>
    <row r="1402" spans="1:28" x14ac:dyDescent="0.35">
      <c r="A1402">
        <v>3102</v>
      </c>
      <c r="B1402">
        <v>1981</v>
      </c>
      <c r="C1402" t="s">
        <v>31</v>
      </c>
      <c r="D1402" t="s">
        <v>34</v>
      </c>
      <c r="E1402" t="s">
        <v>29</v>
      </c>
      <c r="F1402">
        <v>19414</v>
      </c>
      <c r="G1402" t="str">
        <f t="shared" si="63"/>
        <v>Low</v>
      </c>
      <c r="H1402">
        <v>1</v>
      </c>
      <c r="I1402">
        <v>0</v>
      </c>
      <c r="J1402">
        <v>1</v>
      </c>
      <c r="K1402" s="1">
        <v>41563</v>
      </c>
      <c r="L1402">
        <v>32</v>
      </c>
      <c r="M1402" t="str">
        <f t="shared" si="64"/>
        <v>Active</v>
      </c>
      <c r="N1402">
        <v>0</v>
      </c>
      <c r="O1402">
        <v>2</v>
      </c>
      <c r="P1402">
        <v>3</v>
      </c>
      <c r="Q1402">
        <v>12</v>
      </c>
      <c r="R1402">
        <v>3</v>
      </c>
      <c r="S1402">
        <v>5</v>
      </c>
      <c r="T1402">
        <v>7</v>
      </c>
      <c r="U1402">
        <v>32</v>
      </c>
      <c r="V1402">
        <v>1</v>
      </c>
      <c r="W1402">
        <v>1</v>
      </c>
      <c r="X1402">
        <v>0</v>
      </c>
      <c r="Y1402">
        <v>3</v>
      </c>
      <c r="Z1402">
        <v>4</v>
      </c>
      <c r="AA1402">
        <v>8</v>
      </c>
      <c r="AB1402" t="str">
        <f t="shared" si="65"/>
        <v>Below average customer</v>
      </c>
    </row>
    <row r="1403" spans="1:28" x14ac:dyDescent="0.35">
      <c r="A1403">
        <v>5868</v>
      </c>
      <c r="B1403">
        <v>1980</v>
      </c>
      <c r="C1403" t="s">
        <v>31</v>
      </c>
      <c r="D1403" t="s">
        <v>26</v>
      </c>
      <c r="E1403" t="s">
        <v>33</v>
      </c>
      <c r="F1403">
        <v>19107</v>
      </c>
      <c r="G1403" t="str">
        <f t="shared" si="63"/>
        <v>Low</v>
      </c>
      <c r="H1403">
        <v>1</v>
      </c>
      <c r="I1403">
        <v>0</v>
      </c>
      <c r="J1403">
        <v>1</v>
      </c>
      <c r="K1403" s="1">
        <v>41508</v>
      </c>
      <c r="L1403">
        <v>49</v>
      </c>
      <c r="M1403" t="str">
        <f t="shared" si="64"/>
        <v>Inactive</v>
      </c>
      <c r="N1403">
        <v>0</v>
      </c>
      <c r="O1403">
        <v>2</v>
      </c>
      <c r="P1403">
        <v>4</v>
      </c>
      <c r="Q1403">
        <v>9</v>
      </c>
      <c r="R1403">
        <v>10</v>
      </c>
      <c r="S1403">
        <v>5</v>
      </c>
      <c r="T1403">
        <v>16</v>
      </c>
      <c r="U1403">
        <v>46</v>
      </c>
      <c r="V1403">
        <v>2</v>
      </c>
      <c r="W1403">
        <v>1</v>
      </c>
      <c r="X1403">
        <v>0</v>
      </c>
      <c r="Y1403">
        <v>3</v>
      </c>
      <c r="Z1403">
        <v>4</v>
      </c>
      <c r="AA1403">
        <v>7</v>
      </c>
      <c r="AB1403" t="str">
        <f t="shared" si="65"/>
        <v>Below average customer</v>
      </c>
    </row>
    <row r="1404" spans="1:28" x14ac:dyDescent="0.35">
      <c r="A1404">
        <v>8370</v>
      </c>
      <c r="B1404">
        <v>1976</v>
      </c>
      <c r="C1404" t="s">
        <v>31</v>
      </c>
      <c r="D1404" t="s">
        <v>34</v>
      </c>
      <c r="E1404" t="s">
        <v>29</v>
      </c>
      <c r="F1404">
        <v>75484</v>
      </c>
      <c r="G1404" t="str">
        <f t="shared" si="63"/>
        <v>High</v>
      </c>
      <c r="H1404">
        <v>0</v>
      </c>
      <c r="I1404">
        <v>1</v>
      </c>
      <c r="J1404">
        <v>1</v>
      </c>
      <c r="K1404" s="1">
        <v>41123</v>
      </c>
      <c r="L1404">
        <v>50</v>
      </c>
      <c r="M1404" t="str">
        <f t="shared" si="64"/>
        <v>Inactive</v>
      </c>
      <c r="N1404">
        <v>0</v>
      </c>
      <c r="O1404">
        <v>378</v>
      </c>
      <c r="P1404">
        <v>97</v>
      </c>
      <c r="Q1404">
        <v>259</v>
      </c>
      <c r="R1404">
        <v>197</v>
      </c>
      <c r="S1404">
        <v>194</v>
      </c>
      <c r="T1404">
        <v>34</v>
      </c>
      <c r="U1404">
        <v>1159</v>
      </c>
      <c r="V1404">
        <v>2</v>
      </c>
      <c r="W1404">
        <v>7</v>
      </c>
      <c r="X1404">
        <v>3</v>
      </c>
      <c r="Y1404">
        <v>6</v>
      </c>
      <c r="Z1404">
        <v>16</v>
      </c>
      <c r="AA1404">
        <v>4</v>
      </c>
      <c r="AB1404" t="str">
        <f t="shared" si="65"/>
        <v>Below average customer</v>
      </c>
    </row>
    <row r="1405" spans="1:28" x14ac:dyDescent="0.35">
      <c r="A1405">
        <v>9988</v>
      </c>
      <c r="B1405">
        <v>1976</v>
      </c>
      <c r="C1405" t="s">
        <v>31</v>
      </c>
      <c r="D1405" t="s">
        <v>34</v>
      </c>
      <c r="E1405" t="s">
        <v>27</v>
      </c>
      <c r="F1405">
        <v>70379</v>
      </c>
      <c r="G1405" t="str">
        <f t="shared" si="63"/>
        <v>High</v>
      </c>
      <c r="H1405">
        <v>0</v>
      </c>
      <c r="I1405">
        <v>1</v>
      </c>
      <c r="J1405">
        <v>1</v>
      </c>
      <c r="K1405" s="1">
        <v>41336</v>
      </c>
      <c r="L1405">
        <v>84</v>
      </c>
      <c r="M1405" t="str">
        <f t="shared" si="64"/>
        <v>Inactive</v>
      </c>
      <c r="N1405">
        <v>0</v>
      </c>
      <c r="O1405">
        <v>553</v>
      </c>
      <c r="P1405">
        <v>25</v>
      </c>
      <c r="Q1405">
        <v>142</v>
      </c>
      <c r="R1405">
        <v>65</v>
      </c>
      <c r="S1405">
        <v>67</v>
      </c>
      <c r="T1405">
        <v>8</v>
      </c>
      <c r="U1405">
        <v>860</v>
      </c>
      <c r="V1405">
        <v>3</v>
      </c>
      <c r="W1405">
        <v>6</v>
      </c>
      <c r="X1405">
        <v>3</v>
      </c>
      <c r="Y1405">
        <v>13</v>
      </c>
      <c r="Z1405">
        <v>22</v>
      </c>
      <c r="AA1405">
        <v>4</v>
      </c>
      <c r="AB1405" t="str">
        <f t="shared" si="65"/>
        <v>Below average customer</v>
      </c>
    </row>
    <row r="1406" spans="1:28" x14ac:dyDescent="0.35">
      <c r="A1406">
        <v>2939</v>
      </c>
      <c r="B1406">
        <v>1970</v>
      </c>
      <c r="C1406" t="s">
        <v>28</v>
      </c>
      <c r="D1406" t="s">
        <v>34</v>
      </c>
      <c r="E1406" t="s">
        <v>29</v>
      </c>
      <c r="F1406">
        <v>79419</v>
      </c>
      <c r="G1406" t="str">
        <f t="shared" si="63"/>
        <v>High</v>
      </c>
      <c r="H1406">
        <v>0</v>
      </c>
      <c r="I1406">
        <v>0</v>
      </c>
      <c r="J1406">
        <v>0</v>
      </c>
      <c r="K1406" s="1">
        <v>41812</v>
      </c>
      <c r="L1406">
        <v>96</v>
      </c>
      <c r="M1406" t="str">
        <f t="shared" si="64"/>
        <v>Inactive</v>
      </c>
      <c r="N1406">
        <v>0</v>
      </c>
      <c r="O1406">
        <v>751</v>
      </c>
      <c r="P1406">
        <v>127</v>
      </c>
      <c r="Q1406">
        <v>687</v>
      </c>
      <c r="R1406">
        <v>20</v>
      </c>
      <c r="S1406">
        <v>15</v>
      </c>
      <c r="T1406">
        <v>31</v>
      </c>
      <c r="U1406">
        <v>1631</v>
      </c>
      <c r="V1406">
        <v>1</v>
      </c>
      <c r="W1406">
        <v>4</v>
      </c>
      <c r="X1406">
        <v>6</v>
      </c>
      <c r="Y1406">
        <v>4</v>
      </c>
      <c r="Z1406">
        <v>14</v>
      </c>
      <c r="AA1406">
        <v>2</v>
      </c>
      <c r="AB1406" t="str">
        <f t="shared" si="65"/>
        <v>Below average customer</v>
      </c>
    </row>
    <row r="1407" spans="1:28" x14ac:dyDescent="0.35">
      <c r="A1407">
        <v>5529</v>
      </c>
      <c r="B1407">
        <v>1946</v>
      </c>
      <c r="C1407" t="s">
        <v>36</v>
      </c>
      <c r="D1407" t="s">
        <v>32</v>
      </c>
      <c r="E1407" t="s">
        <v>29</v>
      </c>
      <c r="F1407">
        <v>64014</v>
      </c>
      <c r="G1407" t="str">
        <f t="shared" si="63"/>
        <v>Mid-high</v>
      </c>
      <c r="H1407">
        <v>2</v>
      </c>
      <c r="I1407">
        <v>1</v>
      </c>
      <c r="J1407">
        <v>3</v>
      </c>
      <c r="K1407" s="1">
        <v>41800</v>
      </c>
      <c r="L1407">
        <v>56</v>
      </c>
      <c r="M1407" t="str">
        <f t="shared" si="64"/>
        <v>Inactive</v>
      </c>
      <c r="N1407">
        <v>0</v>
      </c>
      <c r="O1407">
        <v>406</v>
      </c>
      <c r="P1407">
        <v>0</v>
      </c>
      <c r="Q1407">
        <v>30</v>
      </c>
      <c r="R1407">
        <v>0</v>
      </c>
      <c r="S1407">
        <v>0</v>
      </c>
      <c r="T1407">
        <v>8</v>
      </c>
      <c r="U1407">
        <v>444</v>
      </c>
      <c r="V1407">
        <v>7</v>
      </c>
      <c r="W1407">
        <v>8</v>
      </c>
      <c r="X1407">
        <v>2</v>
      </c>
      <c r="Y1407">
        <v>5</v>
      </c>
      <c r="Z1407">
        <v>15</v>
      </c>
      <c r="AA1407">
        <v>7</v>
      </c>
      <c r="AB1407" t="str">
        <f t="shared" si="65"/>
        <v>Below average customer</v>
      </c>
    </row>
    <row r="1408" spans="1:28" x14ac:dyDescent="0.35">
      <c r="A1408">
        <v>9743</v>
      </c>
      <c r="B1408">
        <v>1955</v>
      </c>
      <c r="C1408" t="s">
        <v>25</v>
      </c>
      <c r="D1408" t="s">
        <v>26</v>
      </c>
      <c r="E1408" t="s">
        <v>33</v>
      </c>
      <c r="F1408">
        <v>76998</v>
      </c>
      <c r="G1408" t="str">
        <f t="shared" si="63"/>
        <v>High</v>
      </c>
      <c r="H1408">
        <v>0</v>
      </c>
      <c r="I1408">
        <v>1</v>
      </c>
      <c r="J1408">
        <v>1</v>
      </c>
      <c r="K1408" s="1">
        <v>41285</v>
      </c>
      <c r="L1408">
        <v>85</v>
      </c>
      <c r="M1408" t="str">
        <f t="shared" si="64"/>
        <v>Inactive</v>
      </c>
      <c r="N1408">
        <v>0</v>
      </c>
      <c r="O1408">
        <v>1449</v>
      </c>
      <c r="P1408">
        <v>89</v>
      </c>
      <c r="Q1408">
        <v>161</v>
      </c>
      <c r="R1408">
        <v>69</v>
      </c>
      <c r="S1408">
        <v>35</v>
      </c>
      <c r="T1408">
        <v>107</v>
      </c>
      <c r="U1408">
        <v>1910</v>
      </c>
      <c r="V1408">
        <v>2</v>
      </c>
      <c r="W1408">
        <v>11</v>
      </c>
      <c r="X1408">
        <v>8</v>
      </c>
      <c r="Y1408">
        <v>8</v>
      </c>
      <c r="Z1408">
        <v>27</v>
      </c>
      <c r="AA1408">
        <v>6</v>
      </c>
      <c r="AB1408" t="str">
        <f t="shared" si="65"/>
        <v>Below average customer</v>
      </c>
    </row>
    <row r="1409" spans="1:28" x14ac:dyDescent="0.35">
      <c r="A1409">
        <v>5763</v>
      </c>
      <c r="B1409">
        <v>1972</v>
      </c>
      <c r="C1409" t="s">
        <v>28</v>
      </c>
      <c r="D1409" t="s">
        <v>34</v>
      </c>
      <c r="E1409" t="s">
        <v>29</v>
      </c>
      <c r="F1409">
        <v>49854</v>
      </c>
      <c r="G1409" t="str">
        <f t="shared" si="63"/>
        <v>Mid-low</v>
      </c>
      <c r="H1409">
        <v>1</v>
      </c>
      <c r="I1409">
        <v>0</v>
      </c>
      <c r="J1409">
        <v>1</v>
      </c>
      <c r="K1409" s="1">
        <v>41588</v>
      </c>
      <c r="L1409">
        <v>63</v>
      </c>
      <c r="M1409" t="str">
        <f t="shared" si="64"/>
        <v>Inactive</v>
      </c>
      <c r="N1409">
        <v>0</v>
      </c>
      <c r="O1409">
        <v>123</v>
      </c>
      <c r="P1409">
        <v>17</v>
      </c>
      <c r="Q1409">
        <v>171</v>
      </c>
      <c r="R1409">
        <v>39</v>
      </c>
      <c r="S1409">
        <v>0</v>
      </c>
      <c r="T1409">
        <v>30</v>
      </c>
      <c r="U1409">
        <v>380</v>
      </c>
      <c r="V1409">
        <v>5</v>
      </c>
      <c r="W1409">
        <v>6</v>
      </c>
      <c r="X1409">
        <v>2</v>
      </c>
      <c r="Y1409">
        <v>5</v>
      </c>
      <c r="Z1409">
        <v>13</v>
      </c>
      <c r="AA1409">
        <v>6</v>
      </c>
      <c r="AB1409" t="str">
        <f t="shared" si="65"/>
        <v>Below average customer</v>
      </c>
    </row>
    <row r="1410" spans="1:28" x14ac:dyDescent="0.35">
      <c r="A1410">
        <v>3478</v>
      </c>
      <c r="B1410">
        <v>1971</v>
      </c>
      <c r="C1410" t="s">
        <v>28</v>
      </c>
      <c r="D1410" t="s">
        <v>32</v>
      </c>
      <c r="E1410" t="s">
        <v>33</v>
      </c>
      <c r="F1410">
        <v>60585</v>
      </c>
      <c r="G1410" t="str">
        <f t="shared" ref="G1410:G1473" si="66">IF(F1410&lt;=_xlfn.PERCENTILE.INC($F$2:$F$2056,0.25),"Low",IF(F1410&lt;=_xlfn.PERCENTILE.INC($F$2:$F$2056,0.5),"Mid-low",IF(F1410&lt;=_xlfn.PERCENTILE.INC($F$2:$F$2056,0.75),"Mid-high","High")))</f>
        <v>Mid-high</v>
      </c>
      <c r="H1410">
        <v>1</v>
      </c>
      <c r="I1410">
        <v>1</v>
      </c>
      <c r="J1410">
        <v>2</v>
      </c>
      <c r="K1410" s="1">
        <v>41449</v>
      </c>
      <c r="L1410">
        <v>17</v>
      </c>
      <c r="M1410" t="str">
        <f t="shared" ref="M1410:M1473" si="67">IF(L1410&gt;AVERAGE($L$2:$L$2056),"Inactive","Active")</f>
        <v>Active</v>
      </c>
      <c r="N1410">
        <v>0</v>
      </c>
      <c r="O1410">
        <v>267</v>
      </c>
      <c r="P1410">
        <v>42</v>
      </c>
      <c r="Q1410">
        <v>309</v>
      </c>
      <c r="R1410">
        <v>55</v>
      </c>
      <c r="S1410">
        <v>42</v>
      </c>
      <c r="T1410">
        <v>21</v>
      </c>
      <c r="U1410">
        <v>736</v>
      </c>
      <c r="V1410">
        <v>10</v>
      </c>
      <c r="W1410">
        <v>7</v>
      </c>
      <c r="X1410">
        <v>4</v>
      </c>
      <c r="Y1410">
        <v>9</v>
      </c>
      <c r="Z1410">
        <v>20</v>
      </c>
      <c r="AA1410">
        <v>5</v>
      </c>
      <c r="AB1410" t="str">
        <f t="shared" ref="AB1410:AB1473" si="68">IF(AND(Z1410&gt;AVERAGE($Z$2:$Z$2056),U1410&gt;AVERAGE($U$2:$U$2056),N1410=0,L1410&lt;AVERAGE($L$2:$L$2056),F1410&gt;AVERAGE($F$2:$F$2240)),"Above average customer","Below average customer")</f>
        <v>Above average customer</v>
      </c>
    </row>
    <row r="1411" spans="1:28" x14ac:dyDescent="0.35">
      <c r="A1411">
        <v>7494</v>
      </c>
      <c r="B1411">
        <v>1950</v>
      </c>
      <c r="C1411" t="s">
        <v>36</v>
      </c>
      <c r="D1411" t="s">
        <v>32</v>
      </c>
      <c r="E1411" t="s">
        <v>35</v>
      </c>
      <c r="F1411">
        <v>42873</v>
      </c>
      <c r="G1411" t="str">
        <f t="shared" si="66"/>
        <v>Mid-low</v>
      </c>
      <c r="H1411">
        <v>1</v>
      </c>
      <c r="I1411">
        <v>1</v>
      </c>
      <c r="J1411">
        <v>2</v>
      </c>
      <c r="K1411" s="1">
        <v>41295</v>
      </c>
      <c r="L1411">
        <v>11</v>
      </c>
      <c r="M1411" t="str">
        <f t="shared" si="67"/>
        <v>Active</v>
      </c>
      <c r="N1411">
        <v>0</v>
      </c>
      <c r="O1411">
        <v>209</v>
      </c>
      <c r="P1411">
        <v>0</v>
      </c>
      <c r="Q1411">
        <v>40</v>
      </c>
      <c r="R1411">
        <v>3</v>
      </c>
      <c r="S1411">
        <v>2</v>
      </c>
      <c r="T1411">
        <v>15</v>
      </c>
      <c r="U1411">
        <v>269</v>
      </c>
      <c r="V1411">
        <v>4</v>
      </c>
      <c r="W1411">
        <v>6</v>
      </c>
      <c r="X1411">
        <v>1</v>
      </c>
      <c r="Y1411">
        <v>4</v>
      </c>
      <c r="Z1411">
        <v>11</v>
      </c>
      <c r="AA1411">
        <v>8</v>
      </c>
      <c r="AB1411" t="str">
        <f t="shared" si="68"/>
        <v>Below average customer</v>
      </c>
    </row>
    <row r="1412" spans="1:28" x14ac:dyDescent="0.35">
      <c r="A1412">
        <v>1763</v>
      </c>
      <c r="B1412">
        <v>1988</v>
      </c>
      <c r="C1412" t="s">
        <v>30</v>
      </c>
      <c r="D1412" t="s">
        <v>26</v>
      </c>
      <c r="E1412" t="s">
        <v>29</v>
      </c>
      <c r="F1412">
        <v>87679</v>
      </c>
      <c r="G1412" t="str">
        <f t="shared" si="66"/>
        <v>High</v>
      </c>
      <c r="H1412">
        <v>0</v>
      </c>
      <c r="I1412">
        <v>0</v>
      </c>
      <c r="J1412">
        <v>0</v>
      </c>
      <c r="K1412" s="1">
        <v>41482</v>
      </c>
      <c r="L1412">
        <v>62</v>
      </c>
      <c r="M1412" t="str">
        <f t="shared" si="67"/>
        <v>Inactive</v>
      </c>
      <c r="N1412">
        <v>0</v>
      </c>
      <c r="O1412">
        <v>1259</v>
      </c>
      <c r="P1412">
        <v>172</v>
      </c>
      <c r="Q1412">
        <v>815</v>
      </c>
      <c r="R1412">
        <v>97</v>
      </c>
      <c r="S1412">
        <v>148</v>
      </c>
      <c r="T1412">
        <v>33</v>
      </c>
      <c r="U1412">
        <v>2524</v>
      </c>
      <c r="V1412">
        <v>1</v>
      </c>
      <c r="W1412">
        <v>7</v>
      </c>
      <c r="X1412">
        <v>11</v>
      </c>
      <c r="Y1412">
        <v>10</v>
      </c>
      <c r="Z1412">
        <v>28</v>
      </c>
      <c r="AA1412">
        <v>4</v>
      </c>
      <c r="AB1412" t="str">
        <f t="shared" si="68"/>
        <v>Below average customer</v>
      </c>
    </row>
    <row r="1413" spans="1:28" x14ac:dyDescent="0.35">
      <c r="A1413">
        <v>7250</v>
      </c>
      <c r="B1413">
        <v>1978</v>
      </c>
      <c r="C1413" t="s">
        <v>31</v>
      </c>
      <c r="D1413" t="s">
        <v>26</v>
      </c>
      <c r="E1413" t="s">
        <v>29</v>
      </c>
      <c r="F1413">
        <v>57867</v>
      </c>
      <c r="G1413" t="str">
        <f t="shared" si="66"/>
        <v>Mid-high</v>
      </c>
      <c r="H1413">
        <v>1</v>
      </c>
      <c r="I1413">
        <v>0</v>
      </c>
      <c r="J1413">
        <v>1</v>
      </c>
      <c r="K1413" s="1">
        <v>41548</v>
      </c>
      <c r="L1413">
        <v>48</v>
      </c>
      <c r="M1413" t="str">
        <f t="shared" si="67"/>
        <v>Active</v>
      </c>
      <c r="N1413">
        <v>0</v>
      </c>
      <c r="O1413">
        <v>344</v>
      </c>
      <c r="P1413">
        <v>35</v>
      </c>
      <c r="Q1413">
        <v>178</v>
      </c>
      <c r="R1413">
        <v>15</v>
      </c>
      <c r="S1413">
        <v>23</v>
      </c>
      <c r="T1413">
        <v>17</v>
      </c>
      <c r="U1413">
        <v>612</v>
      </c>
      <c r="V1413">
        <v>7</v>
      </c>
      <c r="W1413">
        <v>7</v>
      </c>
      <c r="X1413">
        <v>2</v>
      </c>
      <c r="Y1413">
        <v>9</v>
      </c>
      <c r="Z1413">
        <v>18</v>
      </c>
      <c r="AA1413">
        <v>6</v>
      </c>
      <c r="AB1413" t="str">
        <f t="shared" si="68"/>
        <v>Above average customer</v>
      </c>
    </row>
    <row r="1414" spans="1:28" x14ac:dyDescent="0.35">
      <c r="A1414">
        <v>2005</v>
      </c>
      <c r="B1414">
        <v>1990</v>
      </c>
      <c r="C1414" t="s">
        <v>30</v>
      </c>
      <c r="D1414" t="s">
        <v>26</v>
      </c>
      <c r="E1414" t="s">
        <v>33</v>
      </c>
      <c r="F1414">
        <v>35765</v>
      </c>
      <c r="G1414" t="str">
        <f t="shared" si="66"/>
        <v>Mid-low</v>
      </c>
      <c r="H1414">
        <v>1</v>
      </c>
      <c r="I1414">
        <v>0</v>
      </c>
      <c r="J1414">
        <v>1</v>
      </c>
      <c r="K1414" s="1">
        <v>41619</v>
      </c>
      <c r="L1414">
        <v>86</v>
      </c>
      <c r="M1414" t="str">
        <f t="shared" si="67"/>
        <v>Inactive</v>
      </c>
      <c r="N1414">
        <v>0</v>
      </c>
      <c r="O1414">
        <v>22</v>
      </c>
      <c r="P1414">
        <v>3</v>
      </c>
      <c r="Q1414">
        <v>30</v>
      </c>
      <c r="R1414">
        <v>0</v>
      </c>
      <c r="S1414">
        <v>5</v>
      </c>
      <c r="T1414">
        <v>15</v>
      </c>
      <c r="U1414">
        <v>75</v>
      </c>
      <c r="V1414">
        <v>2</v>
      </c>
      <c r="W1414">
        <v>2</v>
      </c>
      <c r="X1414">
        <v>0</v>
      </c>
      <c r="Y1414">
        <v>4</v>
      </c>
      <c r="Z1414">
        <v>6</v>
      </c>
      <c r="AA1414">
        <v>6</v>
      </c>
      <c r="AB1414" t="str">
        <f t="shared" si="68"/>
        <v>Below average customer</v>
      </c>
    </row>
    <row r="1415" spans="1:28" x14ac:dyDescent="0.35">
      <c r="A1415">
        <v>10770</v>
      </c>
      <c r="B1415">
        <v>1959</v>
      </c>
      <c r="C1415" t="s">
        <v>25</v>
      </c>
      <c r="D1415" t="s">
        <v>26</v>
      </c>
      <c r="E1415" t="s">
        <v>33</v>
      </c>
      <c r="F1415">
        <v>65492</v>
      </c>
      <c r="G1415" t="str">
        <f t="shared" si="66"/>
        <v>Mid-high</v>
      </c>
      <c r="H1415">
        <v>0</v>
      </c>
      <c r="I1415">
        <v>0</v>
      </c>
      <c r="J1415">
        <v>0</v>
      </c>
      <c r="K1415" s="1">
        <v>41665</v>
      </c>
      <c r="L1415">
        <v>73</v>
      </c>
      <c r="M1415" t="str">
        <f t="shared" si="67"/>
        <v>Inactive</v>
      </c>
      <c r="N1415">
        <v>0</v>
      </c>
      <c r="O1415">
        <v>247</v>
      </c>
      <c r="P1415">
        <v>161</v>
      </c>
      <c r="Q1415">
        <v>295</v>
      </c>
      <c r="R1415">
        <v>210</v>
      </c>
      <c r="S1415">
        <v>85</v>
      </c>
      <c r="T1415">
        <v>47</v>
      </c>
      <c r="U1415">
        <v>1045</v>
      </c>
      <c r="V1415">
        <v>2</v>
      </c>
      <c r="W1415">
        <v>4</v>
      </c>
      <c r="X1415">
        <v>7</v>
      </c>
      <c r="Y1415">
        <v>13</v>
      </c>
      <c r="Z1415">
        <v>24</v>
      </c>
      <c r="AA1415">
        <v>2</v>
      </c>
      <c r="AB1415" t="str">
        <f t="shared" si="68"/>
        <v>Below average customer</v>
      </c>
    </row>
    <row r="1416" spans="1:28" x14ac:dyDescent="0.35">
      <c r="A1416">
        <v>6885</v>
      </c>
      <c r="B1416">
        <v>1977</v>
      </c>
      <c r="C1416" t="s">
        <v>31</v>
      </c>
      <c r="D1416" t="s">
        <v>26</v>
      </c>
      <c r="E1416" t="s">
        <v>35</v>
      </c>
      <c r="F1416">
        <v>32952</v>
      </c>
      <c r="G1416" t="str">
        <f t="shared" si="66"/>
        <v>Low</v>
      </c>
      <c r="H1416">
        <v>1</v>
      </c>
      <c r="I1416">
        <v>0</v>
      </c>
      <c r="J1416">
        <v>1</v>
      </c>
      <c r="K1416" s="1">
        <v>41609</v>
      </c>
      <c r="L1416">
        <v>36</v>
      </c>
      <c r="M1416" t="str">
        <f t="shared" si="67"/>
        <v>Active</v>
      </c>
      <c r="N1416">
        <v>0</v>
      </c>
      <c r="O1416">
        <v>38</v>
      </c>
      <c r="P1416">
        <v>0</v>
      </c>
      <c r="Q1416">
        <v>12</v>
      </c>
      <c r="R1416">
        <v>3</v>
      </c>
      <c r="S1416">
        <v>1</v>
      </c>
      <c r="T1416">
        <v>1</v>
      </c>
      <c r="U1416">
        <v>55</v>
      </c>
      <c r="V1416">
        <v>1</v>
      </c>
      <c r="W1416">
        <v>2</v>
      </c>
      <c r="X1416">
        <v>0</v>
      </c>
      <c r="Y1416">
        <v>3</v>
      </c>
      <c r="Z1416">
        <v>5</v>
      </c>
      <c r="AA1416">
        <v>7</v>
      </c>
      <c r="AB1416" t="str">
        <f t="shared" si="68"/>
        <v>Below average customer</v>
      </c>
    </row>
    <row r="1417" spans="1:28" x14ac:dyDescent="0.35">
      <c r="A1417">
        <v>2072</v>
      </c>
      <c r="B1417">
        <v>1969</v>
      </c>
      <c r="C1417" t="s">
        <v>28</v>
      </c>
      <c r="D1417" t="s">
        <v>32</v>
      </c>
      <c r="E1417" t="s">
        <v>29</v>
      </c>
      <c r="F1417">
        <v>53374</v>
      </c>
      <c r="G1417" t="str">
        <f t="shared" si="66"/>
        <v>Mid-high</v>
      </c>
      <c r="H1417">
        <v>0</v>
      </c>
      <c r="I1417">
        <v>1</v>
      </c>
      <c r="J1417">
        <v>1</v>
      </c>
      <c r="K1417" s="1">
        <v>41137</v>
      </c>
      <c r="L1417">
        <v>34</v>
      </c>
      <c r="M1417" t="str">
        <f t="shared" si="67"/>
        <v>Active</v>
      </c>
      <c r="N1417">
        <v>0</v>
      </c>
      <c r="O1417">
        <v>896</v>
      </c>
      <c r="P1417">
        <v>10</v>
      </c>
      <c r="Q1417">
        <v>101</v>
      </c>
      <c r="R1417">
        <v>13</v>
      </c>
      <c r="S1417">
        <v>10</v>
      </c>
      <c r="T1417">
        <v>34</v>
      </c>
      <c r="U1417">
        <v>1064</v>
      </c>
      <c r="V1417">
        <v>6</v>
      </c>
      <c r="W1417">
        <v>4</v>
      </c>
      <c r="X1417">
        <v>2</v>
      </c>
      <c r="Y1417">
        <v>9</v>
      </c>
      <c r="Z1417">
        <v>15</v>
      </c>
      <c r="AA1417">
        <v>9</v>
      </c>
      <c r="AB1417" t="str">
        <f t="shared" si="68"/>
        <v>Above average customer</v>
      </c>
    </row>
    <row r="1418" spans="1:28" x14ac:dyDescent="0.35">
      <c r="A1418">
        <v>9463</v>
      </c>
      <c r="B1418">
        <v>1959</v>
      </c>
      <c r="C1418" t="s">
        <v>25</v>
      </c>
      <c r="D1418" t="s">
        <v>26</v>
      </c>
      <c r="E1418" t="s">
        <v>29</v>
      </c>
      <c r="F1418">
        <v>71706</v>
      </c>
      <c r="G1418" t="str">
        <f t="shared" si="66"/>
        <v>High</v>
      </c>
      <c r="H1418">
        <v>0</v>
      </c>
      <c r="I1418">
        <v>1</v>
      </c>
      <c r="J1418">
        <v>1</v>
      </c>
      <c r="K1418" s="1">
        <v>41226</v>
      </c>
      <c r="L1418">
        <v>16</v>
      </c>
      <c r="M1418" t="str">
        <f t="shared" si="67"/>
        <v>Active</v>
      </c>
      <c r="N1418">
        <v>0</v>
      </c>
      <c r="O1418">
        <v>931</v>
      </c>
      <c r="P1418">
        <v>56</v>
      </c>
      <c r="Q1418">
        <v>253</v>
      </c>
      <c r="R1418">
        <v>91</v>
      </c>
      <c r="S1418">
        <v>98</v>
      </c>
      <c r="T1418">
        <v>14</v>
      </c>
      <c r="U1418">
        <v>1443</v>
      </c>
      <c r="V1418">
        <v>4</v>
      </c>
      <c r="W1418">
        <v>9</v>
      </c>
      <c r="X1418">
        <v>5</v>
      </c>
      <c r="Y1418">
        <v>7</v>
      </c>
      <c r="Z1418">
        <v>21</v>
      </c>
      <c r="AA1418">
        <v>5</v>
      </c>
      <c r="AB1418" t="str">
        <f t="shared" si="68"/>
        <v>Above average customer</v>
      </c>
    </row>
    <row r="1419" spans="1:28" x14ac:dyDescent="0.35">
      <c r="A1419">
        <v>6318</v>
      </c>
      <c r="B1419">
        <v>1988</v>
      </c>
      <c r="C1419" t="s">
        <v>30</v>
      </c>
      <c r="D1419" t="s">
        <v>26</v>
      </c>
      <c r="E1419" t="s">
        <v>33</v>
      </c>
      <c r="F1419">
        <v>68487</v>
      </c>
      <c r="G1419" t="str">
        <f t="shared" si="66"/>
        <v>Mid-high</v>
      </c>
      <c r="H1419">
        <v>0</v>
      </c>
      <c r="I1419">
        <v>0</v>
      </c>
      <c r="J1419">
        <v>0</v>
      </c>
      <c r="K1419" s="1">
        <v>41287</v>
      </c>
      <c r="L1419">
        <v>48</v>
      </c>
      <c r="M1419" t="str">
        <f t="shared" si="67"/>
        <v>Active</v>
      </c>
      <c r="N1419">
        <v>0</v>
      </c>
      <c r="O1419">
        <v>758</v>
      </c>
      <c r="P1419">
        <v>12</v>
      </c>
      <c r="Q1419">
        <v>385</v>
      </c>
      <c r="R1419">
        <v>33</v>
      </c>
      <c r="S1419">
        <v>89</v>
      </c>
      <c r="T1419">
        <v>89</v>
      </c>
      <c r="U1419">
        <v>1366</v>
      </c>
      <c r="V1419">
        <v>1</v>
      </c>
      <c r="W1419">
        <v>9</v>
      </c>
      <c r="X1419">
        <v>7</v>
      </c>
      <c r="Y1419">
        <v>13</v>
      </c>
      <c r="Z1419">
        <v>29</v>
      </c>
      <c r="AA1419">
        <v>4</v>
      </c>
      <c r="AB1419" t="str">
        <f t="shared" si="68"/>
        <v>Above average customer</v>
      </c>
    </row>
    <row r="1420" spans="1:28" x14ac:dyDescent="0.35">
      <c r="A1420">
        <v>4093</v>
      </c>
      <c r="B1420">
        <v>1975</v>
      </c>
      <c r="C1420" t="s">
        <v>31</v>
      </c>
      <c r="D1420" t="s">
        <v>34</v>
      </c>
      <c r="E1420" t="s">
        <v>29</v>
      </c>
      <c r="F1420">
        <v>53253</v>
      </c>
      <c r="G1420" t="str">
        <f t="shared" si="66"/>
        <v>Mid-high</v>
      </c>
      <c r="H1420">
        <v>1</v>
      </c>
      <c r="I1420">
        <v>1</v>
      </c>
      <c r="J1420">
        <v>2</v>
      </c>
      <c r="K1420" s="1">
        <v>41316</v>
      </c>
      <c r="L1420">
        <v>61</v>
      </c>
      <c r="M1420" t="str">
        <f t="shared" si="67"/>
        <v>Inactive</v>
      </c>
      <c r="N1420">
        <v>0</v>
      </c>
      <c r="O1420">
        <v>216</v>
      </c>
      <c r="P1420">
        <v>9</v>
      </c>
      <c r="Q1420">
        <v>57</v>
      </c>
      <c r="R1420">
        <v>20</v>
      </c>
      <c r="S1420">
        <v>9</v>
      </c>
      <c r="T1420">
        <v>125</v>
      </c>
      <c r="U1420">
        <v>436</v>
      </c>
      <c r="V1420">
        <v>7</v>
      </c>
      <c r="W1420">
        <v>4</v>
      </c>
      <c r="X1420">
        <v>3</v>
      </c>
      <c r="Y1420">
        <v>5</v>
      </c>
      <c r="Z1420">
        <v>12</v>
      </c>
      <c r="AA1420">
        <v>5</v>
      </c>
      <c r="AB1420" t="str">
        <f t="shared" si="68"/>
        <v>Below average customer</v>
      </c>
    </row>
    <row r="1421" spans="1:28" x14ac:dyDescent="0.35">
      <c r="A1421">
        <v>3340</v>
      </c>
      <c r="B1421">
        <v>1977</v>
      </c>
      <c r="C1421" t="s">
        <v>31</v>
      </c>
      <c r="D1421" t="s">
        <v>26</v>
      </c>
      <c r="E1421" t="s">
        <v>33</v>
      </c>
      <c r="F1421">
        <v>42014</v>
      </c>
      <c r="G1421" t="str">
        <f t="shared" si="66"/>
        <v>Mid-low</v>
      </c>
      <c r="H1421">
        <v>1</v>
      </c>
      <c r="I1421">
        <v>0</v>
      </c>
      <c r="J1421">
        <v>1</v>
      </c>
      <c r="K1421" s="1">
        <v>41138</v>
      </c>
      <c r="L1421">
        <v>56</v>
      </c>
      <c r="M1421" t="str">
        <f t="shared" si="67"/>
        <v>Inactive</v>
      </c>
      <c r="N1421">
        <v>0</v>
      </c>
      <c r="O1421">
        <v>244</v>
      </c>
      <c r="P1421">
        <v>15</v>
      </c>
      <c r="Q1421">
        <v>108</v>
      </c>
      <c r="R1421">
        <v>4</v>
      </c>
      <c r="S1421">
        <v>15</v>
      </c>
      <c r="T1421">
        <v>50</v>
      </c>
      <c r="U1421">
        <v>436</v>
      </c>
      <c r="V1421">
        <v>6</v>
      </c>
      <c r="W1421">
        <v>7</v>
      </c>
      <c r="X1421">
        <v>1</v>
      </c>
      <c r="Y1421">
        <v>6</v>
      </c>
      <c r="Z1421">
        <v>14</v>
      </c>
      <c r="AA1421">
        <v>8</v>
      </c>
      <c r="AB1421" t="str">
        <f t="shared" si="68"/>
        <v>Below average customer</v>
      </c>
    </row>
    <row r="1422" spans="1:28" x14ac:dyDescent="0.35">
      <c r="A1422">
        <v>3594</v>
      </c>
      <c r="B1422">
        <v>1973</v>
      </c>
      <c r="C1422" t="s">
        <v>31</v>
      </c>
      <c r="D1422" t="s">
        <v>34</v>
      </c>
      <c r="E1422" t="s">
        <v>33</v>
      </c>
      <c r="F1422">
        <v>54108</v>
      </c>
      <c r="G1422" t="str">
        <f t="shared" si="66"/>
        <v>Mid-high</v>
      </c>
      <c r="H1422">
        <v>1</v>
      </c>
      <c r="I1422">
        <v>1</v>
      </c>
      <c r="J1422">
        <v>2</v>
      </c>
      <c r="K1422" s="1">
        <v>41218</v>
      </c>
      <c r="L1422">
        <v>74</v>
      </c>
      <c r="M1422" t="str">
        <f t="shared" si="67"/>
        <v>Inactive</v>
      </c>
      <c r="N1422">
        <v>0</v>
      </c>
      <c r="O1422">
        <v>539</v>
      </c>
      <c r="P1422">
        <v>6</v>
      </c>
      <c r="Q1422">
        <v>91</v>
      </c>
      <c r="R1422">
        <v>8</v>
      </c>
      <c r="S1422">
        <v>6</v>
      </c>
      <c r="T1422">
        <v>97</v>
      </c>
      <c r="U1422">
        <v>747</v>
      </c>
      <c r="V1422">
        <v>13</v>
      </c>
      <c r="W1422">
        <v>8</v>
      </c>
      <c r="X1422">
        <v>2</v>
      </c>
      <c r="Y1422">
        <v>9</v>
      </c>
      <c r="Z1422">
        <v>19</v>
      </c>
      <c r="AA1422">
        <v>8</v>
      </c>
      <c r="AB1422" t="str">
        <f t="shared" si="68"/>
        <v>Below average customer</v>
      </c>
    </row>
    <row r="1423" spans="1:28" x14ac:dyDescent="0.35">
      <c r="A1423">
        <v>3584</v>
      </c>
      <c r="B1423">
        <v>1955</v>
      </c>
      <c r="C1423" t="s">
        <v>25</v>
      </c>
      <c r="D1423" t="s">
        <v>32</v>
      </c>
      <c r="E1423" t="s">
        <v>27</v>
      </c>
      <c r="F1423">
        <v>49667</v>
      </c>
      <c r="G1423" t="str">
        <f t="shared" si="66"/>
        <v>Mid-low</v>
      </c>
      <c r="H1423">
        <v>0</v>
      </c>
      <c r="I1423">
        <v>0</v>
      </c>
      <c r="J1423">
        <v>0</v>
      </c>
      <c r="K1423" s="1">
        <v>41141</v>
      </c>
      <c r="L1423">
        <v>35</v>
      </c>
      <c r="M1423" t="str">
        <f t="shared" si="67"/>
        <v>Active</v>
      </c>
      <c r="N1423">
        <v>0</v>
      </c>
      <c r="O1423">
        <v>1181</v>
      </c>
      <c r="P1423">
        <v>26</v>
      </c>
      <c r="Q1423">
        <v>120</v>
      </c>
      <c r="R1423">
        <v>17</v>
      </c>
      <c r="S1423">
        <v>13</v>
      </c>
      <c r="T1423">
        <v>39</v>
      </c>
      <c r="U1423">
        <v>1396</v>
      </c>
      <c r="V1423">
        <v>2</v>
      </c>
      <c r="W1423">
        <v>5</v>
      </c>
      <c r="X1423">
        <v>10</v>
      </c>
      <c r="Y1423">
        <v>5</v>
      </c>
      <c r="Z1423">
        <v>20</v>
      </c>
      <c r="AA1423">
        <v>8</v>
      </c>
      <c r="AB1423" t="str">
        <f t="shared" si="68"/>
        <v>Below average customer</v>
      </c>
    </row>
    <row r="1424" spans="1:28" x14ac:dyDescent="0.35">
      <c r="A1424">
        <v>3643</v>
      </c>
      <c r="B1424">
        <v>1974</v>
      </c>
      <c r="C1424" t="s">
        <v>31</v>
      </c>
      <c r="D1424" t="s">
        <v>34</v>
      </c>
      <c r="E1424" t="s">
        <v>33</v>
      </c>
      <c r="F1424">
        <v>63206</v>
      </c>
      <c r="G1424" t="str">
        <f t="shared" si="66"/>
        <v>Mid-high</v>
      </c>
      <c r="H1424">
        <v>0</v>
      </c>
      <c r="I1424">
        <v>0</v>
      </c>
      <c r="J1424">
        <v>0</v>
      </c>
      <c r="K1424" s="1">
        <v>41718</v>
      </c>
      <c r="L1424">
        <v>65</v>
      </c>
      <c r="M1424" t="str">
        <f t="shared" si="67"/>
        <v>Inactive</v>
      </c>
      <c r="N1424">
        <v>0</v>
      </c>
      <c r="O1424">
        <v>750</v>
      </c>
      <c r="P1424">
        <v>8</v>
      </c>
      <c r="Q1424">
        <v>125</v>
      </c>
      <c r="R1424">
        <v>11</v>
      </c>
      <c r="S1424">
        <v>8</v>
      </c>
      <c r="T1424">
        <v>26</v>
      </c>
      <c r="U1424">
        <v>928</v>
      </c>
      <c r="V1424">
        <v>1</v>
      </c>
      <c r="W1424">
        <v>4</v>
      </c>
      <c r="X1424">
        <v>3</v>
      </c>
      <c r="Y1424">
        <v>6</v>
      </c>
      <c r="Z1424">
        <v>13</v>
      </c>
      <c r="AA1424">
        <v>2</v>
      </c>
      <c r="AB1424" t="str">
        <f t="shared" si="68"/>
        <v>Below average customer</v>
      </c>
    </row>
    <row r="1425" spans="1:28" x14ac:dyDescent="0.35">
      <c r="A1425">
        <v>851</v>
      </c>
      <c r="B1425">
        <v>1972</v>
      </c>
      <c r="C1425" t="s">
        <v>28</v>
      </c>
      <c r="D1425" t="s">
        <v>34</v>
      </c>
      <c r="E1425" t="s">
        <v>33</v>
      </c>
      <c r="F1425">
        <v>57136</v>
      </c>
      <c r="G1425" t="str">
        <f t="shared" si="66"/>
        <v>Mid-high</v>
      </c>
      <c r="H1425">
        <v>1</v>
      </c>
      <c r="I1425">
        <v>1</v>
      </c>
      <c r="J1425">
        <v>2</v>
      </c>
      <c r="K1425" s="1">
        <v>41464</v>
      </c>
      <c r="L1425">
        <v>48</v>
      </c>
      <c r="M1425" t="str">
        <f t="shared" si="67"/>
        <v>Active</v>
      </c>
      <c r="N1425">
        <v>0</v>
      </c>
      <c r="O1425">
        <v>306</v>
      </c>
      <c r="P1425">
        <v>5</v>
      </c>
      <c r="Q1425">
        <v>109</v>
      </c>
      <c r="R1425">
        <v>21</v>
      </c>
      <c r="S1425">
        <v>109</v>
      </c>
      <c r="T1425">
        <v>92</v>
      </c>
      <c r="U1425">
        <v>642</v>
      </c>
      <c r="V1425">
        <v>9</v>
      </c>
      <c r="W1425">
        <v>5</v>
      </c>
      <c r="X1425">
        <v>2</v>
      </c>
      <c r="Y1425">
        <v>10</v>
      </c>
      <c r="Z1425">
        <v>17</v>
      </c>
      <c r="AA1425">
        <v>6</v>
      </c>
      <c r="AB1425" t="str">
        <f t="shared" si="68"/>
        <v>Above average customer</v>
      </c>
    </row>
    <row r="1426" spans="1:28" x14ac:dyDescent="0.35">
      <c r="A1426">
        <v>7706</v>
      </c>
      <c r="B1426">
        <v>1975</v>
      </c>
      <c r="C1426" t="s">
        <v>31</v>
      </c>
      <c r="D1426" t="s">
        <v>34</v>
      </c>
      <c r="E1426" t="s">
        <v>29</v>
      </c>
      <c r="F1426">
        <v>46772</v>
      </c>
      <c r="G1426" t="str">
        <f t="shared" si="66"/>
        <v>Mid-low</v>
      </c>
      <c r="H1426">
        <v>0</v>
      </c>
      <c r="I1426">
        <v>1</v>
      </c>
      <c r="J1426">
        <v>1</v>
      </c>
      <c r="K1426" s="1">
        <v>41220</v>
      </c>
      <c r="L1426">
        <v>88</v>
      </c>
      <c r="M1426" t="str">
        <f t="shared" si="67"/>
        <v>Inactive</v>
      </c>
      <c r="N1426">
        <v>0</v>
      </c>
      <c r="O1426">
        <v>350</v>
      </c>
      <c r="P1426">
        <v>104</v>
      </c>
      <c r="Q1426">
        <v>189</v>
      </c>
      <c r="R1426">
        <v>197</v>
      </c>
      <c r="S1426">
        <v>151</v>
      </c>
      <c r="T1426">
        <v>57</v>
      </c>
      <c r="U1426">
        <v>1048</v>
      </c>
      <c r="V1426">
        <v>6</v>
      </c>
      <c r="W1426">
        <v>11</v>
      </c>
      <c r="X1426">
        <v>8</v>
      </c>
      <c r="Y1426">
        <v>5</v>
      </c>
      <c r="Z1426">
        <v>24</v>
      </c>
      <c r="AA1426">
        <v>8</v>
      </c>
      <c r="AB1426" t="str">
        <f t="shared" si="68"/>
        <v>Below average customer</v>
      </c>
    </row>
    <row r="1427" spans="1:28" x14ac:dyDescent="0.35">
      <c r="A1427">
        <v>3967</v>
      </c>
      <c r="B1427">
        <v>1971</v>
      </c>
      <c r="C1427" t="s">
        <v>28</v>
      </c>
      <c r="D1427" t="s">
        <v>32</v>
      </c>
      <c r="E1427" t="s">
        <v>33</v>
      </c>
      <c r="F1427">
        <v>78931</v>
      </c>
      <c r="G1427" t="str">
        <f t="shared" si="66"/>
        <v>High</v>
      </c>
      <c r="H1427">
        <v>0</v>
      </c>
      <c r="I1427">
        <v>0</v>
      </c>
      <c r="J1427">
        <v>0</v>
      </c>
      <c r="K1427" s="1">
        <v>41572</v>
      </c>
      <c r="L1427">
        <v>19</v>
      </c>
      <c r="M1427" t="str">
        <f t="shared" si="67"/>
        <v>Active</v>
      </c>
      <c r="N1427">
        <v>0</v>
      </c>
      <c r="O1427">
        <v>331</v>
      </c>
      <c r="P1427">
        <v>197</v>
      </c>
      <c r="Q1427">
        <v>170</v>
      </c>
      <c r="R1427">
        <v>58</v>
      </c>
      <c r="S1427">
        <v>152</v>
      </c>
      <c r="T1427">
        <v>35</v>
      </c>
      <c r="U1427">
        <v>943</v>
      </c>
      <c r="V1427">
        <v>1</v>
      </c>
      <c r="W1427">
        <v>2</v>
      </c>
      <c r="X1427">
        <v>8</v>
      </c>
      <c r="Y1427">
        <v>13</v>
      </c>
      <c r="Z1427">
        <v>23</v>
      </c>
      <c r="AA1427">
        <v>1</v>
      </c>
      <c r="AB1427" t="str">
        <f t="shared" si="68"/>
        <v>Above average customer</v>
      </c>
    </row>
    <row r="1428" spans="1:28" x14ac:dyDescent="0.35">
      <c r="A1428">
        <v>10128</v>
      </c>
      <c r="B1428">
        <v>1958</v>
      </c>
      <c r="C1428" t="s">
        <v>25</v>
      </c>
      <c r="D1428" t="s">
        <v>26</v>
      </c>
      <c r="E1428" t="s">
        <v>29</v>
      </c>
      <c r="F1428">
        <v>53977</v>
      </c>
      <c r="G1428" t="str">
        <f t="shared" si="66"/>
        <v>Mid-high</v>
      </c>
      <c r="H1428">
        <v>0</v>
      </c>
      <c r="I1428">
        <v>1</v>
      </c>
      <c r="J1428">
        <v>1</v>
      </c>
      <c r="K1428" s="1">
        <v>41433</v>
      </c>
      <c r="L1428">
        <v>21</v>
      </c>
      <c r="M1428" t="str">
        <f t="shared" si="67"/>
        <v>Active</v>
      </c>
      <c r="N1428">
        <v>0</v>
      </c>
      <c r="O1428">
        <v>620</v>
      </c>
      <c r="P1428">
        <v>16</v>
      </c>
      <c r="Q1428">
        <v>165</v>
      </c>
      <c r="R1428">
        <v>0</v>
      </c>
      <c r="S1428">
        <v>24</v>
      </c>
      <c r="T1428">
        <v>82</v>
      </c>
      <c r="U1428">
        <v>907</v>
      </c>
      <c r="V1428">
        <v>5</v>
      </c>
      <c r="W1428">
        <v>5</v>
      </c>
      <c r="X1428">
        <v>5</v>
      </c>
      <c r="Y1428">
        <v>12</v>
      </c>
      <c r="Z1428">
        <v>22</v>
      </c>
      <c r="AA1428">
        <v>5</v>
      </c>
      <c r="AB1428" t="str">
        <f t="shared" si="68"/>
        <v>Above average customer</v>
      </c>
    </row>
    <row r="1429" spans="1:28" x14ac:dyDescent="0.35">
      <c r="A1429">
        <v>9451</v>
      </c>
      <c r="B1429">
        <v>1965</v>
      </c>
      <c r="C1429" t="s">
        <v>28</v>
      </c>
      <c r="D1429" t="s">
        <v>26</v>
      </c>
      <c r="E1429" t="s">
        <v>33</v>
      </c>
      <c r="F1429">
        <v>73538</v>
      </c>
      <c r="G1429" t="str">
        <f t="shared" si="66"/>
        <v>High</v>
      </c>
      <c r="H1429">
        <v>0</v>
      </c>
      <c r="I1429">
        <v>1</v>
      </c>
      <c r="J1429">
        <v>1</v>
      </c>
      <c r="K1429" s="1">
        <v>41238</v>
      </c>
      <c r="L1429">
        <v>92</v>
      </c>
      <c r="M1429" t="str">
        <f t="shared" si="67"/>
        <v>Inactive</v>
      </c>
      <c r="N1429">
        <v>0</v>
      </c>
      <c r="O1429">
        <v>811</v>
      </c>
      <c r="P1429">
        <v>76</v>
      </c>
      <c r="Q1429">
        <v>428</v>
      </c>
      <c r="R1429">
        <v>99</v>
      </c>
      <c r="S1429">
        <v>137</v>
      </c>
      <c r="T1429">
        <v>107</v>
      </c>
      <c r="U1429">
        <v>1658</v>
      </c>
      <c r="V1429">
        <v>3</v>
      </c>
      <c r="W1429">
        <v>10</v>
      </c>
      <c r="X1429">
        <v>4</v>
      </c>
      <c r="Y1429">
        <v>9</v>
      </c>
      <c r="Z1429">
        <v>23</v>
      </c>
      <c r="AA1429">
        <v>7</v>
      </c>
      <c r="AB1429" t="str">
        <f t="shared" si="68"/>
        <v>Below average customer</v>
      </c>
    </row>
    <row r="1430" spans="1:28" x14ac:dyDescent="0.35">
      <c r="A1430">
        <v>9264</v>
      </c>
      <c r="B1430">
        <v>1986</v>
      </c>
      <c r="C1430" t="s">
        <v>30</v>
      </c>
      <c r="D1430" t="s">
        <v>26</v>
      </c>
      <c r="E1430" t="s">
        <v>33</v>
      </c>
      <c r="F1430">
        <v>79529</v>
      </c>
      <c r="G1430" t="str">
        <f t="shared" si="66"/>
        <v>High</v>
      </c>
      <c r="H1430">
        <v>0</v>
      </c>
      <c r="I1430">
        <v>0</v>
      </c>
      <c r="J1430">
        <v>0</v>
      </c>
      <c r="K1430" s="1">
        <v>41756</v>
      </c>
      <c r="L1430">
        <v>1</v>
      </c>
      <c r="M1430" t="str">
        <f t="shared" si="67"/>
        <v>Active</v>
      </c>
      <c r="N1430">
        <v>0</v>
      </c>
      <c r="O1430">
        <v>423</v>
      </c>
      <c r="P1430">
        <v>42</v>
      </c>
      <c r="Q1430">
        <v>706</v>
      </c>
      <c r="R1430">
        <v>73</v>
      </c>
      <c r="S1430">
        <v>197</v>
      </c>
      <c r="T1430">
        <v>197</v>
      </c>
      <c r="U1430">
        <v>1638</v>
      </c>
      <c r="V1430">
        <v>1</v>
      </c>
      <c r="W1430">
        <v>4</v>
      </c>
      <c r="X1430">
        <v>8</v>
      </c>
      <c r="Y1430">
        <v>9</v>
      </c>
      <c r="Z1430">
        <v>21</v>
      </c>
      <c r="AA1430">
        <v>2</v>
      </c>
      <c r="AB1430" t="str">
        <f t="shared" si="68"/>
        <v>Above average customer</v>
      </c>
    </row>
    <row r="1431" spans="1:28" x14ac:dyDescent="0.35">
      <c r="A1431">
        <v>3865</v>
      </c>
      <c r="B1431">
        <v>1977</v>
      </c>
      <c r="C1431" t="s">
        <v>31</v>
      </c>
      <c r="D1431" t="s">
        <v>34</v>
      </c>
      <c r="E1431" t="s">
        <v>29</v>
      </c>
      <c r="F1431">
        <v>20981</v>
      </c>
      <c r="G1431" t="str">
        <f t="shared" si="66"/>
        <v>Low</v>
      </c>
      <c r="H1431">
        <v>0</v>
      </c>
      <c r="I1431">
        <v>0</v>
      </c>
      <c r="J1431">
        <v>0</v>
      </c>
      <c r="K1431" s="1">
        <v>41394</v>
      </c>
      <c r="L1431">
        <v>14</v>
      </c>
      <c r="M1431" t="str">
        <f t="shared" si="67"/>
        <v>Active</v>
      </c>
      <c r="N1431">
        <v>0</v>
      </c>
      <c r="O1431">
        <v>2</v>
      </c>
      <c r="P1431">
        <v>12</v>
      </c>
      <c r="Q1431">
        <v>10</v>
      </c>
      <c r="R1431">
        <v>6</v>
      </c>
      <c r="S1431">
        <v>13</v>
      </c>
      <c r="T1431">
        <v>30</v>
      </c>
      <c r="U1431">
        <v>73</v>
      </c>
      <c r="V1431">
        <v>1</v>
      </c>
      <c r="W1431">
        <v>3</v>
      </c>
      <c r="X1431">
        <v>1</v>
      </c>
      <c r="Y1431">
        <v>2</v>
      </c>
      <c r="Z1431">
        <v>6</v>
      </c>
      <c r="AA1431">
        <v>8</v>
      </c>
      <c r="AB1431" t="str">
        <f t="shared" si="68"/>
        <v>Below average customer</v>
      </c>
    </row>
    <row r="1432" spans="1:28" x14ac:dyDescent="0.35">
      <c r="A1432">
        <v>2853</v>
      </c>
      <c r="B1432">
        <v>1980</v>
      </c>
      <c r="C1432" t="s">
        <v>31</v>
      </c>
      <c r="D1432" t="s">
        <v>26</v>
      </c>
      <c r="E1432" t="s">
        <v>27</v>
      </c>
      <c r="F1432">
        <v>51766</v>
      </c>
      <c r="G1432" t="str">
        <f t="shared" si="66"/>
        <v>Mid-high</v>
      </c>
      <c r="H1432">
        <v>1</v>
      </c>
      <c r="I1432">
        <v>0</v>
      </c>
      <c r="J1432">
        <v>1</v>
      </c>
      <c r="K1432" s="1">
        <v>41709</v>
      </c>
      <c r="L1432">
        <v>74</v>
      </c>
      <c r="M1432" t="str">
        <f t="shared" si="67"/>
        <v>Inactive</v>
      </c>
      <c r="N1432">
        <v>0</v>
      </c>
      <c r="O1432">
        <v>60</v>
      </c>
      <c r="P1432">
        <v>51</v>
      </c>
      <c r="Q1432">
        <v>87</v>
      </c>
      <c r="R1432">
        <v>6</v>
      </c>
      <c r="S1432">
        <v>20</v>
      </c>
      <c r="T1432">
        <v>51</v>
      </c>
      <c r="U1432">
        <v>275</v>
      </c>
      <c r="V1432">
        <v>2</v>
      </c>
      <c r="W1432">
        <v>4</v>
      </c>
      <c r="X1432">
        <v>2</v>
      </c>
      <c r="Y1432">
        <v>4</v>
      </c>
      <c r="Z1432">
        <v>10</v>
      </c>
      <c r="AA1432">
        <v>5</v>
      </c>
      <c r="AB1432" t="str">
        <f t="shared" si="68"/>
        <v>Below average customer</v>
      </c>
    </row>
    <row r="1433" spans="1:28" x14ac:dyDescent="0.35">
      <c r="A1433">
        <v>1490</v>
      </c>
      <c r="B1433">
        <v>1962</v>
      </c>
      <c r="C1433" t="s">
        <v>25</v>
      </c>
      <c r="D1433" t="s">
        <v>26</v>
      </c>
      <c r="E1433" t="s">
        <v>33</v>
      </c>
      <c r="F1433">
        <v>55759</v>
      </c>
      <c r="G1433" t="str">
        <f t="shared" si="66"/>
        <v>Mid-high</v>
      </c>
      <c r="H1433">
        <v>0</v>
      </c>
      <c r="I1433">
        <v>1</v>
      </c>
      <c r="J1433">
        <v>1</v>
      </c>
      <c r="K1433" s="1">
        <v>41241</v>
      </c>
      <c r="L1433">
        <v>84</v>
      </c>
      <c r="M1433" t="str">
        <f t="shared" si="67"/>
        <v>Inactive</v>
      </c>
      <c r="N1433">
        <v>0</v>
      </c>
      <c r="O1433">
        <v>675</v>
      </c>
      <c r="P1433">
        <v>0</v>
      </c>
      <c r="Q1433">
        <v>85</v>
      </c>
      <c r="R1433">
        <v>10</v>
      </c>
      <c r="S1433">
        <v>7</v>
      </c>
      <c r="T1433">
        <v>77</v>
      </c>
      <c r="U1433">
        <v>854</v>
      </c>
      <c r="V1433">
        <v>5</v>
      </c>
      <c r="W1433">
        <v>10</v>
      </c>
      <c r="X1433">
        <v>3</v>
      </c>
      <c r="Y1433">
        <v>8</v>
      </c>
      <c r="Z1433">
        <v>21</v>
      </c>
      <c r="AA1433">
        <v>8</v>
      </c>
      <c r="AB1433" t="str">
        <f t="shared" si="68"/>
        <v>Below average customer</v>
      </c>
    </row>
    <row r="1434" spans="1:28" x14ac:dyDescent="0.35">
      <c r="A1434">
        <v>10380</v>
      </c>
      <c r="B1434">
        <v>1972</v>
      </c>
      <c r="C1434" t="s">
        <v>28</v>
      </c>
      <c r="D1434" t="s">
        <v>34</v>
      </c>
      <c r="E1434" t="s">
        <v>33</v>
      </c>
      <c r="F1434">
        <v>37787</v>
      </c>
      <c r="G1434" t="str">
        <f t="shared" si="66"/>
        <v>Mid-low</v>
      </c>
      <c r="H1434">
        <v>1</v>
      </c>
      <c r="I1434">
        <v>0</v>
      </c>
      <c r="J1434">
        <v>1</v>
      </c>
      <c r="K1434" s="1">
        <v>41537</v>
      </c>
      <c r="L1434">
        <v>50</v>
      </c>
      <c r="M1434" t="str">
        <f t="shared" si="67"/>
        <v>Inactive</v>
      </c>
      <c r="N1434">
        <v>0</v>
      </c>
      <c r="O1434">
        <v>40</v>
      </c>
      <c r="P1434">
        <v>1</v>
      </c>
      <c r="Q1434">
        <v>40</v>
      </c>
      <c r="R1434">
        <v>4</v>
      </c>
      <c r="S1434">
        <v>3</v>
      </c>
      <c r="T1434">
        <v>18</v>
      </c>
      <c r="U1434">
        <v>106</v>
      </c>
      <c r="V1434">
        <v>1</v>
      </c>
      <c r="W1434">
        <v>3</v>
      </c>
      <c r="X1434">
        <v>0</v>
      </c>
      <c r="Y1434">
        <v>3</v>
      </c>
      <c r="Z1434">
        <v>6</v>
      </c>
      <c r="AA1434">
        <v>8</v>
      </c>
      <c r="AB1434" t="str">
        <f t="shared" si="68"/>
        <v>Below average customer</v>
      </c>
    </row>
    <row r="1435" spans="1:28" x14ac:dyDescent="0.35">
      <c r="A1435">
        <v>3887</v>
      </c>
      <c r="B1435">
        <v>1970</v>
      </c>
      <c r="C1435" t="s">
        <v>28</v>
      </c>
      <c r="D1435" t="s">
        <v>26</v>
      </c>
      <c r="E1435" t="s">
        <v>27</v>
      </c>
      <c r="F1435">
        <v>27242</v>
      </c>
      <c r="G1435" t="str">
        <f t="shared" si="66"/>
        <v>Low</v>
      </c>
      <c r="H1435">
        <v>1</v>
      </c>
      <c r="I1435">
        <v>0</v>
      </c>
      <c r="J1435">
        <v>1</v>
      </c>
      <c r="K1435" s="1">
        <v>41224</v>
      </c>
      <c r="L1435">
        <v>2</v>
      </c>
      <c r="M1435" t="str">
        <f t="shared" si="67"/>
        <v>Active</v>
      </c>
      <c r="N1435">
        <v>0</v>
      </c>
      <c r="O1435">
        <v>3</v>
      </c>
      <c r="P1435">
        <v>17</v>
      </c>
      <c r="Q1435">
        <v>26</v>
      </c>
      <c r="R1435">
        <v>20</v>
      </c>
      <c r="S1435">
        <v>1</v>
      </c>
      <c r="T1435">
        <v>39</v>
      </c>
      <c r="U1435">
        <v>106</v>
      </c>
      <c r="V1435">
        <v>2</v>
      </c>
      <c r="W1435">
        <v>2</v>
      </c>
      <c r="X1435">
        <v>0</v>
      </c>
      <c r="Y1435">
        <v>3</v>
      </c>
      <c r="Z1435">
        <v>5</v>
      </c>
      <c r="AA1435">
        <v>9</v>
      </c>
      <c r="AB1435" t="str">
        <f t="shared" si="68"/>
        <v>Below average customer</v>
      </c>
    </row>
    <row r="1436" spans="1:28" x14ac:dyDescent="0.35">
      <c r="A1436">
        <v>4278</v>
      </c>
      <c r="B1436">
        <v>1983</v>
      </c>
      <c r="C1436" t="s">
        <v>30</v>
      </c>
      <c r="D1436" t="s">
        <v>32</v>
      </c>
      <c r="E1436" t="s">
        <v>27</v>
      </c>
      <c r="F1436">
        <v>87188</v>
      </c>
      <c r="G1436" t="str">
        <f t="shared" si="66"/>
        <v>High</v>
      </c>
      <c r="H1436">
        <v>0</v>
      </c>
      <c r="I1436">
        <v>0</v>
      </c>
      <c r="J1436">
        <v>0</v>
      </c>
      <c r="K1436" s="1">
        <v>41428</v>
      </c>
      <c r="L1436">
        <v>73</v>
      </c>
      <c r="M1436" t="str">
        <f t="shared" si="67"/>
        <v>Inactive</v>
      </c>
      <c r="N1436">
        <v>0</v>
      </c>
      <c r="O1436">
        <v>910</v>
      </c>
      <c r="P1436">
        <v>111</v>
      </c>
      <c r="Q1436">
        <v>724</v>
      </c>
      <c r="R1436">
        <v>49</v>
      </c>
      <c r="S1436">
        <v>74</v>
      </c>
      <c r="T1436">
        <v>55</v>
      </c>
      <c r="U1436">
        <v>1923</v>
      </c>
      <c r="V1436">
        <v>1</v>
      </c>
      <c r="W1436">
        <v>10</v>
      </c>
      <c r="X1436">
        <v>2</v>
      </c>
      <c r="Y1436">
        <v>6</v>
      </c>
      <c r="Z1436">
        <v>18</v>
      </c>
      <c r="AA1436">
        <v>3</v>
      </c>
      <c r="AB1436" t="str">
        <f t="shared" si="68"/>
        <v>Below average customer</v>
      </c>
    </row>
    <row r="1437" spans="1:28" x14ac:dyDescent="0.35">
      <c r="A1437">
        <v>8643</v>
      </c>
      <c r="B1437">
        <v>1971</v>
      </c>
      <c r="C1437" t="s">
        <v>28</v>
      </c>
      <c r="D1437" t="s">
        <v>26</v>
      </c>
      <c r="E1437" t="s">
        <v>29</v>
      </c>
      <c r="F1437">
        <v>69930</v>
      </c>
      <c r="G1437" t="str">
        <f t="shared" si="66"/>
        <v>High</v>
      </c>
      <c r="H1437">
        <v>0</v>
      </c>
      <c r="I1437">
        <v>0</v>
      </c>
      <c r="J1437">
        <v>0</v>
      </c>
      <c r="K1437" s="1">
        <v>41420</v>
      </c>
      <c r="L1437">
        <v>21</v>
      </c>
      <c r="M1437" t="str">
        <f t="shared" si="67"/>
        <v>Active</v>
      </c>
      <c r="N1437">
        <v>0</v>
      </c>
      <c r="O1437">
        <v>252</v>
      </c>
      <c r="P1437">
        <v>98</v>
      </c>
      <c r="Q1437">
        <v>827</v>
      </c>
      <c r="R1437">
        <v>219</v>
      </c>
      <c r="S1437">
        <v>70</v>
      </c>
      <c r="T1437">
        <v>196</v>
      </c>
      <c r="U1437">
        <v>1662</v>
      </c>
      <c r="V1437">
        <v>1</v>
      </c>
      <c r="W1437">
        <v>4</v>
      </c>
      <c r="X1437">
        <v>5</v>
      </c>
      <c r="Y1437">
        <v>12</v>
      </c>
      <c r="Z1437">
        <v>21</v>
      </c>
      <c r="AA1437">
        <v>3</v>
      </c>
      <c r="AB1437" t="str">
        <f t="shared" si="68"/>
        <v>Above average customer</v>
      </c>
    </row>
    <row r="1438" spans="1:28" x14ac:dyDescent="0.35">
      <c r="A1438">
        <v>1998</v>
      </c>
      <c r="B1438">
        <v>1976</v>
      </c>
      <c r="C1438" t="s">
        <v>31</v>
      </c>
      <c r="D1438" t="s">
        <v>26</v>
      </c>
      <c r="E1438" t="s">
        <v>27</v>
      </c>
      <c r="F1438">
        <v>37697</v>
      </c>
      <c r="G1438" t="str">
        <f t="shared" si="66"/>
        <v>Mid-low</v>
      </c>
      <c r="H1438">
        <v>1</v>
      </c>
      <c r="I1438">
        <v>0</v>
      </c>
      <c r="J1438">
        <v>1</v>
      </c>
      <c r="K1438" s="1">
        <v>41677</v>
      </c>
      <c r="L1438">
        <v>82</v>
      </c>
      <c r="M1438" t="str">
        <f t="shared" si="67"/>
        <v>Inactive</v>
      </c>
      <c r="N1438">
        <v>0</v>
      </c>
      <c r="O1438">
        <v>34</v>
      </c>
      <c r="P1438">
        <v>6</v>
      </c>
      <c r="Q1438">
        <v>21</v>
      </c>
      <c r="R1438">
        <v>11</v>
      </c>
      <c r="S1438">
        <v>4</v>
      </c>
      <c r="T1438">
        <v>8</v>
      </c>
      <c r="U1438">
        <v>84</v>
      </c>
      <c r="V1438">
        <v>1</v>
      </c>
      <c r="W1438">
        <v>2</v>
      </c>
      <c r="X1438">
        <v>1</v>
      </c>
      <c r="Y1438">
        <v>3</v>
      </c>
      <c r="Z1438">
        <v>6</v>
      </c>
      <c r="AA1438">
        <v>6</v>
      </c>
      <c r="AB1438" t="str">
        <f t="shared" si="68"/>
        <v>Below average customer</v>
      </c>
    </row>
    <row r="1439" spans="1:28" x14ac:dyDescent="0.35">
      <c r="A1439">
        <v>11110</v>
      </c>
      <c r="B1439">
        <v>1973</v>
      </c>
      <c r="C1439" t="s">
        <v>31</v>
      </c>
      <c r="D1439" t="s">
        <v>26</v>
      </c>
      <c r="E1439" t="s">
        <v>27</v>
      </c>
      <c r="F1439">
        <v>3502</v>
      </c>
      <c r="G1439" t="str">
        <f t="shared" si="66"/>
        <v>Low</v>
      </c>
      <c r="H1439">
        <v>1</v>
      </c>
      <c r="I1439">
        <v>0</v>
      </c>
      <c r="J1439">
        <v>1</v>
      </c>
      <c r="K1439" s="1">
        <v>41377</v>
      </c>
      <c r="L1439">
        <v>56</v>
      </c>
      <c r="M1439" t="str">
        <f t="shared" si="67"/>
        <v>Inactive</v>
      </c>
      <c r="N1439">
        <v>0</v>
      </c>
      <c r="O1439">
        <v>2</v>
      </c>
      <c r="P1439">
        <v>1</v>
      </c>
      <c r="Q1439">
        <v>1</v>
      </c>
      <c r="R1439">
        <v>0</v>
      </c>
      <c r="S1439">
        <v>0</v>
      </c>
      <c r="T1439">
        <v>1</v>
      </c>
      <c r="U1439">
        <v>5</v>
      </c>
      <c r="V1439">
        <v>0</v>
      </c>
      <c r="W1439">
        <v>0</v>
      </c>
      <c r="X1439">
        <v>0</v>
      </c>
      <c r="Y1439">
        <v>0</v>
      </c>
      <c r="Z1439">
        <v>0</v>
      </c>
      <c r="AA1439">
        <v>14</v>
      </c>
      <c r="AB1439" t="str">
        <f t="shared" si="68"/>
        <v>Below average customer</v>
      </c>
    </row>
    <row r="1440" spans="1:28" x14ac:dyDescent="0.35">
      <c r="A1440">
        <v>2408</v>
      </c>
      <c r="B1440">
        <v>1976</v>
      </c>
      <c r="C1440" t="s">
        <v>31</v>
      </c>
      <c r="D1440" t="s">
        <v>26</v>
      </c>
      <c r="E1440" t="s">
        <v>33</v>
      </c>
      <c r="F1440">
        <v>58597</v>
      </c>
      <c r="G1440" t="str">
        <f t="shared" si="66"/>
        <v>Mid-high</v>
      </c>
      <c r="H1440">
        <v>1</v>
      </c>
      <c r="I1440">
        <v>1</v>
      </c>
      <c r="J1440">
        <v>2</v>
      </c>
      <c r="K1440" s="1">
        <v>41233</v>
      </c>
      <c r="L1440">
        <v>20</v>
      </c>
      <c r="M1440" t="str">
        <f t="shared" si="67"/>
        <v>Active</v>
      </c>
      <c r="N1440">
        <v>0</v>
      </c>
      <c r="O1440">
        <v>490</v>
      </c>
      <c r="P1440">
        <v>0</v>
      </c>
      <c r="Q1440">
        <v>184</v>
      </c>
      <c r="R1440">
        <v>10</v>
      </c>
      <c r="S1440">
        <v>28</v>
      </c>
      <c r="T1440">
        <v>21</v>
      </c>
      <c r="U1440">
        <v>733</v>
      </c>
      <c r="V1440">
        <v>12</v>
      </c>
      <c r="W1440">
        <v>7</v>
      </c>
      <c r="X1440">
        <v>4</v>
      </c>
      <c r="Y1440">
        <v>9</v>
      </c>
      <c r="Z1440">
        <v>20</v>
      </c>
      <c r="AA1440">
        <v>7</v>
      </c>
      <c r="AB1440" t="str">
        <f t="shared" si="68"/>
        <v>Above average customer</v>
      </c>
    </row>
    <row r="1441" spans="1:28" x14ac:dyDescent="0.35">
      <c r="A1441">
        <v>202</v>
      </c>
      <c r="B1441">
        <v>1948</v>
      </c>
      <c r="C1441" t="s">
        <v>36</v>
      </c>
      <c r="D1441" t="s">
        <v>32</v>
      </c>
      <c r="E1441" t="s">
        <v>38</v>
      </c>
      <c r="F1441">
        <v>82032</v>
      </c>
      <c r="G1441" t="str">
        <f t="shared" si="66"/>
        <v>High</v>
      </c>
      <c r="H1441">
        <v>0</v>
      </c>
      <c r="I1441">
        <v>0</v>
      </c>
      <c r="J1441">
        <v>0</v>
      </c>
      <c r="K1441" s="1">
        <v>41734</v>
      </c>
      <c r="L1441">
        <v>54</v>
      </c>
      <c r="M1441" t="str">
        <f t="shared" si="67"/>
        <v>Inactive</v>
      </c>
      <c r="N1441">
        <v>0</v>
      </c>
      <c r="O1441">
        <v>332</v>
      </c>
      <c r="P1441">
        <v>194</v>
      </c>
      <c r="Q1441">
        <v>377</v>
      </c>
      <c r="R1441">
        <v>149</v>
      </c>
      <c r="S1441">
        <v>125</v>
      </c>
      <c r="T1441">
        <v>57</v>
      </c>
      <c r="U1441">
        <v>1234</v>
      </c>
      <c r="V1441">
        <v>0</v>
      </c>
      <c r="W1441">
        <v>4</v>
      </c>
      <c r="X1441">
        <v>6</v>
      </c>
      <c r="Y1441">
        <v>7</v>
      </c>
      <c r="Z1441">
        <v>17</v>
      </c>
      <c r="AA1441">
        <v>1</v>
      </c>
      <c r="AB1441" t="str">
        <f t="shared" si="68"/>
        <v>Below average customer</v>
      </c>
    </row>
    <row r="1442" spans="1:28" x14ac:dyDescent="0.35">
      <c r="A1442">
        <v>7998</v>
      </c>
      <c r="B1442">
        <v>1958</v>
      </c>
      <c r="C1442" t="s">
        <v>25</v>
      </c>
      <c r="D1442" t="s">
        <v>26</v>
      </c>
      <c r="E1442" t="s">
        <v>29</v>
      </c>
      <c r="F1442">
        <v>28087</v>
      </c>
      <c r="G1442" t="str">
        <f t="shared" si="66"/>
        <v>Low</v>
      </c>
      <c r="H1442">
        <v>1</v>
      </c>
      <c r="I1442">
        <v>1</v>
      </c>
      <c r="J1442">
        <v>2</v>
      </c>
      <c r="K1442" s="1">
        <v>41254</v>
      </c>
      <c r="L1442">
        <v>77</v>
      </c>
      <c r="M1442" t="str">
        <f t="shared" si="67"/>
        <v>Inactive</v>
      </c>
      <c r="N1442">
        <v>0</v>
      </c>
      <c r="O1442">
        <v>53</v>
      </c>
      <c r="P1442">
        <v>8</v>
      </c>
      <c r="Q1442">
        <v>17</v>
      </c>
      <c r="R1442">
        <v>13</v>
      </c>
      <c r="S1442">
        <v>0</v>
      </c>
      <c r="T1442">
        <v>21</v>
      </c>
      <c r="U1442">
        <v>112</v>
      </c>
      <c r="V1442">
        <v>3</v>
      </c>
      <c r="W1442">
        <v>2</v>
      </c>
      <c r="X1442">
        <v>2</v>
      </c>
      <c r="Y1442">
        <v>2</v>
      </c>
      <c r="Z1442">
        <v>6</v>
      </c>
      <c r="AA1442">
        <v>7</v>
      </c>
      <c r="AB1442" t="str">
        <f t="shared" si="68"/>
        <v>Below average customer</v>
      </c>
    </row>
    <row r="1443" spans="1:28" x14ac:dyDescent="0.35">
      <c r="A1443">
        <v>830</v>
      </c>
      <c r="B1443">
        <v>1987</v>
      </c>
      <c r="C1443" t="s">
        <v>30</v>
      </c>
      <c r="D1443" t="s">
        <v>32</v>
      </c>
      <c r="E1443" t="s">
        <v>27</v>
      </c>
      <c r="F1443">
        <v>74004</v>
      </c>
      <c r="G1443" t="str">
        <f t="shared" si="66"/>
        <v>High</v>
      </c>
      <c r="H1443">
        <v>0</v>
      </c>
      <c r="I1443">
        <v>0</v>
      </c>
      <c r="J1443">
        <v>0</v>
      </c>
      <c r="K1443" s="1">
        <v>41694</v>
      </c>
      <c r="L1443">
        <v>5</v>
      </c>
      <c r="M1443" t="str">
        <f t="shared" si="67"/>
        <v>Active</v>
      </c>
      <c r="N1443">
        <v>0</v>
      </c>
      <c r="O1443">
        <v>784</v>
      </c>
      <c r="P1443">
        <v>48</v>
      </c>
      <c r="Q1443">
        <v>560</v>
      </c>
      <c r="R1443">
        <v>42</v>
      </c>
      <c r="S1443">
        <v>176</v>
      </c>
      <c r="T1443">
        <v>48</v>
      </c>
      <c r="U1443">
        <v>1658</v>
      </c>
      <c r="V1443">
        <v>1</v>
      </c>
      <c r="W1443">
        <v>4</v>
      </c>
      <c r="X1443">
        <v>6</v>
      </c>
      <c r="Y1443">
        <v>4</v>
      </c>
      <c r="Z1443">
        <v>14</v>
      </c>
      <c r="AA1443">
        <v>3</v>
      </c>
      <c r="AB1443" t="str">
        <f t="shared" si="68"/>
        <v>Above average customer</v>
      </c>
    </row>
    <row r="1444" spans="1:28" x14ac:dyDescent="0.35">
      <c r="A1444">
        <v>3536</v>
      </c>
      <c r="B1444">
        <v>1960</v>
      </c>
      <c r="C1444" t="s">
        <v>25</v>
      </c>
      <c r="D1444" t="s">
        <v>26</v>
      </c>
      <c r="E1444" t="s">
        <v>29</v>
      </c>
      <c r="F1444">
        <v>19740</v>
      </c>
      <c r="G1444" t="str">
        <f t="shared" si="66"/>
        <v>Low</v>
      </c>
      <c r="H1444">
        <v>0</v>
      </c>
      <c r="I1444">
        <v>1</v>
      </c>
      <c r="J1444">
        <v>1</v>
      </c>
      <c r="K1444" s="1">
        <v>41357</v>
      </c>
      <c r="L1444">
        <v>65</v>
      </c>
      <c r="M1444" t="str">
        <f t="shared" si="67"/>
        <v>Inactive</v>
      </c>
      <c r="N1444">
        <v>0</v>
      </c>
      <c r="O1444">
        <v>7</v>
      </c>
      <c r="P1444">
        <v>11</v>
      </c>
      <c r="Q1444">
        <v>3</v>
      </c>
      <c r="R1444">
        <v>10</v>
      </c>
      <c r="S1444">
        <v>4</v>
      </c>
      <c r="T1444">
        <v>20</v>
      </c>
      <c r="U1444">
        <v>55</v>
      </c>
      <c r="V1444">
        <v>2</v>
      </c>
      <c r="W1444">
        <v>1</v>
      </c>
      <c r="X1444">
        <v>1</v>
      </c>
      <c r="Y1444">
        <v>3</v>
      </c>
      <c r="Z1444">
        <v>5</v>
      </c>
      <c r="AA1444">
        <v>5</v>
      </c>
      <c r="AB1444" t="str">
        <f t="shared" si="68"/>
        <v>Below average customer</v>
      </c>
    </row>
    <row r="1445" spans="1:28" x14ac:dyDescent="0.35">
      <c r="A1445">
        <v>6050</v>
      </c>
      <c r="B1445">
        <v>1975</v>
      </c>
      <c r="C1445" t="s">
        <v>31</v>
      </c>
      <c r="D1445" t="s">
        <v>34</v>
      </c>
      <c r="E1445" t="s">
        <v>33</v>
      </c>
      <c r="F1445">
        <v>57036</v>
      </c>
      <c r="G1445" t="str">
        <f t="shared" si="66"/>
        <v>Mid-high</v>
      </c>
      <c r="H1445">
        <v>0</v>
      </c>
      <c r="I1445">
        <v>1</v>
      </c>
      <c r="J1445">
        <v>1</v>
      </c>
      <c r="K1445" s="1">
        <v>41254</v>
      </c>
      <c r="L1445">
        <v>33</v>
      </c>
      <c r="M1445" t="str">
        <f t="shared" si="67"/>
        <v>Active</v>
      </c>
      <c r="N1445">
        <v>0</v>
      </c>
      <c r="O1445">
        <v>1171</v>
      </c>
      <c r="P1445">
        <v>43</v>
      </c>
      <c r="Q1445">
        <v>219</v>
      </c>
      <c r="R1445">
        <v>19</v>
      </c>
      <c r="S1445">
        <v>14</v>
      </c>
      <c r="T1445">
        <v>47</v>
      </c>
      <c r="U1445">
        <v>1513</v>
      </c>
      <c r="V1445">
        <v>4</v>
      </c>
      <c r="W1445">
        <v>6</v>
      </c>
      <c r="X1445">
        <v>3</v>
      </c>
      <c r="Y1445">
        <v>13</v>
      </c>
      <c r="Z1445">
        <v>22</v>
      </c>
      <c r="AA1445">
        <v>9</v>
      </c>
      <c r="AB1445" t="str">
        <f t="shared" si="68"/>
        <v>Above average customer</v>
      </c>
    </row>
    <row r="1446" spans="1:28" x14ac:dyDescent="0.35">
      <c r="A1446">
        <v>125</v>
      </c>
      <c r="B1446">
        <v>1958</v>
      </c>
      <c r="C1446" t="s">
        <v>25</v>
      </c>
      <c r="D1446" t="s">
        <v>34</v>
      </c>
      <c r="E1446" t="s">
        <v>29</v>
      </c>
      <c r="F1446">
        <v>53083</v>
      </c>
      <c r="G1446" t="str">
        <f t="shared" si="66"/>
        <v>Mid-high</v>
      </c>
      <c r="H1446">
        <v>1</v>
      </c>
      <c r="I1446">
        <v>1</v>
      </c>
      <c r="J1446">
        <v>2</v>
      </c>
      <c r="K1446" s="1">
        <v>41409</v>
      </c>
      <c r="L1446">
        <v>65</v>
      </c>
      <c r="M1446" t="str">
        <f t="shared" si="67"/>
        <v>Inactive</v>
      </c>
      <c r="N1446">
        <v>0</v>
      </c>
      <c r="O1446">
        <v>215</v>
      </c>
      <c r="P1446">
        <v>7</v>
      </c>
      <c r="Q1446">
        <v>33</v>
      </c>
      <c r="R1446">
        <v>3</v>
      </c>
      <c r="S1446">
        <v>0</v>
      </c>
      <c r="T1446">
        <v>13</v>
      </c>
      <c r="U1446">
        <v>271</v>
      </c>
      <c r="V1446">
        <v>6</v>
      </c>
      <c r="W1446">
        <v>5</v>
      </c>
      <c r="X1446">
        <v>1</v>
      </c>
      <c r="Y1446">
        <v>5</v>
      </c>
      <c r="Z1446">
        <v>11</v>
      </c>
      <c r="AA1446">
        <v>7</v>
      </c>
      <c r="AB1446" t="str">
        <f t="shared" si="68"/>
        <v>Below average customer</v>
      </c>
    </row>
    <row r="1447" spans="1:28" x14ac:dyDescent="0.35">
      <c r="A1447">
        <v>3463</v>
      </c>
      <c r="B1447">
        <v>1975</v>
      </c>
      <c r="C1447" t="s">
        <v>31</v>
      </c>
      <c r="D1447" t="s">
        <v>32</v>
      </c>
      <c r="E1447" t="s">
        <v>33</v>
      </c>
      <c r="F1447">
        <v>69283</v>
      </c>
      <c r="G1447" t="str">
        <f t="shared" si="66"/>
        <v>High</v>
      </c>
      <c r="H1447">
        <v>0</v>
      </c>
      <c r="I1447">
        <v>1</v>
      </c>
      <c r="J1447">
        <v>1</v>
      </c>
      <c r="K1447" s="1">
        <v>41804</v>
      </c>
      <c r="L1447">
        <v>41</v>
      </c>
      <c r="M1447" t="str">
        <f t="shared" si="67"/>
        <v>Active</v>
      </c>
      <c r="N1447">
        <v>0</v>
      </c>
      <c r="O1447">
        <v>674</v>
      </c>
      <c r="P1447">
        <v>62</v>
      </c>
      <c r="Q1447">
        <v>134</v>
      </c>
      <c r="R1447">
        <v>0</v>
      </c>
      <c r="S1447">
        <v>26</v>
      </c>
      <c r="T1447">
        <v>8</v>
      </c>
      <c r="U1447">
        <v>904</v>
      </c>
      <c r="V1447">
        <v>4</v>
      </c>
      <c r="W1447">
        <v>7</v>
      </c>
      <c r="X1447">
        <v>3</v>
      </c>
      <c r="Y1447">
        <v>13</v>
      </c>
      <c r="Z1447">
        <v>23</v>
      </c>
      <c r="AA1447">
        <v>5</v>
      </c>
      <c r="AB1447" t="str">
        <f t="shared" si="68"/>
        <v>Above average customer</v>
      </c>
    </row>
    <row r="1448" spans="1:28" x14ac:dyDescent="0.35">
      <c r="A1448">
        <v>2804</v>
      </c>
      <c r="B1448">
        <v>1975</v>
      </c>
      <c r="C1448" t="s">
        <v>31</v>
      </c>
      <c r="D1448" t="s">
        <v>34</v>
      </c>
      <c r="E1448" t="s">
        <v>27</v>
      </c>
      <c r="F1448">
        <v>46098</v>
      </c>
      <c r="G1448" t="str">
        <f t="shared" si="66"/>
        <v>Mid-low</v>
      </c>
      <c r="H1448">
        <v>1</v>
      </c>
      <c r="I1448">
        <v>1</v>
      </c>
      <c r="J1448">
        <v>2</v>
      </c>
      <c r="K1448" s="1">
        <v>41139</v>
      </c>
      <c r="L1448">
        <v>86</v>
      </c>
      <c r="M1448" t="str">
        <f t="shared" si="67"/>
        <v>Inactive</v>
      </c>
      <c r="N1448">
        <v>0</v>
      </c>
      <c r="O1448">
        <v>57</v>
      </c>
      <c r="P1448">
        <v>0</v>
      </c>
      <c r="Q1448">
        <v>27</v>
      </c>
      <c r="R1448">
        <v>0</v>
      </c>
      <c r="S1448">
        <v>0</v>
      </c>
      <c r="T1448">
        <v>36</v>
      </c>
      <c r="U1448">
        <v>120</v>
      </c>
      <c r="V1448">
        <v>4</v>
      </c>
      <c r="W1448">
        <v>3</v>
      </c>
      <c r="X1448">
        <v>2</v>
      </c>
      <c r="Y1448">
        <v>2</v>
      </c>
      <c r="Z1448">
        <v>7</v>
      </c>
      <c r="AA1448">
        <v>8</v>
      </c>
      <c r="AB1448" t="str">
        <f t="shared" si="68"/>
        <v>Below average customer</v>
      </c>
    </row>
    <row r="1449" spans="1:28" x14ac:dyDescent="0.35">
      <c r="A1449">
        <v>3745</v>
      </c>
      <c r="B1449">
        <v>1988</v>
      </c>
      <c r="C1449" t="s">
        <v>30</v>
      </c>
      <c r="D1449" t="s">
        <v>34</v>
      </c>
      <c r="E1449" t="s">
        <v>33</v>
      </c>
      <c r="F1449">
        <v>23331</v>
      </c>
      <c r="G1449" t="str">
        <f t="shared" si="66"/>
        <v>Low</v>
      </c>
      <c r="H1449">
        <v>1</v>
      </c>
      <c r="I1449">
        <v>0</v>
      </c>
      <c r="J1449">
        <v>1</v>
      </c>
      <c r="K1449" s="1">
        <v>41156</v>
      </c>
      <c r="L1449">
        <v>92</v>
      </c>
      <c r="M1449" t="str">
        <f t="shared" si="67"/>
        <v>Inactive</v>
      </c>
      <c r="N1449">
        <v>0</v>
      </c>
      <c r="O1449">
        <v>5</v>
      </c>
      <c r="P1449">
        <v>36</v>
      </c>
      <c r="Q1449">
        <v>7</v>
      </c>
      <c r="R1449">
        <v>0</v>
      </c>
      <c r="S1449">
        <v>10</v>
      </c>
      <c r="T1449">
        <v>45</v>
      </c>
      <c r="U1449">
        <v>103</v>
      </c>
      <c r="V1449">
        <v>2</v>
      </c>
      <c r="W1449">
        <v>3</v>
      </c>
      <c r="X1449">
        <v>0</v>
      </c>
      <c r="Y1449">
        <v>3</v>
      </c>
      <c r="Z1449">
        <v>6</v>
      </c>
      <c r="AA1449">
        <v>8</v>
      </c>
      <c r="AB1449" t="str">
        <f t="shared" si="68"/>
        <v>Below average customer</v>
      </c>
    </row>
    <row r="1450" spans="1:28" x14ac:dyDescent="0.35">
      <c r="A1450">
        <v>9771</v>
      </c>
      <c r="B1450">
        <v>1988</v>
      </c>
      <c r="C1450" t="s">
        <v>30</v>
      </c>
      <c r="D1450" t="s">
        <v>34</v>
      </c>
      <c r="E1450" t="s">
        <v>27</v>
      </c>
      <c r="F1450">
        <v>23331</v>
      </c>
      <c r="G1450" t="str">
        <f t="shared" si="66"/>
        <v>Low</v>
      </c>
      <c r="H1450">
        <v>1</v>
      </c>
      <c r="I1450">
        <v>0</v>
      </c>
      <c r="J1450">
        <v>1</v>
      </c>
      <c r="K1450" s="1">
        <v>41187</v>
      </c>
      <c r="L1450">
        <v>97</v>
      </c>
      <c r="M1450" t="str">
        <f t="shared" si="67"/>
        <v>Inactive</v>
      </c>
      <c r="N1450">
        <v>0</v>
      </c>
      <c r="O1450">
        <v>104</v>
      </c>
      <c r="P1450">
        <v>20</v>
      </c>
      <c r="Q1450">
        <v>101</v>
      </c>
      <c r="R1450">
        <v>24</v>
      </c>
      <c r="S1450">
        <v>15</v>
      </c>
      <c r="T1450">
        <v>5</v>
      </c>
      <c r="U1450">
        <v>269</v>
      </c>
      <c r="V1450">
        <v>6</v>
      </c>
      <c r="W1450">
        <v>5</v>
      </c>
      <c r="X1450">
        <v>1</v>
      </c>
      <c r="Y1450">
        <v>5</v>
      </c>
      <c r="Z1450">
        <v>11</v>
      </c>
      <c r="AA1450">
        <v>9</v>
      </c>
      <c r="AB1450" t="str">
        <f t="shared" si="68"/>
        <v>Below average customer</v>
      </c>
    </row>
    <row r="1451" spans="1:28" x14ac:dyDescent="0.35">
      <c r="A1451">
        <v>451</v>
      </c>
      <c r="B1451">
        <v>1989</v>
      </c>
      <c r="C1451" t="s">
        <v>30</v>
      </c>
      <c r="D1451" t="s">
        <v>26</v>
      </c>
      <c r="E1451" t="s">
        <v>27</v>
      </c>
      <c r="F1451">
        <v>9255</v>
      </c>
      <c r="G1451" t="str">
        <f t="shared" si="66"/>
        <v>Low</v>
      </c>
      <c r="H1451">
        <v>1</v>
      </c>
      <c r="I1451">
        <v>0</v>
      </c>
      <c r="J1451">
        <v>1</v>
      </c>
      <c r="K1451" s="1">
        <v>41628</v>
      </c>
      <c r="L1451">
        <v>91</v>
      </c>
      <c r="M1451" t="str">
        <f t="shared" si="67"/>
        <v>Inactive</v>
      </c>
      <c r="N1451">
        <v>0</v>
      </c>
      <c r="O1451">
        <v>9</v>
      </c>
      <c r="P1451">
        <v>0</v>
      </c>
      <c r="Q1451">
        <v>7</v>
      </c>
      <c r="R1451">
        <v>2</v>
      </c>
      <c r="S1451">
        <v>0</v>
      </c>
      <c r="T1451">
        <v>4</v>
      </c>
      <c r="U1451">
        <v>22</v>
      </c>
      <c r="V1451">
        <v>1</v>
      </c>
      <c r="W1451">
        <v>1</v>
      </c>
      <c r="X1451">
        <v>1</v>
      </c>
      <c r="Y1451">
        <v>2</v>
      </c>
      <c r="Z1451">
        <v>4</v>
      </c>
      <c r="AA1451">
        <v>8</v>
      </c>
      <c r="AB1451" t="str">
        <f t="shared" si="68"/>
        <v>Below average customer</v>
      </c>
    </row>
    <row r="1452" spans="1:28" x14ac:dyDescent="0.35">
      <c r="A1452">
        <v>10530</v>
      </c>
      <c r="B1452">
        <v>1959</v>
      </c>
      <c r="C1452" t="s">
        <v>25</v>
      </c>
      <c r="D1452" t="s">
        <v>32</v>
      </c>
      <c r="E1452" t="s">
        <v>38</v>
      </c>
      <c r="F1452">
        <v>67786</v>
      </c>
      <c r="G1452" t="str">
        <f t="shared" si="66"/>
        <v>Mid-high</v>
      </c>
      <c r="H1452">
        <v>0</v>
      </c>
      <c r="I1452">
        <v>0</v>
      </c>
      <c r="J1452">
        <v>0</v>
      </c>
      <c r="K1452" s="1">
        <v>41615</v>
      </c>
      <c r="L1452">
        <v>0</v>
      </c>
      <c r="M1452" t="str">
        <f t="shared" si="67"/>
        <v>Active</v>
      </c>
      <c r="N1452">
        <v>0</v>
      </c>
      <c r="O1452">
        <v>431</v>
      </c>
      <c r="P1452">
        <v>82</v>
      </c>
      <c r="Q1452">
        <v>441</v>
      </c>
      <c r="R1452">
        <v>80</v>
      </c>
      <c r="S1452">
        <v>20</v>
      </c>
      <c r="T1452">
        <v>102</v>
      </c>
      <c r="U1452">
        <v>1156</v>
      </c>
      <c r="V1452">
        <v>1</v>
      </c>
      <c r="W1452">
        <v>3</v>
      </c>
      <c r="X1452">
        <v>6</v>
      </c>
      <c r="Y1452">
        <v>6</v>
      </c>
      <c r="Z1452">
        <v>15</v>
      </c>
      <c r="AA1452">
        <v>1</v>
      </c>
      <c r="AB1452" t="str">
        <f t="shared" si="68"/>
        <v>Above average customer</v>
      </c>
    </row>
    <row r="1453" spans="1:28" x14ac:dyDescent="0.35">
      <c r="A1453">
        <v>1079</v>
      </c>
      <c r="B1453">
        <v>1971</v>
      </c>
      <c r="C1453" t="s">
        <v>28</v>
      </c>
      <c r="D1453" t="s">
        <v>32</v>
      </c>
      <c r="E1453" t="s">
        <v>33</v>
      </c>
      <c r="F1453">
        <v>71969</v>
      </c>
      <c r="G1453" t="str">
        <f t="shared" si="66"/>
        <v>High</v>
      </c>
      <c r="H1453">
        <v>0</v>
      </c>
      <c r="I1453">
        <v>1</v>
      </c>
      <c r="J1453">
        <v>1</v>
      </c>
      <c r="K1453" s="1">
        <v>41198</v>
      </c>
      <c r="L1453">
        <v>59</v>
      </c>
      <c r="M1453" t="str">
        <f t="shared" si="67"/>
        <v>Inactive</v>
      </c>
      <c r="N1453">
        <v>0</v>
      </c>
      <c r="O1453">
        <v>1000</v>
      </c>
      <c r="P1453">
        <v>0</v>
      </c>
      <c r="Q1453">
        <v>76</v>
      </c>
      <c r="R1453">
        <v>0</v>
      </c>
      <c r="S1453">
        <v>0</v>
      </c>
      <c r="T1453">
        <v>10</v>
      </c>
      <c r="U1453">
        <v>1086</v>
      </c>
      <c r="V1453">
        <v>3</v>
      </c>
      <c r="W1453">
        <v>3</v>
      </c>
      <c r="X1453">
        <v>4</v>
      </c>
      <c r="Y1453">
        <v>9</v>
      </c>
      <c r="Z1453">
        <v>16</v>
      </c>
      <c r="AA1453">
        <v>8</v>
      </c>
      <c r="AB1453" t="str">
        <f t="shared" si="68"/>
        <v>Below average customer</v>
      </c>
    </row>
    <row r="1454" spans="1:28" x14ac:dyDescent="0.35">
      <c r="A1454">
        <v>8920</v>
      </c>
      <c r="B1454">
        <v>1967</v>
      </c>
      <c r="C1454" t="s">
        <v>28</v>
      </c>
      <c r="D1454" t="s">
        <v>34</v>
      </c>
      <c r="E1454" t="s">
        <v>27</v>
      </c>
      <c r="F1454">
        <v>59235</v>
      </c>
      <c r="G1454" t="str">
        <f t="shared" si="66"/>
        <v>Mid-high</v>
      </c>
      <c r="H1454">
        <v>1</v>
      </c>
      <c r="I1454">
        <v>0</v>
      </c>
      <c r="J1454">
        <v>1</v>
      </c>
      <c r="K1454" s="1">
        <v>41286</v>
      </c>
      <c r="L1454">
        <v>4</v>
      </c>
      <c r="M1454" t="str">
        <f t="shared" si="67"/>
        <v>Active</v>
      </c>
      <c r="N1454">
        <v>0</v>
      </c>
      <c r="O1454">
        <v>448</v>
      </c>
      <c r="P1454">
        <v>40</v>
      </c>
      <c r="Q1454">
        <v>469</v>
      </c>
      <c r="R1454">
        <v>80</v>
      </c>
      <c r="S1454">
        <v>0</v>
      </c>
      <c r="T1454">
        <v>91</v>
      </c>
      <c r="U1454">
        <v>1128</v>
      </c>
      <c r="V1454">
        <v>3</v>
      </c>
      <c r="W1454">
        <v>11</v>
      </c>
      <c r="X1454">
        <v>2</v>
      </c>
      <c r="Y1454">
        <v>12</v>
      </c>
      <c r="Z1454">
        <v>25</v>
      </c>
      <c r="AA1454">
        <v>7</v>
      </c>
      <c r="AB1454" t="str">
        <f t="shared" si="68"/>
        <v>Above average customer</v>
      </c>
    </row>
    <row r="1455" spans="1:28" x14ac:dyDescent="0.35">
      <c r="A1455">
        <v>6678</v>
      </c>
      <c r="B1455">
        <v>1989</v>
      </c>
      <c r="C1455" t="s">
        <v>30</v>
      </c>
      <c r="D1455" t="s">
        <v>26</v>
      </c>
      <c r="E1455" t="s">
        <v>29</v>
      </c>
      <c r="F1455">
        <v>31928</v>
      </c>
      <c r="G1455" t="str">
        <f t="shared" si="66"/>
        <v>Low</v>
      </c>
      <c r="H1455">
        <v>1</v>
      </c>
      <c r="I1455">
        <v>0</v>
      </c>
      <c r="J1455">
        <v>1</v>
      </c>
      <c r="K1455" s="1">
        <v>41726</v>
      </c>
      <c r="L1455">
        <v>5</v>
      </c>
      <c r="M1455" t="str">
        <f t="shared" si="67"/>
        <v>Active</v>
      </c>
      <c r="N1455">
        <v>0</v>
      </c>
      <c r="O1455">
        <v>33</v>
      </c>
      <c r="P1455">
        <v>4</v>
      </c>
      <c r="Q1455">
        <v>24</v>
      </c>
      <c r="R1455">
        <v>4</v>
      </c>
      <c r="S1455">
        <v>2</v>
      </c>
      <c r="T1455">
        <v>5</v>
      </c>
      <c r="U1455">
        <v>72</v>
      </c>
      <c r="V1455">
        <v>2</v>
      </c>
      <c r="W1455">
        <v>3</v>
      </c>
      <c r="X1455">
        <v>0</v>
      </c>
      <c r="Y1455">
        <v>4</v>
      </c>
      <c r="Z1455">
        <v>7</v>
      </c>
      <c r="AA1455">
        <v>7</v>
      </c>
      <c r="AB1455" t="str">
        <f t="shared" si="68"/>
        <v>Below average customer</v>
      </c>
    </row>
    <row r="1456" spans="1:28" x14ac:dyDescent="0.35">
      <c r="A1456">
        <v>3852</v>
      </c>
      <c r="B1456">
        <v>1961</v>
      </c>
      <c r="C1456" t="s">
        <v>25</v>
      </c>
      <c r="D1456" t="s">
        <v>34</v>
      </c>
      <c r="E1456" t="s">
        <v>29</v>
      </c>
      <c r="F1456">
        <v>74881</v>
      </c>
      <c r="G1456" t="str">
        <f t="shared" si="66"/>
        <v>High</v>
      </c>
      <c r="H1456">
        <v>1</v>
      </c>
      <c r="I1456">
        <v>1</v>
      </c>
      <c r="J1456">
        <v>2</v>
      </c>
      <c r="K1456" s="1">
        <v>41341</v>
      </c>
      <c r="L1456">
        <v>48</v>
      </c>
      <c r="M1456" t="str">
        <f t="shared" si="67"/>
        <v>Active</v>
      </c>
      <c r="N1456">
        <v>0</v>
      </c>
      <c r="O1456">
        <v>505</v>
      </c>
      <c r="P1456">
        <v>72</v>
      </c>
      <c r="Q1456">
        <v>270</v>
      </c>
      <c r="R1456">
        <v>36</v>
      </c>
      <c r="S1456">
        <v>27</v>
      </c>
      <c r="T1456">
        <v>54</v>
      </c>
      <c r="U1456">
        <v>964</v>
      </c>
      <c r="V1456">
        <v>4</v>
      </c>
      <c r="W1456">
        <v>9</v>
      </c>
      <c r="X1456">
        <v>2</v>
      </c>
      <c r="Y1456">
        <v>12</v>
      </c>
      <c r="Z1456">
        <v>23</v>
      </c>
      <c r="AA1456">
        <v>5</v>
      </c>
      <c r="AB1456" t="str">
        <f t="shared" si="68"/>
        <v>Above average customer</v>
      </c>
    </row>
    <row r="1457" spans="1:28" x14ac:dyDescent="0.35">
      <c r="A1457">
        <v>528</v>
      </c>
      <c r="B1457">
        <v>1978</v>
      </c>
      <c r="C1457" t="s">
        <v>31</v>
      </c>
      <c r="D1457" t="s">
        <v>26</v>
      </c>
      <c r="E1457" t="s">
        <v>33</v>
      </c>
      <c r="F1457">
        <v>65819</v>
      </c>
      <c r="G1457" t="str">
        <f t="shared" si="66"/>
        <v>Mid-high</v>
      </c>
      <c r="H1457">
        <v>0</v>
      </c>
      <c r="I1457">
        <v>0</v>
      </c>
      <c r="J1457">
        <v>0</v>
      </c>
      <c r="K1457" s="1">
        <v>41242</v>
      </c>
      <c r="L1457">
        <v>99</v>
      </c>
      <c r="M1457" t="str">
        <f t="shared" si="67"/>
        <v>Inactive</v>
      </c>
      <c r="N1457">
        <v>0</v>
      </c>
      <c r="O1457">
        <v>267</v>
      </c>
      <c r="P1457">
        <v>38</v>
      </c>
      <c r="Q1457">
        <v>701</v>
      </c>
      <c r="R1457">
        <v>149</v>
      </c>
      <c r="S1457">
        <v>165</v>
      </c>
      <c r="T1457">
        <v>63</v>
      </c>
      <c r="U1457">
        <v>1383</v>
      </c>
      <c r="V1457">
        <v>1</v>
      </c>
      <c r="W1457">
        <v>5</v>
      </c>
      <c r="X1457">
        <v>4</v>
      </c>
      <c r="Y1457">
        <v>10</v>
      </c>
      <c r="Z1457">
        <v>19</v>
      </c>
      <c r="AA1457">
        <v>3</v>
      </c>
      <c r="AB1457" t="str">
        <f t="shared" si="68"/>
        <v>Below average customer</v>
      </c>
    </row>
    <row r="1458" spans="1:28" x14ac:dyDescent="0.35">
      <c r="A1458">
        <v>73</v>
      </c>
      <c r="B1458">
        <v>1953</v>
      </c>
      <c r="C1458" t="s">
        <v>25</v>
      </c>
      <c r="D1458" t="s">
        <v>32</v>
      </c>
      <c r="E1458" t="s">
        <v>27</v>
      </c>
      <c r="F1458">
        <v>51411</v>
      </c>
      <c r="G1458" t="str">
        <f t="shared" si="66"/>
        <v>Mid-low</v>
      </c>
      <c r="H1458">
        <v>1</v>
      </c>
      <c r="I1458">
        <v>2</v>
      </c>
      <c r="J1458">
        <v>3</v>
      </c>
      <c r="K1458" s="1">
        <v>41420</v>
      </c>
      <c r="L1458">
        <v>81</v>
      </c>
      <c r="M1458" t="str">
        <f t="shared" si="67"/>
        <v>Inactive</v>
      </c>
      <c r="N1458">
        <v>0</v>
      </c>
      <c r="O1458">
        <v>14</v>
      </c>
      <c r="P1458">
        <v>0</v>
      </c>
      <c r="Q1458">
        <v>3</v>
      </c>
      <c r="R1458">
        <v>0</v>
      </c>
      <c r="S1458">
        <v>0</v>
      </c>
      <c r="T1458">
        <v>1</v>
      </c>
      <c r="U1458">
        <v>18</v>
      </c>
      <c r="V1458">
        <v>1</v>
      </c>
      <c r="W1458">
        <v>0</v>
      </c>
      <c r="X1458">
        <v>0</v>
      </c>
      <c r="Y1458">
        <v>3</v>
      </c>
      <c r="Z1458">
        <v>3</v>
      </c>
      <c r="AA1458">
        <v>5</v>
      </c>
      <c r="AB1458" t="str">
        <f t="shared" si="68"/>
        <v>Below average customer</v>
      </c>
    </row>
    <row r="1459" spans="1:28" x14ac:dyDescent="0.35">
      <c r="A1459">
        <v>5589</v>
      </c>
      <c r="B1459">
        <v>1964</v>
      </c>
      <c r="C1459" t="s">
        <v>28</v>
      </c>
      <c r="D1459" t="s">
        <v>26</v>
      </c>
      <c r="E1459" t="s">
        <v>35</v>
      </c>
      <c r="F1459">
        <v>51983</v>
      </c>
      <c r="G1459" t="str">
        <f t="shared" si="66"/>
        <v>Mid-high</v>
      </c>
      <c r="H1459">
        <v>0</v>
      </c>
      <c r="I1459">
        <v>1</v>
      </c>
      <c r="J1459">
        <v>1</v>
      </c>
      <c r="K1459" s="1">
        <v>41152</v>
      </c>
      <c r="L1459">
        <v>95</v>
      </c>
      <c r="M1459" t="str">
        <f t="shared" si="67"/>
        <v>Inactive</v>
      </c>
      <c r="N1459">
        <v>0</v>
      </c>
      <c r="O1459">
        <v>631</v>
      </c>
      <c r="P1459">
        <v>0</v>
      </c>
      <c r="Q1459">
        <v>115</v>
      </c>
      <c r="R1459">
        <v>10</v>
      </c>
      <c r="S1459">
        <v>7</v>
      </c>
      <c r="T1459">
        <v>30</v>
      </c>
      <c r="U1459">
        <v>793</v>
      </c>
      <c r="V1459">
        <v>3</v>
      </c>
      <c r="W1459">
        <v>9</v>
      </c>
      <c r="X1459">
        <v>2</v>
      </c>
      <c r="Y1459">
        <v>10</v>
      </c>
      <c r="Z1459">
        <v>21</v>
      </c>
      <c r="AA1459">
        <v>7</v>
      </c>
      <c r="AB1459" t="str">
        <f t="shared" si="68"/>
        <v>Below average customer</v>
      </c>
    </row>
    <row r="1460" spans="1:28" x14ac:dyDescent="0.35">
      <c r="A1460">
        <v>6365</v>
      </c>
      <c r="B1460">
        <v>1987</v>
      </c>
      <c r="C1460" t="s">
        <v>30</v>
      </c>
      <c r="D1460" t="s">
        <v>34</v>
      </c>
      <c r="E1460" t="s">
        <v>33</v>
      </c>
      <c r="F1460">
        <v>30390</v>
      </c>
      <c r="G1460" t="str">
        <f t="shared" si="66"/>
        <v>Low</v>
      </c>
      <c r="H1460">
        <v>0</v>
      </c>
      <c r="I1460">
        <v>0</v>
      </c>
      <c r="J1460">
        <v>0</v>
      </c>
      <c r="K1460" s="1">
        <v>41519</v>
      </c>
      <c r="L1460">
        <v>5</v>
      </c>
      <c r="M1460" t="str">
        <f t="shared" si="67"/>
        <v>Active</v>
      </c>
      <c r="N1460">
        <v>0</v>
      </c>
      <c r="O1460">
        <v>10</v>
      </c>
      <c r="P1460">
        <v>12</v>
      </c>
      <c r="Q1460">
        <v>12</v>
      </c>
      <c r="R1460">
        <v>25</v>
      </c>
      <c r="S1460">
        <v>1</v>
      </c>
      <c r="T1460">
        <v>20</v>
      </c>
      <c r="U1460">
        <v>80</v>
      </c>
      <c r="V1460">
        <v>1</v>
      </c>
      <c r="W1460">
        <v>2</v>
      </c>
      <c r="X1460">
        <v>0</v>
      </c>
      <c r="Y1460">
        <v>3</v>
      </c>
      <c r="Z1460">
        <v>5</v>
      </c>
      <c r="AA1460">
        <v>6</v>
      </c>
      <c r="AB1460" t="str">
        <f t="shared" si="68"/>
        <v>Below average customer</v>
      </c>
    </row>
    <row r="1461" spans="1:28" x14ac:dyDescent="0.35">
      <c r="A1461">
        <v>5636</v>
      </c>
      <c r="B1461">
        <v>1963</v>
      </c>
      <c r="C1461" t="s">
        <v>28</v>
      </c>
      <c r="D1461" t="s">
        <v>26</v>
      </c>
      <c r="E1461" t="s">
        <v>27</v>
      </c>
      <c r="F1461">
        <v>30983</v>
      </c>
      <c r="G1461" t="str">
        <f t="shared" si="66"/>
        <v>Low</v>
      </c>
      <c r="H1461">
        <v>0</v>
      </c>
      <c r="I1461">
        <v>0</v>
      </c>
      <c r="J1461">
        <v>0</v>
      </c>
      <c r="K1461" s="1">
        <v>41222</v>
      </c>
      <c r="L1461">
        <v>50</v>
      </c>
      <c r="M1461" t="str">
        <f t="shared" si="67"/>
        <v>Inactive</v>
      </c>
      <c r="N1461">
        <v>0</v>
      </c>
      <c r="O1461">
        <v>51</v>
      </c>
      <c r="P1461">
        <v>4</v>
      </c>
      <c r="Q1461">
        <v>50</v>
      </c>
      <c r="R1461">
        <v>12</v>
      </c>
      <c r="S1461">
        <v>1</v>
      </c>
      <c r="T1461">
        <v>49</v>
      </c>
      <c r="U1461">
        <v>167</v>
      </c>
      <c r="V1461">
        <v>1</v>
      </c>
      <c r="W1461">
        <v>4</v>
      </c>
      <c r="X1461">
        <v>0</v>
      </c>
      <c r="Y1461">
        <v>3</v>
      </c>
      <c r="Z1461">
        <v>7</v>
      </c>
      <c r="AA1461">
        <v>8</v>
      </c>
      <c r="AB1461" t="str">
        <f t="shared" si="68"/>
        <v>Below average customer</v>
      </c>
    </row>
    <row r="1462" spans="1:28" x14ac:dyDescent="0.35">
      <c r="A1462">
        <v>591</v>
      </c>
      <c r="B1462">
        <v>1957</v>
      </c>
      <c r="C1462" t="s">
        <v>25</v>
      </c>
      <c r="D1462" t="s">
        <v>26</v>
      </c>
      <c r="E1462" t="s">
        <v>38</v>
      </c>
      <c r="F1462">
        <v>66033</v>
      </c>
      <c r="G1462" t="str">
        <f t="shared" si="66"/>
        <v>Mid-high</v>
      </c>
      <c r="H1462">
        <v>0</v>
      </c>
      <c r="I1462">
        <v>1</v>
      </c>
      <c r="J1462">
        <v>1</v>
      </c>
      <c r="K1462" s="1">
        <v>41294</v>
      </c>
      <c r="L1462">
        <v>76</v>
      </c>
      <c r="M1462" t="str">
        <f t="shared" si="67"/>
        <v>Inactive</v>
      </c>
      <c r="N1462">
        <v>0</v>
      </c>
      <c r="O1462">
        <v>293</v>
      </c>
      <c r="P1462">
        <v>35</v>
      </c>
      <c r="Q1462">
        <v>179</v>
      </c>
      <c r="R1462">
        <v>46</v>
      </c>
      <c r="S1462">
        <v>59</v>
      </c>
      <c r="T1462">
        <v>65</v>
      </c>
      <c r="U1462">
        <v>677</v>
      </c>
      <c r="V1462">
        <v>2</v>
      </c>
      <c r="W1462">
        <v>8</v>
      </c>
      <c r="X1462">
        <v>3</v>
      </c>
      <c r="Y1462">
        <v>7</v>
      </c>
      <c r="Z1462">
        <v>18</v>
      </c>
      <c r="AA1462">
        <v>7</v>
      </c>
      <c r="AB1462" t="str">
        <f t="shared" si="68"/>
        <v>Below average customer</v>
      </c>
    </row>
    <row r="1463" spans="1:28" x14ac:dyDescent="0.35">
      <c r="A1463">
        <v>2217</v>
      </c>
      <c r="B1463">
        <v>1975</v>
      </c>
      <c r="C1463" t="s">
        <v>31</v>
      </c>
      <c r="D1463" t="s">
        <v>34</v>
      </c>
      <c r="E1463" t="s">
        <v>33</v>
      </c>
      <c r="F1463">
        <v>37284</v>
      </c>
      <c r="G1463" t="str">
        <f t="shared" si="66"/>
        <v>Mid-low</v>
      </c>
      <c r="H1463">
        <v>1</v>
      </c>
      <c r="I1463">
        <v>1</v>
      </c>
      <c r="J1463">
        <v>2</v>
      </c>
      <c r="K1463" s="1">
        <v>41362</v>
      </c>
      <c r="L1463">
        <v>46</v>
      </c>
      <c r="M1463" t="str">
        <f t="shared" si="67"/>
        <v>Active</v>
      </c>
      <c r="N1463">
        <v>0</v>
      </c>
      <c r="O1463">
        <v>11</v>
      </c>
      <c r="P1463">
        <v>1</v>
      </c>
      <c r="Q1463">
        <v>2</v>
      </c>
      <c r="R1463">
        <v>2</v>
      </c>
      <c r="S1463">
        <v>1</v>
      </c>
      <c r="T1463">
        <v>6</v>
      </c>
      <c r="U1463">
        <v>23</v>
      </c>
      <c r="V1463">
        <v>1</v>
      </c>
      <c r="W1463">
        <v>0</v>
      </c>
      <c r="X1463">
        <v>0</v>
      </c>
      <c r="Y1463">
        <v>3</v>
      </c>
      <c r="Z1463">
        <v>3</v>
      </c>
      <c r="AA1463">
        <v>6</v>
      </c>
      <c r="AB1463" t="str">
        <f t="shared" si="68"/>
        <v>Below average customer</v>
      </c>
    </row>
    <row r="1464" spans="1:28" x14ac:dyDescent="0.35">
      <c r="A1464">
        <v>2544</v>
      </c>
      <c r="B1464">
        <v>1951</v>
      </c>
      <c r="C1464" t="s">
        <v>36</v>
      </c>
      <c r="D1464" t="s">
        <v>34</v>
      </c>
      <c r="E1464" t="s">
        <v>35</v>
      </c>
      <c r="F1464">
        <v>57530</v>
      </c>
      <c r="G1464" t="str">
        <f t="shared" si="66"/>
        <v>Mid-high</v>
      </c>
      <c r="H1464">
        <v>0</v>
      </c>
      <c r="I1464">
        <v>1</v>
      </c>
      <c r="J1464">
        <v>1</v>
      </c>
      <c r="K1464" s="1">
        <v>41559</v>
      </c>
      <c r="L1464">
        <v>68</v>
      </c>
      <c r="M1464" t="str">
        <f t="shared" si="67"/>
        <v>Inactive</v>
      </c>
      <c r="N1464">
        <v>0</v>
      </c>
      <c r="O1464">
        <v>50</v>
      </c>
      <c r="P1464">
        <v>1</v>
      </c>
      <c r="Q1464">
        <v>27</v>
      </c>
      <c r="R1464">
        <v>6</v>
      </c>
      <c r="S1464">
        <v>7</v>
      </c>
      <c r="T1464">
        <v>1</v>
      </c>
      <c r="U1464">
        <v>92</v>
      </c>
      <c r="V1464">
        <v>1</v>
      </c>
      <c r="W1464">
        <v>1</v>
      </c>
      <c r="X1464">
        <v>1</v>
      </c>
      <c r="Y1464">
        <v>4</v>
      </c>
      <c r="Z1464">
        <v>6</v>
      </c>
      <c r="AA1464">
        <v>1</v>
      </c>
      <c r="AB1464" t="str">
        <f t="shared" si="68"/>
        <v>Below average customer</v>
      </c>
    </row>
    <row r="1465" spans="1:28" x14ac:dyDescent="0.35">
      <c r="A1465">
        <v>7725</v>
      </c>
      <c r="B1465">
        <v>1965</v>
      </c>
      <c r="C1465" t="s">
        <v>28</v>
      </c>
      <c r="D1465" t="s">
        <v>34</v>
      </c>
      <c r="E1465" t="s">
        <v>33</v>
      </c>
      <c r="F1465">
        <v>76800</v>
      </c>
      <c r="G1465" t="str">
        <f t="shared" si="66"/>
        <v>High</v>
      </c>
      <c r="H1465">
        <v>0</v>
      </c>
      <c r="I1465">
        <v>0</v>
      </c>
      <c r="J1465">
        <v>0</v>
      </c>
      <c r="K1465" s="1">
        <v>41706</v>
      </c>
      <c r="L1465">
        <v>33</v>
      </c>
      <c r="M1465" t="str">
        <f t="shared" si="67"/>
        <v>Active</v>
      </c>
      <c r="N1465">
        <v>0</v>
      </c>
      <c r="O1465">
        <v>173</v>
      </c>
      <c r="P1465">
        <v>26</v>
      </c>
      <c r="Q1465">
        <v>255</v>
      </c>
      <c r="R1465">
        <v>35</v>
      </c>
      <c r="S1465">
        <v>71</v>
      </c>
      <c r="T1465">
        <v>81</v>
      </c>
      <c r="U1465">
        <v>641</v>
      </c>
      <c r="V1465">
        <v>1</v>
      </c>
      <c r="W1465">
        <v>4</v>
      </c>
      <c r="X1465">
        <v>4</v>
      </c>
      <c r="Y1465">
        <v>7</v>
      </c>
      <c r="Z1465">
        <v>15</v>
      </c>
      <c r="AA1465">
        <v>1</v>
      </c>
      <c r="AB1465" t="str">
        <f t="shared" si="68"/>
        <v>Above average customer</v>
      </c>
    </row>
    <row r="1466" spans="1:28" x14ac:dyDescent="0.35">
      <c r="A1466">
        <v>8091</v>
      </c>
      <c r="B1466">
        <v>1956</v>
      </c>
      <c r="C1466" t="s">
        <v>25</v>
      </c>
      <c r="D1466" t="s">
        <v>26</v>
      </c>
      <c r="E1466" t="s">
        <v>33</v>
      </c>
      <c r="F1466">
        <v>63943</v>
      </c>
      <c r="G1466" t="str">
        <f t="shared" si="66"/>
        <v>Mid-high</v>
      </c>
      <c r="H1466">
        <v>0</v>
      </c>
      <c r="I1466">
        <v>1</v>
      </c>
      <c r="J1466">
        <v>1</v>
      </c>
      <c r="K1466" s="1">
        <v>41154</v>
      </c>
      <c r="L1466">
        <v>50</v>
      </c>
      <c r="M1466" t="str">
        <f t="shared" si="67"/>
        <v>Inactive</v>
      </c>
      <c r="N1466">
        <v>0</v>
      </c>
      <c r="O1466">
        <v>423</v>
      </c>
      <c r="P1466">
        <v>184</v>
      </c>
      <c r="Q1466">
        <v>368</v>
      </c>
      <c r="R1466">
        <v>13</v>
      </c>
      <c r="S1466">
        <v>97</v>
      </c>
      <c r="T1466">
        <v>21</v>
      </c>
      <c r="U1466">
        <v>1106</v>
      </c>
      <c r="V1466">
        <v>1</v>
      </c>
      <c r="W1466">
        <v>6</v>
      </c>
      <c r="X1466">
        <v>4</v>
      </c>
      <c r="Y1466">
        <v>6</v>
      </c>
      <c r="Z1466">
        <v>16</v>
      </c>
      <c r="AA1466">
        <v>5</v>
      </c>
      <c r="AB1466" t="str">
        <f t="shared" si="68"/>
        <v>Below average customer</v>
      </c>
    </row>
    <row r="1467" spans="1:28" x14ac:dyDescent="0.35">
      <c r="A1467">
        <v>7791</v>
      </c>
      <c r="B1467">
        <v>1967</v>
      </c>
      <c r="C1467" t="s">
        <v>28</v>
      </c>
      <c r="D1467" t="s">
        <v>34</v>
      </c>
      <c r="E1467" t="s">
        <v>33</v>
      </c>
      <c r="F1467">
        <v>37054</v>
      </c>
      <c r="G1467" t="str">
        <f t="shared" si="66"/>
        <v>Mid-low</v>
      </c>
      <c r="H1467">
        <v>1</v>
      </c>
      <c r="I1467">
        <v>1</v>
      </c>
      <c r="J1467">
        <v>2</v>
      </c>
      <c r="K1467" s="1">
        <v>41532</v>
      </c>
      <c r="L1467">
        <v>89</v>
      </c>
      <c r="M1467" t="str">
        <f t="shared" si="67"/>
        <v>Inactive</v>
      </c>
      <c r="N1467">
        <v>0</v>
      </c>
      <c r="O1467">
        <v>12</v>
      </c>
      <c r="P1467">
        <v>1</v>
      </c>
      <c r="Q1467">
        <v>6</v>
      </c>
      <c r="R1467">
        <v>0</v>
      </c>
      <c r="S1467">
        <v>1</v>
      </c>
      <c r="T1467">
        <v>5</v>
      </c>
      <c r="U1467">
        <v>25</v>
      </c>
      <c r="V1467">
        <v>2</v>
      </c>
      <c r="W1467">
        <v>1</v>
      </c>
      <c r="X1467">
        <v>0</v>
      </c>
      <c r="Y1467">
        <v>3</v>
      </c>
      <c r="Z1467">
        <v>4</v>
      </c>
      <c r="AA1467">
        <v>7</v>
      </c>
      <c r="AB1467" t="str">
        <f t="shared" si="68"/>
        <v>Below average customer</v>
      </c>
    </row>
    <row r="1468" spans="1:28" x14ac:dyDescent="0.35">
      <c r="A1468">
        <v>955</v>
      </c>
      <c r="B1468">
        <v>1962</v>
      </c>
      <c r="C1468" t="s">
        <v>25</v>
      </c>
      <c r="D1468" t="s">
        <v>34</v>
      </c>
      <c r="E1468" t="s">
        <v>29</v>
      </c>
      <c r="F1468">
        <v>47175</v>
      </c>
      <c r="G1468" t="str">
        <f t="shared" si="66"/>
        <v>Mid-low</v>
      </c>
      <c r="H1468">
        <v>1</v>
      </c>
      <c r="I1468">
        <v>1</v>
      </c>
      <c r="J1468">
        <v>2</v>
      </c>
      <c r="K1468" s="1">
        <v>41210</v>
      </c>
      <c r="L1468">
        <v>81</v>
      </c>
      <c r="M1468" t="str">
        <f t="shared" si="67"/>
        <v>Inactive</v>
      </c>
      <c r="N1468">
        <v>0</v>
      </c>
      <c r="O1468">
        <v>167</v>
      </c>
      <c r="P1468">
        <v>2</v>
      </c>
      <c r="Q1468">
        <v>44</v>
      </c>
      <c r="R1468">
        <v>6</v>
      </c>
      <c r="S1468">
        <v>2</v>
      </c>
      <c r="T1468">
        <v>19</v>
      </c>
      <c r="U1468">
        <v>240</v>
      </c>
      <c r="V1468">
        <v>7</v>
      </c>
      <c r="W1468">
        <v>4</v>
      </c>
      <c r="X1468">
        <v>2</v>
      </c>
      <c r="Y1468">
        <v>4</v>
      </c>
      <c r="Z1468">
        <v>10</v>
      </c>
      <c r="AA1468">
        <v>8</v>
      </c>
      <c r="AB1468" t="str">
        <f t="shared" si="68"/>
        <v>Below average customer</v>
      </c>
    </row>
    <row r="1469" spans="1:28" x14ac:dyDescent="0.35">
      <c r="A1469">
        <v>4037</v>
      </c>
      <c r="B1469">
        <v>1976</v>
      </c>
      <c r="C1469" t="s">
        <v>31</v>
      </c>
      <c r="D1469" t="s">
        <v>26</v>
      </c>
      <c r="E1469" t="s">
        <v>35</v>
      </c>
      <c r="F1469">
        <v>31859</v>
      </c>
      <c r="G1469" t="str">
        <f t="shared" si="66"/>
        <v>Low</v>
      </c>
      <c r="H1469">
        <v>1</v>
      </c>
      <c r="I1469">
        <v>0</v>
      </c>
      <c r="J1469">
        <v>1</v>
      </c>
      <c r="K1469" s="1">
        <v>41439</v>
      </c>
      <c r="L1469">
        <v>77</v>
      </c>
      <c r="M1469" t="str">
        <f t="shared" si="67"/>
        <v>Inactive</v>
      </c>
      <c r="N1469">
        <v>0</v>
      </c>
      <c r="O1469">
        <v>3</v>
      </c>
      <c r="P1469">
        <v>1</v>
      </c>
      <c r="Q1469">
        <v>3</v>
      </c>
      <c r="R1469">
        <v>8</v>
      </c>
      <c r="S1469">
        <v>0</v>
      </c>
      <c r="T1469">
        <v>5</v>
      </c>
      <c r="U1469">
        <v>20</v>
      </c>
      <c r="V1469">
        <v>1</v>
      </c>
      <c r="W1469">
        <v>1</v>
      </c>
      <c r="X1469">
        <v>0</v>
      </c>
      <c r="Y1469">
        <v>2</v>
      </c>
      <c r="Z1469">
        <v>3</v>
      </c>
      <c r="AA1469">
        <v>7</v>
      </c>
      <c r="AB1469" t="str">
        <f t="shared" si="68"/>
        <v>Below average customer</v>
      </c>
    </row>
    <row r="1470" spans="1:28" x14ac:dyDescent="0.35">
      <c r="A1470">
        <v>6642</v>
      </c>
      <c r="B1470">
        <v>1961</v>
      </c>
      <c r="C1470" t="s">
        <v>25</v>
      </c>
      <c r="D1470" t="s">
        <v>26</v>
      </c>
      <c r="E1470" t="s">
        <v>35</v>
      </c>
      <c r="F1470">
        <v>27215</v>
      </c>
      <c r="G1470" t="str">
        <f t="shared" si="66"/>
        <v>Low</v>
      </c>
      <c r="H1470">
        <v>2</v>
      </c>
      <c r="I1470">
        <v>1</v>
      </c>
      <c r="J1470">
        <v>3</v>
      </c>
      <c r="K1470" s="1">
        <v>41297</v>
      </c>
      <c r="L1470">
        <v>50</v>
      </c>
      <c r="M1470" t="str">
        <f t="shared" si="67"/>
        <v>Inactive</v>
      </c>
      <c r="N1470">
        <v>0</v>
      </c>
      <c r="O1470">
        <v>30</v>
      </c>
      <c r="P1470">
        <v>5</v>
      </c>
      <c r="Q1470">
        <v>22</v>
      </c>
      <c r="R1470">
        <v>8</v>
      </c>
      <c r="S1470">
        <v>9</v>
      </c>
      <c r="T1470">
        <v>28</v>
      </c>
      <c r="U1470">
        <v>102</v>
      </c>
      <c r="V1470">
        <v>4</v>
      </c>
      <c r="W1470">
        <v>2</v>
      </c>
      <c r="X1470">
        <v>1</v>
      </c>
      <c r="Y1470">
        <v>4</v>
      </c>
      <c r="Z1470">
        <v>7</v>
      </c>
      <c r="AA1470">
        <v>6</v>
      </c>
      <c r="AB1470" t="str">
        <f t="shared" si="68"/>
        <v>Below average customer</v>
      </c>
    </row>
    <row r="1471" spans="1:28" x14ac:dyDescent="0.35">
      <c r="A1471">
        <v>2793</v>
      </c>
      <c r="B1471">
        <v>1976</v>
      </c>
      <c r="C1471" t="s">
        <v>31</v>
      </c>
      <c r="D1471" t="s">
        <v>32</v>
      </c>
      <c r="E1471" t="s">
        <v>35</v>
      </c>
      <c r="F1471">
        <v>70179</v>
      </c>
      <c r="G1471" t="str">
        <f t="shared" si="66"/>
        <v>High</v>
      </c>
      <c r="H1471">
        <v>0</v>
      </c>
      <c r="I1471">
        <v>1</v>
      </c>
      <c r="J1471">
        <v>1</v>
      </c>
      <c r="K1471" s="1">
        <v>41476</v>
      </c>
      <c r="L1471">
        <v>10</v>
      </c>
      <c r="M1471" t="str">
        <f t="shared" si="67"/>
        <v>Active</v>
      </c>
      <c r="N1471">
        <v>0</v>
      </c>
      <c r="O1471">
        <v>532</v>
      </c>
      <c r="P1471">
        <v>88</v>
      </c>
      <c r="Q1471">
        <v>168</v>
      </c>
      <c r="R1471">
        <v>69</v>
      </c>
      <c r="S1471">
        <v>44</v>
      </c>
      <c r="T1471">
        <v>133</v>
      </c>
      <c r="U1471">
        <v>1034</v>
      </c>
      <c r="V1471">
        <v>3</v>
      </c>
      <c r="W1471">
        <v>7</v>
      </c>
      <c r="X1471">
        <v>3</v>
      </c>
      <c r="Y1471">
        <v>13</v>
      </c>
      <c r="Z1471">
        <v>23</v>
      </c>
      <c r="AA1471">
        <v>5</v>
      </c>
      <c r="AB1471" t="str">
        <f t="shared" si="68"/>
        <v>Above average customer</v>
      </c>
    </row>
    <row r="1472" spans="1:28" x14ac:dyDescent="0.35">
      <c r="A1472">
        <v>9530</v>
      </c>
      <c r="B1472">
        <v>1988</v>
      </c>
      <c r="C1472" t="s">
        <v>30</v>
      </c>
      <c r="D1472" t="s">
        <v>26</v>
      </c>
      <c r="E1472" t="s">
        <v>33</v>
      </c>
      <c r="F1472">
        <v>24645</v>
      </c>
      <c r="G1472" t="str">
        <f t="shared" si="66"/>
        <v>Low</v>
      </c>
      <c r="H1472">
        <v>1</v>
      </c>
      <c r="I1472">
        <v>0</v>
      </c>
      <c r="J1472">
        <v>1</v>
      </c>
      <c r="K1472" s="1">
        <v>41214</v>
      </c>
      <c r="L1472">
        <v>16</v>
      </c>
      <c r="M1472" t="str">
        <f t="shared" si="67"/>
        <v>Active</v>
      </c>
      <c r="N1472">
        <v>0</v>
      </c>
      <c r="O1472">
        <v>5</v>
      </c>
      <c r="P1472">
        <v>3</v>
      </c>
      <c r="Q1472">
        <v>4</v>
      </c>
      <c r="R1472">
        <v>4</v>
      </c>
      <c r="S1472">
        <v>1</v>
      </c>
      <c r="T1472">
        <v>0</v>
      </c>
      <c r="U1472">
        <v>17</v>
      </c>
      <c r="V1472">
        <v>1</v>
      </c>
      <c r="W1472">
        <v>1</v>
      </c>
      <c r="X1472">
        <v>0</v>
      </c>
      <c r="Y1472">
        <v>2</v>
      </c>
      <c r="Z1472">
        <v>3</v>
      </c>
      <c r="AA1472">
        <v>8</v>
      </c>
      <c r="AB1472" t="str">
        <f t="shared" si="68"/>
        <v>Below average customer</v>
      </c>
    </row>
    <row r="1473" spans="1:28" x14ac:dyDescent="0.35">
      <c r="A1473">
        <v>4828</v>
      </c>
      <c r="B1473">
        <v>1954</v>
      </c>
      <c r="C1473" t="s">
        <v>25</v>
      </c>
      <c r="D1473" t="s">
        <v>26</v>
      </c>
      <c r="E1473" t="s">
        <v>35</v>
      </c>
      <c r="F1473">
        <v>79865</v>
      </c>
      <c r="G1473" t="str">
        <f t="shared" si="66"/>
        <v>High</v>
      </c>
      <c r="H1473">
        <v>0</v>
      </c>
      <c r="I1473">
        <v>1</v>
      </c>
      <c r="J1473">
        <v>1</v>
      </c>
      <c r="K1473" s="1">
        <v>41808</v>
      </c>
      <c r="L1473">
        <v>12</v>
      </c>
      <c r="M1473" t="str">
        <f t="shared" si="67"/>
        <v>Active</v>
      </c>
      <c r="N1473">
        <v>0</v>
      </c>
      <c r="O1473">
        <v>71</v>
      </c>
      <c r="P1473">
        <v>99</v>
      </c>
      <c r="Q1473">
        <v>278</v>
      </c>
      <c r="R1473">
        <v>185</v>
      </c>
      <c r="S1473">
        <v>121</v>
      </c>
      <c r="T1473">
        <v>38</v>
      </c>
      <c r="U1473">
        <v>792</v>
      </c>
      <c r="V1473">
        <v>1</v>
      </c>
      <c r="W1473">
        <v>5</v>
      </c>
      <c r="X1473">
        <v>10</v>
      </c>
      <c r="Y1473">
        <v>5</v>
      </c>
      <c r="Z1473">
        <v>20</v>
      </c>
      <c r="AA1473">
        <v>1</v>
      </c>
      <c r="AB1473" t="str">
        <f t="shared" si="68"/>
        <v>Above average customer</v>
      </c>
    </row>
    <row r="1474" spans="1:28" x14ac:dyDescent="0.35">
      <c r="A1474">
        <v>10699</v>
      </c>
      <c r="B1474">
        <v>1985</v>
      </c>
      <c r="C1474" t="s">
        <v>30</v>
      </c>
      <c r="D1474" t="s">
        <v>26</v>
      </c>
      <c r="E1474" t="s">
        <v>33</v>
      </c>
      <c r="F1474">
        <v>44322</v>
      </c>
      <c r="G1474" t="str">
        <f t="shared" ref="G1474:G1537" si="69">IF(F1474&lt;=_xlfn.PERCENTILE.INC($F$2:$F$2056,0.25),"Low",IF(F1474&lt;=_xlfn.PERCENTILE.INC($F$2:$F$2056,0.5),"Mid-low",IF(F1474&lt;=_xlfn.PERCENTILE.INC($F$2:$F$2056,0.75),"Mid-high","High")))</f>
        <v>Mid-low</v>
      </c>
      <c r="H1474">
        <v>1</v>
      </c>
      <c r="I1474">
        <v>0</v>
      </c>
      <c r="J1474">
        <v>1</v>
      </c>
      <c r="K1474" s="1">
        <v>41806</v>
      </c>
      <c r="L1474">
        <v>30</v>
      </c>
      <c r="M1474" t="str">
        <f t="shared" ref="M1474:M1537" si="70">IF(L1474&gt;AVERAGE($L$2:$L$2056),"Inactive","Active")</f>
        <v>Active</v>
      </c>
      <c r="N1474">
        <v>0</v>
      </c>
      <c r="O1474">
        <v>46</v>
      </c>
      <c r="P1474">
        <v>0</v>
      </c>
      <c r="Q1474">
        <v>40</v>
      </c>
      <c r="R1474">
        <v>3</v>
      </c>
      <c r="S1474">
        <v>0</v>
      </c>
      <c r="T1474">
        <v>3</v>
      </c>
      <c r="U1474">
        <v>92</v>
      </c>
      <c r="V1474">
        <v>2</v>
      </c>
      <c r="W1474">
        <v>3</v>
      </c>
      <c r="X1474">
        <v>0</v>
      </c>
      <c r="Y1474">
        <v>3</v>
      </c>
      <c r="Z1474">
        <v>6</v>
      </c>
      <c r="AA1474">
        <v>8</v>
      </c>
      <c r="AB1474" t="str">
        <f t="shared" ref="AB1474:AB1537" si="71">IF(AND(Z1474&gt;AVERAGE($Z$2:$Z$2056),U1474&gt;AVERAGE($U$2:$U$2056),N1474=0,L1474&lt;AVERAGE($L$2:$L$2056),F1474&gt;AVERAGE($F$2:$F$2240)),"Above average customer","Below average customer")</f>
        <v>Below average customer</v>
      </c>
    </row>
    <row r="1475" spans="1:28" x14ac:dyDescent="0.35">
      <c r="A1475">
        <v>1497</v>
      </c>
      <c r="B1475">
        <v>1952</v>
      </c>
      <c r="C1475" t="s">
        <v>36</v>
      </c>
      <c r="D1475" t="s">
        <v>26</v>
      </c>
      <c r="E1475" t="s">
        <v>27</v>
      </c>
      <c r="F1475">
        <v>47958</v>
      </c>
      <c r="G1475" t="str">
        <f t="shared" si="69"/>
        <v>Mid-low</v>
      </c>
      <c r="H1475">
        <v>0</v>
      </c>
      <c r="I1475">
        <v>1</v>
      </c>
      <c r="J1475">
        <v>1</v>
      </c>
      <c r="K1475" s="1">
        <v>41293</v>
      </c>
      <c r="L1475">
        <v>8</v>
      </c>
      <c r="M1475" t="str">
        <f t="shared" si="70"/>
        <v>Active</v>
      </c>
      <c r="N1475">
        <v>0</v>
      </c>
      <c r="O1475">
        <v>268</v>
      </c>
      <c r="P1475">
        <v>11</v>
      </c>
      <c r="Q1475">
        <v>88</v>
      </c>
      <c r="R1475">
        <v>15</v>
      </c>
      <c r="S1475">
        <v>3</v>
      </c>
      <c r="T1475">
        <v>22</v>
      </c>
      <c r="U1475">
        <v>407</v>
      </c>
      <c r="V1475">
        <v>2</v>
      </c>
      <c r="W1475">
        <v>6</v>
      </c>
      <c r="X1475">
        <v>3</v>
      </c>
      <c r="Y1475">
        <v>5</v>
      </c>
      <c r="Z1475">
        <v>14</v>
      </c>
      <c r="AA1475">
        <v>5</v>
      </c>
      <c r="AB1475" t="str">
        <f t="shared" si="71"/>
        <v>Below average customer</v>
      </c>
    </row>
    <row r="1476" spans="1:28" x14ac:dyDescent="0.35">
      <c r="A1476">
        <v>7476</v>
      </c>
      <c r="B1476">
        <v>1964</v>
      </c>
      <c r="C1476" t="s">
        <v>28</v>
      </c>
      <c r="D1476" t="s">
        <v>34</v>
      </c>
      <c r="E1476" t="s">
        <v>27</v>
      </c>
      <c r="F1476">
        <v>63972</v>
      </c>
      <c r="G1476" t="str">
        <f t="shared" si="69"/>
        <v>Mid-high</v>
      </c>
      <c r="H1476">
        <v>0</v>
      </c>
      <c r="I1476">
        <v>1</v>
      </c>
      <c r="J1476">
        <v>1</v>
      </c>
      <c r="K1476" s="1">
        <v>41245</v>
      </c>
      <c r="L1476">
        <v>93</v>
      </c>
      <c r="M1476" t="str">
        <f t="shared" si="70"/>
        <v>Inactive</v>
      </c>
      <c r="N1476">
        <v>0</v>
      </c>
      <c r="O1476">
        <v>928</v>
      </c>
      <c r="P1476">
        <v>63</v>
      </c>
      <c r="Q1476">
        <v>254</v>
      </c>
      <c r="R1476">
        <v>0</v>
      </c>
      <c r="S1476">
        <v>12</v>
      </c>
      <c r="T1476">
        <v>12</v>
      </c>
      <c r="U1476">
        <v>1269</v>
      </c>
      <c r="V1476">
        <v>4</v>
      </c>
      <c r="W1476">
        <v>5</v>
      </c>
      <c r="X1476">
        <v>4</v>
      </c>
      <c r="Y1476">
        <v>10</v>
      </c>
      <c r="Z1476">
        <v>19</v>
      </c>
      <c r="AA1476">
        <v>4</v>
      </c>
      <c r="AB1476" t="str">
        <f t="shared" si="71"/>
        <v>Below average customer</v>
      </c>
    </row>
    <row r="1477" spans="1:28" x14ac:dyDescent="0.35">
      <c r="A1477">
        <v>4390</v>
      </c>
      <c r="B1477">
        <v>1954</v>
      </c>
      <c r="C1477" t="s">
        <v>25</v>
      </c>
      <c r="D1477" t="s">
        <v>26</v>
      </c>
      <c r="E1477" t="s">
        <v>29</v>
      </c>
      <c r="F1477">
        <v>75315</v>
      </c>
      <c r="G1477" t="str">
        <f t="shared" si="69"/>
        <v>High</v>
      </c>
      <c r="H1477">
        <v>0</v>
      </c>
      <c r="I1477">
        <v>1</v>
      </c>
      <c r="J1477">
        <v>1</v>
      </c>
      <c r="K1477" s="1">
        <v>41744</v>
      </c>
      <c r="L1477">
        <v>14</v>
      </c>
      <c r="M1477" t="str">
        <f t="shared" si="70"/>
        <v>Active</v>
      </c>
      <c r="N1477">
        <v>0</v>
      </c>
      <c r="O1477">
        <v>459</v>
      </c>
      <c r="P1477">
        <v>15</v>
      </c>
      <c r="Q1477">
        <v>171</v>
      </c>
      <c r="R1477">
        <v>142</v>
      </c>
      <c r="S1477">
        <v>23</v>
      </c>
      <c r="T1477">
        <v>31</v>
      </c>
      <c r="U1477">
        <v>841</v>
      </c>
      <c r="V1477">
        <v>2</v>
      </c>
      <c r="W1477">
        <v>5</v>
      </c>
      <c r="X1477">
        <v>4</v>
      </c>
      <c r="Y1477">
        <v>12</v>
      </c>
      <c r="Z1477">
        <v>21</v>
      </c>
      <c r="AA1477">
        <v>2</v>
      </c>
      <c r="AB1477" t="str">
        <f t="shared" si="71"/>
        <v>Above average customer</v>
      </c>
    </row>
    <row r="1478" spans="1:28" x14ac:dyDescent="0.35">
      <c r="A1478">
        <v>10478</v>
      </c>
      <c r="B1478">
        <v>1950</v>
      </c>
      <c r="C1478" t="s">
        <v>36</v>
      </c>
      <c r="D1478" t="s">
        <v>32</v>
      </c>
      <c r="E1478" t="s">
        <v>33</v>
      </c>
      <c r="F1478">
        <v>55517</v>
      </c>
      <c r="G1478" t="str">
        <f t="shared" si="69"/>
        <v>Mid-high</v>
      </c>
      <c r="H1478">
        <v>1</v>
      </c>
      <c r="I1478">
        <v>1</v>
      </c>
      <c r="J1478">
        <v>2</v>
      </c>
      <c r="K1478" s="1">
        <v>41179</v>
      </c>
      <c r="L1478">
        <v>53</v>
      </c>
      <c r="M1478" t="str">
        <f t="shared" si="70"/>
        <v>Inactive</v>
      </c>
      <c r="N1478">
        <v>0</v>
      </c>
      <c r="O1478">
        <v>483</v>
      </c>
      <c r="P1478">
        <v>0</v>
      </c>
      <c r="Q1478">
        <v>108</v>
      </c>
      <c r="R1478">
        <v>0</v>
      </c>
      <c r="S1478">
        <v>6</v>
      </c>
      <c r="T1478">
        <v>36</v>
      </c>
      <c r="U1478">
        <v>633</v>
      </c>
      <c r="V1478">
        <v>5</v>
      </c>
      <c r="W1478">
        <v>11</v>
      </c>
      <c r="X1478">
        <v>1</v>
      </c>
      <c r="Y1478">
        <v>6</v>
      </c>
      <c r="Z1478">
        <v>18</v>
      </c>
      <c r="AA1478">
        <v>9</v>
      </c>
      <c r="AB1478" t="str">
        <f t="shared" si="71"/>
        <v>Below average customer</v>
      </c>
    </row>
    <row r="1479" spans="1:28" x14ac:dyDescent="0.35">
      <c r="A1479">
        <v>1081</v>
      </c>
      <c r="B1479">
        <v>1957</v>
      </c>
      <c r="C1479" t="s">
        <v>25</v>
      </c>
      <c r="D1479" t="s">
        <v>32</v>
      </c>
      <c r="E1479" t="s">
        <v>33</v>
      </c>
      <c r="F1479">
        <v>75283</v>
      </c>
      <c r="G1479" t="str">
        <f t="shared" si="69"/>
        <v>High</v>
      </c>
      <c r="H1479">
        <v>1</v>
      </c>
      <c r="I1479">
        <v>2</v>
      </c>
      <c r="J1479">
        <v>3</v>
      </c>
      <c r="K1479" s="1">
        <v>41360</v>
      </c>
      <c r="L1479">
        <v>26</v>
      </c>
      <c r="M1479" t="str">
        <f t="shared" si="70"/>
        <v>Active</v>
      </c>
      <c r="N1479">
        <v>0</v>
      </c>
      <c r="O1479">
        <v>733</v>
      </c>
      <c r="P1479">
        <v>9</v>
      </c>
      <c r="Q1479">
        <v>180</v>
      </c>
      <c r="R1479">
        <v>12</v>
      </c>
      <c r="S1479">
        <v>19</v>
      </c>
      <c r="T1479">
        <v>66</v>
      </c>
      <c r="U1479">
        <v>1019</v>
      </c>
      <c r="V1479">
        <v>11</v>
      </c>
      <c r="W1479">
        <v>6</v>
      </c>
      <c r="X1479">
        <v>3</v>
      </c>
      <c r="Y1479">
        <v>5</v>
      </c>
      <c r="Z1479">
        <v>14</v>
      </c>
      <c r="AA1479">
        <v>4</v>
      </c>
      <c r="AB1479" t="str">
        <f t="shared" si="71"/>
        <v>Above average customer</v>
      </c>
    </row>
    <row r="1480" spans="1:28" x14ac:dyDescent="0.35">
      <c r="A1480">
        <v>5350</v>
      </c>
      <c r="B1480">
        <v>1991</v>
      </c>
      <c r="C1480" t="s">
        <v>30</v>
      </c>
      <c r="D1480" t="s">
        <v>34</v>
      </c>
      <c r="E1480" t="s">
        <v>27</v>
      </c>
      <c r="F1480">
        <v>90638</v>
      </c>
      <c r="G1480" t="str">
        <f t="shared" si="69"/>
        <v>High</v>
      </c>
      <c r="H1480">
        <v>0</v>
      </c>
      <c r="I1480">
        <v>0</v>
      </c>
      <c r="J1480">
        <v>0</v>
      </c>
      <c r="K1480" s="1">
        <v>41683</v>
      </c>
      <c r="L1480">
        <v>29</v>
      </c>
      <c r="M1480" t="str">
        <f t="shared" si="70"/>
        <v>Active</v>
      </c>
      <c r="N1480">
        <v>0</v>
      </c>
      <c r="O1480">
        <v>1156</v>
      </c>
      <c r="P1480">
        <v>120</v>
      </c>
      <c r="Q1480">
        <v>915</v>
      </c>
      <c r="R1480">
        <v>94</v>
      </c>
      <c r="S1480">
        <v>144</v>
      </c>
      <c r="T1480">
        <v>96</v>
      </c>
      <c r="U1480">
        <v>2525</v>
      </c>
      <c r="V1480">
        <v>1</v>
      </c>
      <c r="W1480">
        <v>3</v>
      </c>
      <c r="X1480">
        <v>4</v>
      </c>
      <c r="Y1480">
        <v>10</v>
      </c>
      <c r="Z1480">
        <v>17</v>
      </c>
      <c r="AA1480">
        <v>1</v>
      </c>
      <c r="AB1480" t="str">
        <f t="shared" si="71"/>
        <v>Above average customer</v>
      </c>
    </row>
    <row r="1481" spans="1:28" x14ac:dyDescent="0.35">
      <c r="A1481">
        <v>8135</v>
      </c>
      <c r="B1481">
        <v>1986</v>
      </c>
      <c r="C1481" t="s">
        <v>30</v>
      </c>
      <c r="D1481" t="s">
        <v>34</v>
      </c>
      <c r="E1481" t="s">
        <v>33</v>
      </c>
      <c r="F1481">
        <v>27161</v>
      </c>
      <c r="G1481" t="str">
        <f t="shared" si="69"/>
        <v>Low</v>
      </c>
      <c r="H1481">
        <v>1</v>
      </c>
      <c r="I1481">
        <v>0</v>
      </c>
      <c r="J1481">
        <v>1</v>
      </c>
      <c r="K1481" s="1">
        <v>41575</v>
      </c>
      <c r="L1481">
        <v>41</v>
      </c>
      <c r="M1481" t="str">
        <f t="shared" si="70"/>
        <v>Active</v>
      </c>
      <c r="N1481">
        <v>0</v>
      </c>
      <c r="O1481">
        <v>7</v>
      </c>
      <c r="P1481">
        <v>4</v>
      </c>
      <c r="Q1481">
        <v>23</v>
      </c>
      <c r="R1481">
        <v>7</v>
      </c>
      <c r="S1481">
        <v>0</v>
      </c>
      <c r="T1481">
        <v>11</v>
      </c>
      <c r="U1481">
        <v>52</v>
      </c>
      <c r="V1481">
        <v>1</v>
      </c>
      <c r="W1481">
        <v>1</v>
      </c>
      <c r="X1481">
        <v>0</v>
      </c>
      <c r="Y1481">
        <v>3</v>
      </c>
      <c r="Z1481">
        <v>4</v>
      </c>
      <c r="AA1481">
        <v>7</v>
      </c>
      <c r="AB1481" t="str">
        <f t="shared" si="71"/>
        <v>Below average customer</v>
      </c>
    </row>
    <row r="1482" spans="1:28" x14ac:dyDescent="0.35">
      <c r="A1482">
        <v>4967</v>
      </c>
      <c r="B1482">
        <v>1960</v>
      </c>
      <c r="C1482" t="s">
        <v>25</v>
      </c>
      <c r="D1482" t="s">
        <v>32</v>
      </c>
      <c r="E1482" t="s">
        <v>29</v>
      </c>
      <c r="F1482">
        <v>38201</v>
      </c>
      <c r="G1482" t="str">
        <f t="shared" si="69"/>
        <v>Mid-low</v>
      </c>
      <c r="H1482">
        <v>0</v>
      </c>
      <c r="I1482">
        <v>1</v>
      </c>
      <c r="J1482">
        <v>1</v>
      </c>
      <c r="K1482" s="1">
        <v>41362</v>
      </c>
      <c r="L1482">
        <v>19</v>
      </c>
      <c r="M1482" t="str">
        <f t="shared" si="70"/>
        <v>Active</v>
      </c>
      <c r="N1482">
        <v>0</v>
      </c>
      <c r="O1482">
        <v>233</v>
      </c>
      <c r="P1482">
        <v>0</v>
      </c>
      <c r="Q1482">
        <v>23</v>
      </c>
      <c r="R1482">
        <v>0</v>
      </c>
      <c r="S1482">
        <v>0</v>
      </c>
      <c r="T1482">
        <v>12</v>
      </c>
      <c r="U1482">
        <v>268</v>
      </c>
      <c r="V1482">
        <v>4</v>
      </c>
      <c r="W1482">
        <v>5</v>
      </c>
      <c r="X1482">
        <v>1</v>
      </c>
      <c r="Y1482">
        <v>5</v>
      </c>
      <c r="Z1482">
        <v>11</v>
      </c>
      <c r="AA1482">
        <v>8</v>
      </c>
      <c r="AB1482" t="str">
        <f t="shared" si="71"/>
        <v>Below average customer</v>
      </c>
    </row>
    <row r="1483" spans="1:28" x14ac:dyDescent="0.35">
      <c r="A1483">
        <v>2130</v>
      </c>
      <c r="B1483">
        <v>1982</v>
      </c>
      <c r="C1483" t="s">
        <v>31</v>
      </c>
      <c r="D1483" t="s">
        <v>26</v>
      </c>
      <c r="E1483" t="s">
        <v>29</v>
      </c>
      <c r="F1483">
        <v>45203</v>
      </c>
      <c r="G1483" t="str">
        <f t="shared" si="69"/>
        <v>Mid-low</v>
      </c>
      <c r="H1483">
        <v>2</v>
      </c>
      <c r="I1483">
        <v>0</v>
      </c>
      <c r="J1483">
        <v>2</v>
      </c>
      <c r="K1483" s="1">
        <v>41721</v>
      </c>
      <c r="L1483">
        <v>4</v>
      </c>
      <c r="M1483" t="str">
        <f t="shared" si="70"/>
        <v>Active</v>
      </c>
      <c r="N1483">
        <v>0</v>
      </c>
      <c r="O1483">
        <v>35</v>
      </c>
      <c r="P1483">
        <v>3</v>
      </c>
      <c r="Q1483">
        <v>67</v>
      </c>
      <c r="R1483">
        <v>10</v>
      </c>
      <c r="S1483">
        <v>8</v>
      </c>
      <c r="T1483">
        <v>24</v>
      </c>
      <c r="U1483">
        <v>147</v>
      </c>
      <c r="V1483">
        <v>1</v>
      </c>
      <c r="W1483">
        <v>3</v>
      </c>
      <c r="X1483">
        <v>1</v>
      </c>
      <c r="Y1483">
        <v>3</v>
      </c>
      <c r="Z1483">
        <v>7</v>
      </c>
      <c r="AA1483">
        <v>6</v>
      </c>
      <c r="AB1483" t="str">
        <f t="shared" si="71"/>
        <v>Below average customer</v>
      </c>
    </row>
    <row r="1484" spans="1:28" x14ac:dyDescent="0.35">
      <c r="A1484">
        <v>9298</v>
      </c>
      <c r="B1484">
        <v>1947</v>
      </c>
      <c r="C1484" t="s">
        <v>36</v>
      </c>
      <c r="D1484" t="s">
        <v>32</v>
      </c>
      <c r="E1484" t="s">
        <v>29</v>
      </c>
      <c r="F1484">
        <v>81574</v>
      </c>
      <c r="G1484" t="str">
        <f t="shared" si="69"/>
        <v>High</v>
      </c>
      <c r="H1484">
        <v>0</v>
      </c>
      <c r="I1484">
        <v>0</v>
      </c>
      <c r="J1484">
        <v>0</v>
      </c>
      <c r="K1484" s="1">
        <v>41757</v>
      </c>
      <c r="L1484">
        <v>89</v>
      </c>
      <c r="M1484" t="str">
        <f t="shared" si="70"/>
        <v>Inactive</v>
      </c>
      <c r="N1484">
        <v>0</v>
      </c>
      <c r="O1484">
        <v>1252</v>
      </c>
      <c r="P1484">
        <v>0</v>
      </c>
      <c r="Q1484">
        <v>465</v>
      </c>
      <c r="R1484">
        <v>46</v>
      </c>
      <c r="S1484">
        <v>35</v>
      </c>
      <c r="T1484">
        <v>0</v>
      </c>
      <c r="U1484">
        <v>1798</v>
      </c>
      <c r="V1484">
        <v>1</v>
      </c>
      <c r="W1484">
        <v>4</v>
      </c>
      <c r="X1484">
        <v>5</v>
      </c>
      <c r="Y1484">
        <v>8</v>
      </c>
      <c r="Z1484">
        <v>17</v>
      </c>
      <c r="AA1484">
        <v>1</v>
      </c>
      <c r="AB1484" t="str">
        <f t="shared" si="71"/>
        <v>Below average customer</v>
      </c>
    </row>
    <row r="1485" spans="1:28" x14ac:dyDescent="0.35">
      <c r="A1485">
        <v>6257</v>
      </c>
      <c r="B1485">
        <v>1976</v>
      </c>
      <c r="C1485" t="s">
        <v>31</v>
      </c>
      <c r="D1485" t="s">
        <v>34</v>
      </c>
      <c r="E1485" t="s">
        <v>27</v>
      </c>
      <c r="F1485">
        <v>60482</v>
      </c>
      <c r="G1485" t="str">
        <f t="shared" si="69"/>
        <v>Mid-high</v>
      </c>
      <c r="H1485">
        <v>0</v>
      </c>
      <c r="I1485">
        <v>1</v>
      </c>
      <c r="J1485">
        <v>1</v>
      </c>
      <c r="K1485" s="1">
        <v>41297</v>
      </c>
      <c r="L1485">
        <v>81</v>
      </c>
      <c r="M1485" t="str">
        <f t="shared" si="70"/>
        <v>Inactive</v>
      </c>
      <c r="N1485">
        <v>0</v>
      </c>
      <c r="O1485">
        <v>255</v>
      </c>
      <c r="P1485">
        <v>43</v>
      </c>
      <c r="Q1485">
        <v>134</v>
      </c>
      <c r="R1485">
        <v>37</v>
      </c>
      <c r="S1485">
        <v>14</v>
      </c>
      <c r="T1485">
        <v>24</v>
      </c>
      <c r="U1485">
        <v>507</v>
      </c>
      <c r="V1485">
        <v>1</v>
      </c>
      <c r="W1485">
        <v>7</v>
      </c>
      <c r="X1485">
        <v>2</v>
      </c>
      <c r="Y1485">
        <v>7</v>
      </c>
      <c r="Z1485">
        <v>16</v>
      </c>
      <c r="AA1485">
        <v>7</v>
      </c>
      <c r="AB1485" t="str">
        <f t="shared" si="71"/>
        <v>Below average customer</v>
      </c>
    </row>
    <row r="1486" spans="1:28" x14ac:dyDescent="0.35">
      <c r="A1486">
        <v>3790</v>
      </c>
      <c r="B1486">
        <v>1956</v>
      </c>
      <c r="C1486" t="s">
        <v>25</v>
      </c>
      <c r="D1486" t="s">
        <v>26</v>
      </c>
      <c r="E1486" t="s">
        <v>29</v>
      </c>
      <c r="F1486">
        <v>34633</v>
      </c>
      <c r="G1486" t="str">
        <f t="shared" si="69"/>
        <v>Low</v>
      </c>
      <c r="H1486">
        <v>2</v>
      </c>
      <c r="I1486">
        <v>1</v>
      </c>
      <c r="J1486">
        <v>3</v>
      </c>
      <c r="K1486" s="1">
        <v>41662</v>
      </c>
      <c r="L1486">
        <v>31</v>
      </c>
      <c r="M1486" t="str">
        <f t="shared" si="70"/>
        <v>Active</v>
      </c>
      <c r="N1486">
        <v>0</v>
      </c>
      <c r="O1486">
        <v>8</v>
      </c>
      <c r="P1486">
        <v>1</v>
      </c>
      <c r="Q1486">
        <v>5</v>
      </c>
      <c r="R1486">
        <v>0</v>
      </c>
      <c r="S1486">
        <v>0</v>
      </c>
      <c r="T1486">
        <v>1</v>
      </c>
      <c r="U1486">
        <v>15</v>
      </c>
      <c r="V1486">
        <v>1</v>
      </c>
      <c r="W1486">
        <v>1</v>
      </c>
      <c r="X1486">
        <v>0</v>
      </c>
      <c r="Y1486">
        <v>2</v>
      </c>
      <c r="Z1486">
        <v>3</v>
      </c>
      <c r="AA1486">
        <v>6</v>
      </c>
      <c r="AB1486" t="str">
        <f t="shared" si="71"/>
        <v>Below average customer</v>
      </c>
    </row>
    <row r="1487" spans="1:28" x14ac:dyDescent="0.35">
      <c r="A1487">
        <v>9952</v>
      </c>
      <c r="B1487">
        <v>1947</v>
      </c>
      <c r="C1487" t="s">
        <v>36</v>
      </c>
      <c r="D1487" t="s">
        <v>34</v>
      </c>
      <c r="E1487" t="s">
        <v>29</v>
      </c>
      <c r="F1487">
        <v>78093</v>
      </c>
      <c r="G1487" t="str">
        <f t="shared" si="69"/>
        <v>High</v>
      </c>
      <c r="H1487">
        <v>0</v>
      </c>
      <c r="I1487">
        <v>0</v>
      </c>
      <c r="J1487">
        <v>0</v>
      </c>
      <c r="K1487" s="1">
        <v>41619</v>
      </c>
      <c r="L1487">
        <v>53</v>
      </c>
      <c r="M1487" t="str">
        <f t="shared" si="70"/>
        <v>Inactive</v>
      </c>
      <c r="N1487">
        <v>0</v>
      </c>
      <c r="O1487">
        <v>368</v>
      </c>
      <c r="P1487">
        <v>32</v>
      </c>
      <c r="Q1487">
        <v>639</v>
      </c>
      <c r="R1487">
        <v>13</v>
      </c>
      <c r="S1487">
        <v>43</v>
      </c>
      <c r="T1487">
        <v>10</v>
      </c>
      <c r="U1487">
        <v>1105</v>
      </c>
      <c r="V1487">
        <v>1</v>
      </c>
      <c r="W1487">
        <v>4</v>
      </c>
      <c r="X1487">
        <v>7</v>
      </c>
      <c r="Y1487">
        <v>5</v>
      </c>
      <c r="Z1487">
        <v>16</v>
      </c>
      <c r="AA1487">
        <v>1</v>
      </c>
      <c r="AB1487" t="str">
        <f t="shared" si="71"/>
        <v>Below average customer</v>
      </c>
    </row>
    <row r="1488" spans="1:28" x14ac:dyDescent="0.35">
      <c r="A1488">
        <v>3503</v>
      </c>
      <c r="B1488">
        <v>1950</v>
      </c>
      <c r="C1488" t="s">
        <v>36</v>
      </c>
      <c r="D1488" t="s">
        <v>26</v>
      </c>
      <c r="E1488" t="s">
        <v>35</v>
      </c>
      <c r="F1488">
        <v>82460</v>
      </c>
      <c r="G1488" t="str">
        <f t="shared" si="69"/>
        <v>High</v>
      </c>
      <c r="H1488">
        <v>0</v>
      </c>
      <c r="I1488">
        <v>0</v>
      </c>
      <c r="J1488">
        <v>0</v>
      </c>
      <c r="K1488" s="1">
        <v>41610</v>
      </c>
      <c r="L1488">
        <v>78</v>
      </c>
      <c r="M1488" t="str">
        <f t="shared" si="70"/>
        <v>Inactive</v>
      </c>
      <c r="N1488">
        <v>0</v>
      </c>
      <c r="O1488">
        <v>255</v>
      </c>
      <c r="P1488">
        <v>47</v>
      </c>
      <c r="Q1488">
        <v>573</v>
      </c>
      <c r="R1488">
        <v>52</v>
      </c>
      <c r="S1488">
        <v>32</v>
      </c>
      <c r="T1488">
        <v>15</v>
      </c>
      <c r="U1488">
        <v>974</v>
      </c>
      <c r="V1488">
        <v>1</v>
      </c>
      <c r="W1488">
        <v>5</v>
      </c>
      <c r="X1488">
        <v>3</v>
      </c>
      <c r="Y1488">
        <v>6</v>
      </c>
      <c r="Z1488">
        <v>14</v>
      </c>
      <c r="AA1488">
        <v>1</v>
      </c>
      <c r="AB1488" t="str">
        <f t="shared" si="71"/>
        <v>Below average customer</v>
      </c>
    </row>
    <row r="1489" spans="1:28" x14ac:dyDescent="0.35">
      <c r="A1489">
        <v>5223</v>
      </c>
      <c r="B1489">
        <v>1966</v>
      </c>
      <c r="C1489" t="s">
        <v>28</v>
      </c>
      <c r="D1489" t="s">
        <v>34</v>
      </c>
      <c r="E1489" t="s">
        <v>29</v>
      </c>
      <c r="F1489">
        <v>45903</v>
      </c>
      <c r="G1489" t="str">
        <f t="shared" si="69"/>
        <v>Mid-low</v>
      </c>
      <c r="H1489">
        <v>0</v>
      </c>
      <c r="I1489">
        <v>1</v>
      </c>
      <c r="J1489">
        <v>1</v>
      </c>
      <c r="K1489" s="1">
        <v>41752</v>
      </c>
      <c r="L1489">
        <v>80</v>
      </c>
      <c r="M1489" t="str">
        <f t="shared" si="70"/>
        <v>Inactive</v>
      </c>
      <c r="N1489">
        <v>0</v>
      </c>
      <c r="O1489">
        <v>33</v>
      </c>
      <c r="P1489">
        <v>8</v>
      </c>
      <c r="Q1489">
        <v>10</v>
      </c>
      <c r="R1489">
        <v>2</v>
      </c>
      <c r="S1489">
        <v>10</v>
      </c>
      <c r="T1489">
        <v>3</v>
      </c>
      <c r="U1489">
        <v>66</v>
      </c>
      <c r="V1489">
        <v>2</v>
      </c>
      <c r="W1489">
        <v>2</v>
      </c>
      <c r="X1489">
        <v>1</v>
      </c>
      <c r="Y1489">
        <v>3</v>
      </c>
      <c r="Z1489">
        <v>6</v>
      </c>
      <c r="AA1489">
        <v>4</v>
      </c>
      <c r="AB1489" t="str">
        <f t="shared" si="71"/>
        <v>Below average customer</v>
      </c>
    </row>
    <row r="1490" spans="1:28" x14ac:dyDescent="0.35">
      <c r="A1490">
        <v>4608</v>
      </c>
      <c r="B1490">
        <v>1987</v>
      </c>
      <c r="C1490" t="s">
        <v>30</v>
      </c>
      <c r="D1490" t="s">
        <v>26</v>
      </c>
      <c r="E1490" t="s">
        <v>35</v>
      </c>
      <c r="F1490">
        <v>81361</v>
      </c>
      <c r="G1490" t="str">
        <f t="shared" si="69"/>
        <v>High</v>
      </c>
      <c r="H1490">
        <v>0</v>
      </c>
      <c r="I1490">
        <v>0</v>
      </c>
      <c r="J1490">
        <v>0</v>
      </c>
      <c r="K1490" s="1">
        <v>41695</v>
      </c>
      <c r="L1490">
        <v>18</v>
      </c>
      <c r="M1490" t="str">
        <f t="shared" si="70"/>
        <v>Active</v>
      </c>
      <c r="N1490">
        <v>0</v>
      </c>
      <c r="O1490">
        <v>163</v>
      </c>
      <c r="P1490">
        <v>23</v>
      </c>
      <c r="Q1490">
        <v>424</v>
      </c>
      <c r="R1490">
        <v>27</v>
      </c>
      <c r="S1490">
        <v>65</v>
      </c>
      <c r="T1490">
        <v>76</v>
      </c>
      <c r="U1490">
        <v>778</v>
      </c>
      <c r="V1490">
        <v>1</v>
      </c>
      <c r="W1490">
        <v>3</v>
      </c>
      <c r="X1490">
        <v>10</v>
      </c>
      <c r="Y1490">
        <v>13</v>
      </c>
      <c r="Z1490">
        <v>26</v>
      </c>
      <c r="AA1490">
        <v>1</v>
      </c>
      <c r="AB1490" t="str">
        <f t="shared" si="71"/>
        <v>Above average customer</v>
      </c>
    </row>
    <row r="1491" spans="1:28" x14ac:dyDescent="0.35">
      <c r="A1491">
        <v>1626</v>
      </c>
      <c r="B1491">
        <v>1973</v>
      </c>
      <c r="C1491" t="s">
        <v>31</v>
      </c>
      <c r="D1491" t="s">
        <v>32</v>
      </c>
      <c r="E1491" t="s">
        <v>35</v>
      </c>
      <c r="F1491">
        <v>35860</v>
      </c>
      <c r="G1491" t="str">
        <f t="shared" si="69"/>
        <v>Mid-low</v>
      </c>
      <c r="H1491">
        <v>1</v>
      </c>
      <c r="I1491">
        <v>1</v>
      </c>
      <c r="J1491">
        <v>2</v>
      </c>
      <c r="K1491" s="1">
        <v>41778</v>
      </c>
      <c r="L1491">
        <v>37</v>
      </c>
      <c r="M1491" t="str">
        <f t="shared" si="70"/>
        <v>Active</v>
      </c>
      <c r="N1491">
        <v>0</v>
      </c>
      <c r="O1491">
        <v>15</v>
      </c>
      <c r="P1491">
        <v>0</v>
      </c>
      <c r="Q1491">
        <v>8</v>
      </c>
      <c r="R1491">
        <v>4</v>
      </c>
      <c r="S1491">
        <v>2</v>
      </c>
      <c r="T1491">
        <v>20</v>
      </c>
      <c r="U1491">
        <v>49</v>
      </c>
      <c r="V1491">
        <v>2</v>
      </c>
      <c r="W1491">
        <v>1</v>
      </c>
      <c r="X1491">
        <v>1</v>
      </c>
      <c r="Y1491">
        <v>2</v>
      </c>
      <c r="Z1491">
        <v>4</v>
      </c>
      <c r="AA1491">
        <v>5</v>
      </c>
      <c r="AB1491" t="str">
        <f t="shared" si="71"/>
        <v>Below average customer</v>
      </c>
    </row>
    <row r="1492" spans="1:28" x14ac:dyDescent="0.35">
      <c r="A1492">
        <v>4764</v>
      </c>
      <c r="B1492">
        <v>1952</v>
      </c>
      <c r="C1492" t="s">
        <v>36</v>
      </c>
      <c r="D1492" t="s">
        <v>34</v>
      </c>
      <c r="E1492" t="s">
        <v>29</v>
      </c>
      <c r="F1492">
        <v>40442</v>
      </c>
      <c r="G1492" t="str">
        <f t="shared" si="69"/>
        <v>Mid-low</v>
      </c>
      <c r="H1492">
        <v>1</v>
      </c>
      <c r="I1492">
        <v>1</v>
      </c>
      <c r="J1492">
        <v>2</v>
      </c>
      <c r="K1492" s="1">
        <v>41140</v>
      </c>
      <c r="L1492">
        <v>52</v>
      </c>
      <c r="M1492" t="str">
        <f t="shared" si="70"/>
        <v>Inactive</v>
      </c>
      <c r="N1492">
        <v>0</v>
      </c>
      <c r="O1492">
        <v>45</v>
      </c>
      <c r="P1492">
        <v>12</v>
      </c>
      <c r="Q1492">
        <v>52</v>
      </c>
      <c r="R1492">
        <v>25</v>
      </c>
      <c r="S1492">
        <v>22</v>
      </c>
      <c r="T1492">
        <v>13</v>
      </c>
      <c r="U1492">
        <v>169</v>
      </c>
      <c r="V1492">
        <v>4</v>
      </c>
      <c r="W1492">
        <v>3</v>
      </c>
      <c r="X1492">
        <v>1</v>
      </c>
      <c r="Y1492">
        <v>4</v>
      </c>
      <c r="Z1492">
        <v>8</v>
      </c>
      <c r="AA1492">
        <v>7</v>
      </c>
      <c r="AB1492" t="str">
        <f t="shared" si="71"/>
        <v>Below average customer</v>
      </c>
    </row>
    <row r="1493" spans="1:28" x14ac:dyDescent="0.35">
      <c r="A1493">
        <v>2471</v>
      </c>
      <c r="B1493">
        <v>1965</v>
      </c>
      <c r="C1493" t="s">
        <v>28</v>
      </c>
      <c r="D1493" t="s">
        <v>26</v>
      </c>
      <c r="E1493" t="s">
        <v>33</v>
      </c>
      <c r="F1493">
        <v>61482</v>
      </c>
      <c r="G1493" t="str">
        <f t="shared" si="69"/>
        <v>Mid-high</v>
      </c>
      <c r="H1493">
        <v>0</v>
      </c>
      <c r="I1493">
        <v>0</v>
      </c>
      <c r="J1493">
        <v>0</v>
      </c>
      <c r="K1493" s="1">
        <v>41817</v>
      </c>
      <c r="L1493">
        <v>39</v>
      </c>
      <c r="M1493" t="str">
        <f t="shared" si="70"/>
        <v>Active</v>
      </c>
      <c r="N1493">
        <v>0</v>
      </c>
      <c r="O1493">
        <v>48</v>
      </c>
      <c r="P1493">
        <v>58</v>
      </c>
      <c r="Q1493">
        <v>68</v>
      </c>
      <c r="R1493">
        <v>16</v>
      </c>
      <c r="S1493">
        <v>66</v>
      </c>
      <c r="T1493">
        <v>43</v>
      </c>
      <c r="U1493">
        <v>299</v>
      </c>
      <c r="V1493">
        <v>1</v>
      </c>
      <c r="W1493">
        <v>3</v>
      </c>
      <c r="X1493">
        <v>2</v>
      </c>
      <c r="Y1493">
        <v>6</v>
      </c>
      <c r="Z1493">
        <v>11</v>
      </c>
      <c r="AA1493">
        <v>2</v>
      </c>
      <c r="AB1493" t="str">
        <f t="shared" si="71"/>
        <v>Below average customer</v>
      </c>
    </row>
    <row r="1494" spans="1:28" x14ac:dyDescent="0.35">
      <c r="A1494">
        <v>5892</v>
      </c>
      <c r="B1494">
        <v>1980</v>
      </c>
      <c r="C1494" t="s">
        <v>31</v>
      </c>
      <c r="D1494" t="s">
        <v>26</v>
      </c>
      <c r="E1494" t="s">
        <v>33</v>
      </c>
      <c r="F1494">
        <v>34968</v>
      </c>
      <c r="G1494" t="str">
        <f t="shared" si="69"/>
        <v>Low</v>
      </c>
      <c r="H1494">
        <v>1</v>
      </c>
      <c r="I1494">
        <v>0</v>
      </c>
      <c r="J1494">
        <v>1</v>
      </c>
      <c r="K1494" s="1">
        <v>41374</v>
      </c>
      <c r="L1494">
        <v>11</v>
      </c>
      <c r="M1494" t="str">
        <f t="shared" si="70"/>
        <v>Active</v>
      </c>
      <c r="N1494">
        <v>0</v>
      </c>
      <c r="O1494">
        <v>158</v>
      </c>
      <c r="P1494">
        <v>6</v>
      </c>
      <c r="Q1494">
        <v>45</v>
      </c>
      <c r="R1494">
        <v>8</v>
      </c>
      <c r="S1494">
        <v>2</v>
      </c>
      <c r="T1494">
        <v>2</v>
      </c>
      <c r="U1494">
        <v>221</v>
      </c>
      <c r="V1494">
        <v>7</v>
      </c>
      <c r="W1494">
        <v>3</v>
      </c>
      <c r="X1494">
        <v>2</v>
      </c>
      <c r="Y1494">
        <v>5</v>
      </c>
      <c r="Z1494">
        <v>10</v>
      </c>
      <c r="AA1494">
        <v>7</v>
      </c>
      <c r="AB1494" t="str">
        <f t="shared" si="71"/>
        <v>Below average customer</v>
      </c>
    </row>
    <row r="1495" spans="1:28" x14ac:dyDescent="0.35">
      <c r="A1495">
        <v>2612</v>
      </c>
      <c r="B1495">
        <v>1987</v>
      </c>
      <c r="C1495" t="s">
        <v>30</v>
      </c>
      <c r="D1495" t="s">
        <v>26</v>
      </c>
      <c r="E1495" t="s">
        <v>33</v>
      </c>
      <c r="F1495">
        <v>75794</v>
      </c>
      <c r="G1495" t="str">
        <f t="shared" si="69"/>
        <v>High</v>
      </c>
      <c r="H1495">
        <v>0</v>
      </c>
      <c r="I1495">
        <v>0</v>
      </c>
      <c r="J1495">
        <v>0</v>
      </c>
      <c r="K1495" s="1">
        <v>41632</v>
      </c>
      <c r="L1495">
        <v>33</v>
      </c>
      <c r="M1495" t="str">
        <f t="shared" si="70"/>
        <v>Active</v>
      </c>
      <c r="N1495">
        <v>0</v>
      </c>
      <c r="O1495">
        <v>754</v>
      </c>
      <c r="P1495">
        <v>160</v>
      </c>
      <c r="Q1495">
        <v>625</v>
      </c>
      <c r="R1495">
        <v>63</v>
      </c>
      <c r="S1495">
        <v>32</v>
      </c>
      <c r="T1495">
        <v>48</v>
      </c>
      <c r="U1495">
        <v>1682</v>
      </c>
      <c r="V1495">
        <v>1</v>
      </c>
      <c r="W1495">
        <v>7</v>
      </c>
      <c r="X1495">
        <v>5</v>
      </c>
      <c r="Y1495">
        <v>12</v>
      </c>
      <c r="Z1495">
        <v>24</v>
      </c>
      <c r="AA1495">
        <v>3</v>
      </c>
      <c r="AB1495" t="str">
        <f t="shared" si="71"/>
        <v>Above average customer</v>
      </c>
    </row>
    <row r="1496" spans="1:28" x14ac:dyDescent="0.35">
      <c r="A1496">
        <v>5185</v>
      </c>
      <c r="B1496">
        <v>1955</v>
      </c>
      <c r="C1496" t="s">
        <v>25</v>
      </c>
      <c r="D1496" t="s">
        <v>26</v>
      </c>
      <c r="E1496" t="s">
        <v>33</v>
      </c>
      <c r="F1496">
        <v>74268</v>
      </c>
      <c r="G1496" t="str">
        <f t="shared" si="69"/>
        <v>High</v>
      </c>
      <c r="H1496">
        <v>0</v>
      </c>
      <c r="I1496">
        <v>0</v>
      </c>
      <c r="J1496">
        <v>0</v>
      </c>
      <c r="K1496" s="1">
        <v>41319</v>
      </c>
      <c r="L1496">
        <v>83</v>
      </c>
      <c r="M1496" t="str">
        <f t="shared" si="70"/>
        <v>Inactive</v>
      </c>
      <c r="N1496">
        <v>0</v>
      </c>
      <c r="O1496">
        <v>199</v>
      </c>
      <c r="P1496">
        <v>66</v>
      </c>
      <c r="Q1496">
        <v>315</v>
      </c>
      <c r="R1496">
        <v>97</v>
      </c>
      <c r="S1496">
        <v>174</v>
      </c>
      <c r="T1496">
        <v>41</v>
      </c>
      <c r="U1496">
        <v>892</v>
      </c>
      <c r="V1496">
        <v>1</v>
      </c>
      <c r="W1496">
        <v>4</v>
      </c>
      <c r="X1496">
        <v>3</v>
      </c>
      <c r="Y1496">
        <v>5</v>
      </c>
      <c r="Z1496">
        <v>12</v>
      </c>
      <c r="AA1496">
        <v>2</v>
      </c>
      <c r="AB1496" t="str">
        <f t="shared" si="71"/>
        <v>Below average customer</v>
      </c>
    </row>
    <row r="1497" spans="1:28" x14ac:dyDescent="0.35">
      <c r="A1497">
        <v>10069</v>
      </c>
      <c r="B1497">
        <v>1988</v>
      </c>
      <c r="C1497" t="s">
        <v>30</v>
      </c>
      <c r="D1497" t="s">
        <v>37</v>
      </c>
      <c r="E1497" t="s">
        <v>29</v>
      </c>
      <c r="F1497">
        <v>13724</v>
      </c>
      <c r="G1497" t="str">
        <f t="shared" si="69"/>
        <v>Low</v>
      </c>
      <c r="H1497">
        <v>1</v>
      </c>
      <c r="I1497">
        <v>0</v>
      </c>
      <c r="J1497">
        <v>1</v>
      </c>
      <c r="K1497" s="1">
        <v>41152</v>
      </c>
      <c r="L1497">
        <v>43</v>
      </c>
      <c r="M1497" t="str">
        <f t="shared" si="70"/>
        <v>Active</v>
      </c>
      <c r="N1497">
        <v>0</v>
      </c>
      <c r="O1497">
        <v>2</v>
      </c>
      <c r="P1497">
        <v>7</v>
      </c>
      <c r="Q1497">
        <v>5</v>
      </c>
      <c r="R1497">
        <v>2</v>
      </c>
      <c r="S1497">
        <v>15</v>
      </c>
      <c r="T1497">
        <v>27</v>
      </c>
      <c r="U1497">
        <v>58</v>
      </c>
      <c r="V1497">
        <v>1</v>
      </c>
      <c r="W1497">
        <v>2</v>
      </c>
      <c r="X1497">
        <v>0</v>
      </c>
      <c r="Y1497">
        <v>2</v>
      </c>
      <c r="Z1497">
        <v>4</v>
      </c>
      <c r="AA1497">
        <v>9</v>
      </c>
      <c r="AB1497" t="str">
        <f t="shared" si="71"/>
        <v>Below average customer</v>
      </c>
    </row>
    <row r="1498" spans="1:28" x14ac:dyDescent="0.35">
      <c r="A1498">
        <v>1131</v>
      </c>
      <c r="B1498">
        <v>1967</v>
      </c>
      <c r="C1498" t="s">
        <v>28</v>
      </c>
      <c r="D1498" t="s">
        <v>32</v>
      </c>
      <c r="E1498" t="s">
        <v>27</v>
      </c>
      <c r="F1498">
        <v>52569</v>
      </c>
      <c r="G1498" t="str">
        <f t="shared" si="69"/>
        <v>Mid-high</v>
      </c>
      <c r="H1498">
        <v>0</v>
      </c>
      <c r="I1498">
        <v>1</v>
      </c>
      <c r="J1498">
        <v>1</v>
      </c>
      <c r="K1498" s="1">
        <v>41734</v>
      </c>
      <c r="L1498">
        <v>54</v>
      </c>
      <c r="M1498" t="str">
        <f t="shared" si="70"/>
        <v>Inactive</v>
      </c>
      <c r="N1498">
        <v>0</v>
      </c>
      <c r="O1498">
        <v>85</v>
      </c>
      <c r="P1498">
        <v>0</v>
      </c>
      <c r="Q1498">
        <v>3</v>
      </c>
      <c r="R1498">
        <v>0</v>
      </c>
      <c r="S1498">
        <v>0</v>
      </c>
      <c r="T1498">
        <v>7</v>
      </c>
      <c r="U1498">
        <v>95</v>
      </c>
      <c r="V1498">
        <v>1</v>
      </c>
      <c r="W1498">
        <v>2</v>
      </c>
      <c r="X1498">
        <v>0</v>
      </c>
      <c r="Y1498">
        <v>4</v>
      </c>
      <c r="Z1498">
        <v>6</v>
      </c>
      <c r="AA1498">
        <v>3</v>
      </c>
      <c r="AB1498" t="str">
        <f t="shared" si="71"/>
        <v>Below average customer</v>
      </c>
    </row>
    <row r="1499" spans="1:28" x14ac:dyDescent="0.35">
      <c r="A1499">
        <v>1041</v>
      </c>
      <c r="B1499">
        <v>1973</v>
      </c>
      <c r="C1499" t="s">
        <v>31</v>
      </c>
      <c r="D1499" t="s">
        <v>32</v>
      </c>
      <c r="E1499" t="s">
        <v>27</v>
      </c>
      <c r="F1499">
        <v>48432</v>
      </c>
      <c r="G1499" t="str">
        <f t="shared" si="69"/>
        <v>Mid-low</v>
      </c>
      <c r="H1499">
        <v>0</v>
      </c>
      <c r="I1499">
        <v>1</v>
      </c>
      <c r="J1499">
        <v>1</v>
      </c>
      <c r="K1499" s="1">
        <v>41200</v>
      </c>
      <c r="L1499">
        <v>3</v>
      </c>
      <c r="M1499" t="str">
        <f t="shared" si="70"/>
        <v>Active</v>
      </c>
      <c r="N1499">
        <v>0</v>
      </c>
      <c r="O1499">
        <v>322</v>
      </c>
      <c r="P1499">
        <v>3</v>
      </c>
      <c r="Q1499">
        <v>50</v>
      </c>
      <c r="R1499">
        <v>4</v>
      </c>
      <c r="S1499">
        <v>3</v>
      </c>
      <c r="T1499">
        <v>42</v>
      </c>
      <c r="U1499">
        <v>424</v>
      </c>
      <c r="V1499">
        <v>5</v>
      </c>
      <c r="W1499">
        <v>7</v>
      </c>
      <c r="X1499">
        <v>1</v>
      </c>
      <c r="Y1499">
        <v>6</v>
      </c>
      <c r="Z1499">
        <v>14</v>
      </c>
      <c r="AA1499">
        <v>8</v>
      </c>
      <c r="AB1499" t="str">
        <f t="shared" si="71"/>
        <v>Below average customer</v>
      </c>
    </row>
    <row r="1500" spans="1:28" x14ac:dyDescent="0.35">
      <c r="A1500">
        <v>3409</v>
      </c>
      <c r="B1500">
        <v>1984</v>
      </c>
      <c r="C1500" t="s">
        <v>30</v>
      </c>
      <c r="D1500" t="s">
        <v>26</v>
      </c>
      <c r="E1500" t="s">
        <v>27</v>
      </c>
      <c r="F1500">
        <v>36108</v>
      </c>
      <c r="G1500" t="str">
        <f t="shared" si="69"/>
        <v>Mid-low</v>
      </c>
      <c r="H1500">
        <v>1</v>
      </c>
      <c r="I1500">
        <v>0</v>
      </c>
      <c r="J1500">
        <v>1</v>
      </c>
      <c r="K1500" s="1">
        <v>41562</v>
      </c>
      <c r="L1500">
        <v>68</v>
      </c>
      <c r="M1500" t="str">
        <f t="shared" si="70"/>
        <v>Inactive</v>
      </c>
      <c r="N1500">
        <v>0</v>
      </c>
      <c r="O1500">
        <v>141</v>
      </c>
      <c r="P1500">
        <v>8</v>
      </c>
      <c r="Q1500">
        <v>129</v>
      </c>
      <c r="R1500">
        <v>3</v>
      </c>
      <c r="S1500">
        <v>11</v>
      </c>
      <c r="T1500">
        <v>47</v>
      </c>
      <c r="U1500">
        <v>339</v>
      </c>
      <c r="V1500">
        <v>3</v>
      </c>
      <c r="W1500">
        <v>7</v>
      </c>
      <c r="X1500">
        <v>1</v>
      </c>
      <c r="Y1500">
        <v>4</v>
      </c>
      <c r="Z1500">
        <v>12</v>
      </c>
      <c r="AA1500">
        <v>9</v>
      </c>
      <c r="AB1500" t="str">
        <f t="shared" si="71"/>
        <v>Below average customer</v>
      </c>
    </row>
    <row r="1501" spans="1:28" x14ac:dyDescent="0.35">
      <c r="A1501">
        <v>7022</v>
      </c>
      <c r="B1501">
        <v>1971</v>
      </c>
      <c r="C1501" t="s">
        <v>28</v>
      </c>
      <c r="D1501" t="s">
        <v>26</v>
      </c>
      <c r="E1501" t="s">
        <v>33</v>
      </c>
      <c r="F1501">
        <v>76445</v>
      </c>
      <c r="G1501" t="str">
        <f t="shared" si="69"/>
        <v>High</v>
      </c>
      <c r="H1501">
        <v>1</v>
      </c>
      <c r="I1501">
        <v>0</v>
      </c>
      <c r="J1501">
        <v>1</v>
      </c>
      <c r="K1501" s="1">
        <v>41180</v>
      </c>
      <c r="L1501">
        <v>2</v>
      </c>
      <c r="M1501" t="str">
        <f t="shared" si="70"/>
        <v>Active</v>
      </c>
      <c r="N1501">
        <v>0</v>
      </c>
      <c r="O1501">
        <v>739</v>
      </c>
      <c r="P1501">
        <v>107</v>
      </c>
      <c r="Q1501">
        <v>309</v>
      </c>
      <c r="R1501">
        <v>140</v>
      </c>
      <c r="S1501">
        <v>80</v>
      </c>
      <c r="T1501">
        <v>35</v>
      </c>
      <c r="U1501">
        <v>1410</v>
      </c>
      <c r="V1501">
        <v>1</v>
      </c>
      <c r="W1501">
        <v>2</v>
      </c>
      <c r="X1501">
        <v>5</v>
      </c>
      <c r="Y1501">
        <v>13</v>
      </c>
      <c r="Z1501">
        <v>20</v>
      </c>
      <c r="AA1501">
        <v>6</v>
      </c>
      <c r="AB1501" t="str">
        <f t="shared" si="71"/>
        <v>Above average customer</v>
      </c>
    </row>
    <row r="1502" spans="1:28" x14ac:dyDescent="0.35">
      <c r="A1502">
        <v>7943</v>
      </c>
      <c r="B1502">
        <v>1975</v>
      </c>
      <c r="C1502" t="s">
        <v>31</v>
      </c>
      <c r="D1502" t="s">
        <v>32</v>
      </c>
      <c r="E1502" t="s">
        <v>33</v>
      </c>
      <c r="F1502">
        <v>36663</v>
      </c>
      <c r="G1502" t="str">
        <f t="shared" si="69"/>
        <v>Mid-low</v>
      </c>
      <c r="H1502">
        <v>1</v>
      </c>
      <c r="I1502">
        <v>0</v>
      </c>
      <c r="J1502">
        <v>1</v>
      </c>
      <c r="K1502" s="1">
        <v>41754</v>
      </c>
      <c r="L1502">
        <v>40</v>
      </c>
      <c r="M1502" t="str">
        <f t="shared" si="70"/>
        <v>Active</v>
      </c>
      <c r="N1502">
        <v>0</v>
      </c>
      <c r="O1502">
        <v>18</v>
      </c>
      <c r="P1502">
        <v>0</v>
      </c>
      <c r="Q1502">
        <v>6</v>
      </c>
      <c r="R1502">
        <v>3</v>
      </c>
      <c r="S1502">
        <v>3</v>
      </c>
      <c r="T1502">
        <v>5</v>
      </c>
      <c r="U1502">
        <v>35</v>
      </c>
      <c r="V1502">
        <v>1</v>
      </c>
      <c r="W1502">
        <v>1</v>
      </c>
      <c r="X1502">
        <v>1</v>
      </c>
      <c r="Y1502">
        <v>3</v>
      </c>
      <c r="Z1502">
        <v>5</v>
      </c>
      <c r="AA1502">
        <v>2</v>
      </c>
      <c r="AB1502" t="str">
        <f t="shared" si="71"/>
        <v>Below average customer</v>
      </c>
    </row>
    <row r="1503" spans="1:28" x14ac:dyDescent="0.35">
      <c r="A1503">
        <v>5272</v>
      </c>
      <c r="B1503">
        <v>1965</v>
      </c>
      <c r="C1503" t="s">
        <v>28</v>
      </c>
      <c r="D1503" t="s">
        <v>34</v>
      </c>
      <c r="E1503" t="s">
        <v>33</v>
      </c>
      <c r="F1503">
        <v>53843</v>
      </c>
      <c r="G1503" t="str">
        <f t="shared" si="69"/>
        <v>Mid-high</v>
      </c>
      <c r="H1503">
        <v>0</v>
      </c>
      <c r="I1503">
        <v>1</v>
      </c>
      <c r="J1503">
        <v>1</v>
      </c>
      <c r="K1503" s="1">
        <v>41452</v>
      </c>
      <c r="L1503">
        <v>64</v>
      </c>
      <c r="M1503" t="str">
        <f t="shared" si="70"/>
        <v>Inactive</v>
      </c>
      <c r="N1503">
        <v>0</v>
      </c>
      <c r="O1503">
        <v>378</v>
      </c>
      <c r="P1503">
        <v>0</v>
      </c>
      <c r="Q1503">
        <v>88</v>
      </c>
      <c r="R1503">
        <v>19</v>
      </c>
      <c r="S1503">
        <v>4</v>
      </c>
      <c r="T1503">
        <v>73</v>
      </c>
      <c r="U1503">
        <v>562</v>
      </c>
      <c r="V1503">
        <v>4</v>
      </c>
      <c r="W1503">
        <v>8</v>
      </c>
      <c r="X1503">
        <v>5</v>
      </c>
      <c r="Y1503">
        <v>3</v>
      </c>
      <c r="Z1503">
        <v>16</v>
      </c>
      <c r="AA1503">
        <v>7</v>
      </c>
      <c r="AB1503" t="str">
        <f t="shared" si="71"/>
        <v>Below average customer</v>
      </c>
    </row>
    <row r="1504" spans="1:28" x14ac:dyDescent="0.35">
      <c r="A1504">
        <v>5453</v>
      </c>
      <c r="B1504">
        <v>1956</v>
      </c>
      <c r="C1504" t="s">
        <v>25</v>
      </c>
      <c r="D1504" t="s">
        <v>34</v>
      </c>
      <c r="E1504" t="s">
        <v>33</v>
      </c>
      <c r="F1504">
        <v>90226</v>
      </c>
      <c r="G1504" t="str">
        <f t="shared" si="69"/>
        <v>High</v>
      </c>
      <c r="H1504">
        <v>0</v>
      </c>
      <c r="I1504">
        <v>0</v>
      </c>
      <c r="J1504">
        <v>0</v>
      </c>
      <c r="K1504" s="1">
        <v>41178</v>
      </c>
      <c r="L1504">
        <v>26</v>
      </c>
      <c r="M1504" t="str">
        <f t="shared" si="70"/>
        <v>Active</v>
      </c>
      <c r="N1504">
        <v>0</v>
      </c>
      <c r="O1504">
        <v>1083</v>
      </c>
      <c r="P1504">
        <v>108</v>
      </c>
      <c r="Q1504">
        <v>649</v>
      </c>
      <c r="R1504">
        <v>253</v>
      </c>
      <c r="S1504">
        <v>151</v>
      </c>
      <c r="T1504">
        <v>108</v>
      </c>
      <c r="U1504">
        <v>2352</v>
      </c>
      <c r="V1504">
        <v>1</v>
      </c>
      <c r="W1504">
        <v>4</v>
      </c>
      <c r="X1504">
        <v>7</v>
      </c>
      <c r="Y1504">
        <v>12</v>
      </c>
      <c r="Z1504">
        <v>23</v>
      </c>
      <c r="AA1504">
        <v>2</v>
      </c>
      <c r="AB1504" t="str">
        <f t="shared" si="71"/>
        <v>Above average customer</v>
      </c>
    </row>
    <row r="1505" spans="1:28" x14ac:dyDescent="0.35">
      <c r="A1505">
        <v>2565</v>
      </c>
      <c r="B1505">
        <v>1955</v>
      </c>
      <c r="C1505" t="s">
        <v>25</v>
      </c>
      <c r="D1505" t="s">
        <v>34</v>
      </c>
      <c r="E1505" t="s">
        <v>35</v>
      </c>
      <c r="F1505">
        <v>70638</v>
      </c>
      <c r="G1505" t="str">
        <f t="shared" si="69"/>
        <v>High</v>
      </c>
      <c r="H1505">
        <v>0</v>
      </c>
      <c r="I1505">
        <v>0</v>
      </c>
      <c r="J1505">
        <v>0</v>
      </c>
      <c r="K1505" s="1">
        <v>41426</v>
      </c>
      <c r="L1505">
        <v>69</v>
      </c>
      <c r="M1505" t="str">
        <f t="shared" si="70"/>
        <v>Inactive</v>
      </c>
      <c r="N1505">
        <v>0</v>
      </c>
      <c r="O1505">
        <v>1016</v>
      </c>
      <c r="P1505">
        <v>12</v>
      </c>
      <c r="Q1505">
        <v>215</v>
      </c>
      <c r="R1505">
        <v>16</v>
      </c>
      <c r="S1505">
        <v>12</v>
      </c>
      <c r="T1505">
        <v>63</v>
      </c>
      <c r="U1505">
        <v>1334</v>
      </c>
      <c r="V1505">
        <v>1</v>
      </c>
      <c r="W1505">
        <v>4</v>
      </c>
      <c r="X1505">
        <v>5</v>
      </c>
      <c r="Y1505">
        <v>10</v>
      </c>
      <c r="Z1505">
        <v>19</v>
      </c>
      <c r="AA1505">
        <v>3</v>
      </c>
      <c r="AB1505" t="str">
        <f t="shared" si="71"/>
        <v>Below average customer</v>
      </c>
    </row>
    <row r="1506" spans="1:28" x14ac:dyDescent="0.35">
      <c r="A1506">
        <v>800</v>
      </c>
      <c r="B1506">
        <v>1960</v>
      </c>
      <c r="C1506" t="s">
        <v>25</v>
      </c>
      <c r="D1506" t="s">
        <v>26</v>
      </c>
      <c r="E1506" t="s">
        <v>29</v>
      </c>
      <c r="F1506">
        <v>44512</v>
      </c>
      <c r="G1506" t="str">
        <f t="shared" si="69"/>
        <v>Mid-low</v>
      </c>
      <c r="H1506">
        <v>1</v>
      </c>
      <c r="I1506">
        <v>1</v>
      </c>
      <c r="J1506">
        <v>2</v>
      </c>
      <c r="K1506" s="1">
        <v>41516</v>
      </c>
      <c r="L1506">
        <v>57</v>
      </c>
      <c r="M1506" t="str">
        <f t="shared" si="70"/>
        <v>Inactive</v>
      </c>
      <c r="N1506">
        <v>0</v>
      </c>
      <c r="O1506">
        <v>23</v>
      </c>
      <c r="P1506">
        <v>1</v>
      </c>
      <c r="Q1506">
        <v>6</v>
      </c>
      <c r="R1506">
        <v>0</v>
      </c>
      <c r="S1506">
        <v>0</v>
      </c>
      <c r="T1506">
        <v>2</v>
      </c>
      <c r="U1506">
        <v>32</v>
      </c>
      <c r="V1506">
        <v>2</v>
      </c>
      <c r="W1506">
        <v>1</v>
      </c>
      <c r="X1506">
        <v>0</v>
      </c>
      <c r="Y1506">
        <v>3</v>
      </c>
      <c r="Z1506">
        <v>4</v>
      </c>
      <c r="AA1506">
        <v>4</v>
      </c>
      <c r="AB1506" t="str">
        <f t="shared" si="71"/>
        <v>Below average customer</v>
      </c>
    </row>
    <row r="1507" spans="1:28" x14ac:dyDescent="0.35">
      <c r="A1507">
        <v>11092</v>
      </c>
      <c r="B1507">
        <v>1961</v>
      </c>
      <c r="C1507" t="s">
        <v>25</v>
      </c>
      <c r="D1507" t="s">
        <v>26</v>
      </c>
      <c r="E1507" t="s">
        <v>33</v>
      </c>
      <c r="F1507">
        <v>27116</v>
      </c>
      <c r="G1507" t="str">
        <f t="shared" si="69"/>
        <v>Low</v>
      </c>
      <c r="H1507">
        <v>1</v>
      </c>
      <c r="I1507">
        <v>1</v>
      </c>
      <c r="J1507">
        <v>2</v>
      </c>
      <c r="K1507" s="1">
        <v>41700</v>
      </c>
      <c r="L1507">
        <v>78</v>
      </c>
      <c r="M1507" t="str">
        <f t="shared" si="70"/>
        <v>Inactive</v>
      </c>
      <c r="N1507">
        <v>0</v>
      </c>
      <c r="O1507">
        <v>12</v>
      </c>
      <c r="P1507">
        <v>1</v>
      </c>
      <c r="Q1507">
        <v>21</v>
      </c>
      <c r="R1507">
        <v>2</v>
      </c>
      <c r="S1507">
        <v>2</v>
      </c>
      <c r="T1507">
        <v>3</v>
      </c>
      <c r="U1507">
        <v>41</v>
      </c>
      <c r="V1507">
        <v>2</v>
      </c>
      <c r="W1507">
        <v>2</v>
      </c>
      <c r="X1507">
        <v>0</v>
      </c>
      <c r="Y1507">
        <v>3</v>
      </c>
      <c r="Z1507">
        <v>5</v>
      </c>
      <c r="AA1507">
        <v>7</v>
      </c>
      <c r="AB1507" t="str">
        <f t="shared" si="71"/>
        <v>Below average customer</v>
      </c>
    </row>
    <row r="1508" spans="1:28" x14ac:dyDescent="0.35">
      <c r="A1508">
        <v>5062</v>
      </c>
      <c r="B1508">
        <v>1963</v>
      </c>
      <c r="C1508" t="s">
        <v>28</v>
      </c>
      <c r="D1508" t="s">
        <v>32</v>
      </c>
      <c r="E1508" t="s">
        <v>33</v>
      </c>
      <c r="F1508">
        <v>54072</v>
      </c>
      <c r="G1508" t="str">
        <f t="shared" si="69"/>
        <v>Mid-high</v>
      </c>
      <c r="H1508">
        <v>1</v>
      </c>
      <c r="I1508">
        <v>1</v>
      </c>
      <c r="J1508">
        <v>2</v>
      </c>
      <c r="K1508" s="1">
        <v>41482</v>
      </c>
      <c r="L1508">
        <v>71</v>
      </c>
      <c r="M1508" t="str">
        <f t="shared" si="70"/>
        <v>Inactive</v>
      </c>
      <c r="N1508">
        <v>0</v>
      </c>
      <c r="O1508">
        <v>35</v>
      </c>
      <c r="P1508">
        <v>0</v>
      </c>
      <c r="Q1508">
        <v>4</v>
      </c>
      <c r="R1508">
        <v>0</v>
      </c>
      <c r="S1508">
        <v>0</v>
      </c>
      <c r="T1508">
        <v>0</v>
      </c>
      <c r="U1508">
        <v>39</v>
      </c>
      <c r="V1508">
        <v>1</v>
      </c>
      <c r="W1508">
        <v>2</v>
      </c>
      <c r="X1508">
        <v>0</v>
      </c>
      <c r="Y1508">
        <v>2</v>
      </c>
      <c r="Z1508">
        <v>4</v>
      </c>
      <c r="AA1508">
        <v>8</v>
      </c>
      <c r="AB1508" t="str">
        <f t="shared" si="71"/>
        <v>Below average customer</v>
      </c>
    </row>
    <row r="1509" spans="1:28" x14ac:dyDescent="0.35">
      <c r="A1509">
        <v>8969</v>
      </c>
      <c r="B1509">
        <v>1977</v>
      </c>
      <c r="C1509" t="s">
        <v>31</v>
      </c>
      <c r="D1509" t="s">
        <v>26</v>
      </c>
      <c r="E1509" t="s">
        <v>33</v>
      </c>
      <c r="F1509">
        <v>71855</v>
      </c>
      <c r="G1509" t="str">
        <f t="shared" si="69"/>
        <v>High</v>
      </c>
      <c r="H1509">
        <v>0</v>
      </c>
      <c r="I1509">
        <v>1</v>
      </c>
      <c r="J1509">
        <v>1</v>
      </c>
      <c r="K1509" s="1">
        <v>41290</v>
      </c>
      <c r="L1509">
        <v>59</v>
      </c>
      <c r="M1509" t="str">
        <f t="shared" si="70"/>
        <v>Inactive</v>
      </c>
      <c r="N1509">
        <v>0</v>
      </c>
      <c r="O1509">
        <v>548</v>
      </c>
      <c r="P1509">
        <v>31</v>
      </c>
      <c r="Q1509">
        <v>422</v>
      </c>
      <c r="R1509">
        <v>0</v>
      </c>
      <c r="S1509">
        <v>112</v>
      </c>
      <c r="T1509">
        <v>28</v>
      </c>
      <c r="U1509">
        <v>1141</v>
      </c>
      <c r="V1509">
        <v>4</v>
      </c>
      <c r="W1509">
        <v>5</v>
      </c>
      <c r="X1509">
        <v>5</v>
      </c>
      <c r="Y1509">
        <v>11</v>
      </c>
      <c r="Z1509">
        <v>21</v>
      </c>
      <c r="AA1509">
        <v>3</v>
      </c>
      <c r="AB1509" t="str">
        <f t="shared" si="71"/>
        <v>Below average customer</v>
      </c>
    </row>
    <row r="1510" spans="1:28" x14ac:dyDescent="0.35">
      <c r="A1510">
        <v>4656</v>
      </c>
      <c r="B1510">
        <v>1990</v>
      </c>
      <c r="C1510" t="s">
        <v>30</v>
      </c>
      <c r="D1510" t="s">
        <v>34</v>
      </c>
      <c r="E1510" t="s">
        <v>27</v>
      </c>
      <c r="F1510">
        <v>51250</v>
      </c>
      <c r="G1510" t="str">
        <f t="shared" si="69"/>
        <v>Mid-low</v>
      </c>
      <c r="H1510">
        <v>1</v>
      </c>
      <c r="I1510">
        <v>0</v>
      </c>
      <c r="J1510">
        <v>1</v>
      </c>
      <c r="K1510" s="1">
        <v>41363</v>
      </c>
      <c r="L1510">
        <v>28</v>
      </c>
      <c r="M1510" t="str">
        <f t="shared" si="70"/>
        <v>Active</v>
      </c>
      <c r="N1510">
        <v>0</v>
      </c>
      <c r="O1510">
        <v>342</v>
      </c>
      <c r="P1510">
        <v>32</v>
      </c>
      <c r="Q1510">
        <v>230</v>
      </c>
      <c r="R1510">
        <v>34</v>
      </c>
      <c r="S1510">
        <v>32</v>
      </c>
      <c r="T1510">
        <v>40</v>
      </c>
      <c r="U1510">
        <v>710</v>
      </c>
      <c r="V1510">
        <v>5</v>
      </c>
      <c r="W1510">
        <v>10</v>
      </c>
      <c r="X1510">
        <v>5</v>
      </c>
      <c r="Y1510">
        <v>4</v>
      </c>
      <c r="Z1510">
        <v>19</v>
      </c>
      <c r="AA1510">
        <v>9</v>
      </c>
      <c r="AB1510" t="str">
        <f t="shared" si="71"/>
        <v>Below average customer</v>
      </c>
    </row>
    <row r="1511" spans="1:28" x14ac:dyDescent="0.35">
      <c r="A1511">
        <v>4480</v>
      </c>
      <c r="B1511">
        <v>1973</v>
      </c>
      <c r="C1511" t="s">
        <v>31</v>
      </c>
      <c r="D1511" t="s">
        <v>34</v>
      </c>
      <c r="E1511" t="s">
        <v>33</v>
      </c>
      <c r="F1511">
        <v>60432</v>
      </c>
      <c r="G1511" t="str">
        <f t="shared" si="69"/>
        <v>Mid-high</v>
      </c>
      <c r="H1511">
        <v>0</v>
      </c>
      <c r="I1511">
        <v>1</v>
      </c>
      <c r="J1511">
        <v>1</v>
      </c>
      <c r="K1511" s="1">
        <v>41707</v>
      </c>
      <c r="L1511">
        <v>61</v>
      </c>
      <c r="M1511" t="str">
        <f t="shared" si="70"/>
        <v>Inactive</v>
      </c>
      <c r="N1511">
        <v>0</v>
      </c>
      <c r="O1511">
        <v>365</v>
      </c>
      <c r="P1511">
        <v>3</v>
      </c>
      <c r="Q1511">
        <v>15</v>
      </c>
      <c r="R1511">
        <v>4</v>
      </c>
      <c r="S1511">
        <v>3</v>
      </c>
      <c r="T1511">
        <v>11</v>
      </c>
      <c r="U1511">
        <v>401</v>
      </c>
      <c r="V1511">
        <v>5</v>
      </c>
      <c r="W1511">
        <v>7</v>
      </c>
      <c r="X1511">
        <v>2</v>
      </c>
      <c r="Y1511">
        <v>5</v>
      </c>
      <c r="Z1511">
        <v>14</v>
      </c>
      <c r="AA1511">
        <v>6</v>
      </c>
      <c r="AB1511" t="str">
        <f t="shared" si="71"/>
        <v>Below average customer</v>
      </c>
    </row>
    <row r="1512" spans="1:28" x14ac:dyDescent="0.35">
      <c r="A1512">
        <v>1773</v>
      </c>
      <c r="B1512">
        <v>1978</v>
      </c>
      <c r="C1512" t="s">
        <v>31</v>
      </c>
      <c r="D1512" t="s">
        <v>34</v>
      </c>
      <c r="E1512" t="s">
        <v>33</v>
      </c>
      <c r="F1512">
        <v>12393</v>
      </c>
      <c r="G1512" t="str">
        <f t="shared" si="69"/>
        <v>Low</v>
      </c>
      <c r="H1512">
        <v>0</v>
      </c>
      <c r="I1512">
        <v>0</v>
      </c>
      <c r="J1512">
        <v>0</v>
      </c>
      <c r="K1512" s="1">
        <v>41247</v>
      </c>
      <c r="L1512">
        <v>38</v>
      </c>
      <c r="M1512" t="str">
        <f t="shared" si="70"/>
        <v>Active</v>
      </c>
      <c r="N1512">
        <v>0</v>
      </c>
      <c r="O1512">
        <v>5</v>
      </c>
      <c r="P1512">
        <v>6</v>
      </c>
      <c r="Q1512">
        <v>15</v>
      </c>
      <c r="R1512">
        <v>11</v>
      </c>
      <c r="S1512">
        <v>7</v>
      </c>
      <c r="T1512">
        <v>13</v>
      </c>
      <c r="U1512">
        <v>57</v>
      </c>
      <c r="V1512">
        <v>1</v>
      </c>
      <c r="W1512">
        <v>2</v>
      </c>
      <c r="X1512">
        <v>0</v>
      </c>
      <c r="Y1512">
        <v>3</v>
      </c>
      <c r="Z1512">
        <v>5</v>
      </c>
      <c r="AA1512">
        <v>9</v>
      </c>
      <c r="AB1512" t="str">
        <f t="shared" si="71"/>
        <v>Below average customer</v>
      </c>
    </row>
    <row r="1513" spans="1:28" x14ac:dyDescent="0.35">
      <c r="A1513">
        <v>9242</v>
      </c>
      <c r="B1513">
        <v>1990</v>
      </c>
      <c r="C1513" t="s">
        <v>30</v>
      </c>
      <c r="D1513" t="s">
        <v>26</v>
      </c>
      <c r="E1513" t="s">
        <v>27</v>
      </c>
      <c r="F1513">
        <v>64509</v>
      </c>
      <c r="G1513" t="str">
        <f t="shared" si="69"/>
        <v>Mid-high</v>
      </c>
      <c r="H1513">
        <v>0</v>
      </c>
      <c r="I1513">
        <v>0</v>
      </c>
      <c r="J1513">
        <v>0</v>
      </c>
      <c r="K1513" s="1">
        <v>41503</v>
      </c>
      <c r="L1513">
        <v>19</v>
      </c>
      <c r="M1513" t="str">
        <f t="shared" si="70"/>
        <v>Active</v>
      </c>
      <c r="N1513">
        <v>0</v>
      </c>
      <c r="O1513">
        <v>836</v>
      </c>
      <c r="P1513">
        <v>185</v>
      </c>
      <c r="Q1513">
        <v>575</v>
      </c>
      <c r="R1513">
        <v>24</v>
      </c>
      <c r="S1513">
        <v>25</v>
      </c>
      <c r="T1513">
        <v>77</v>
      </c>
      <c r="U1513">
        <v>1722</v>
      </c>
      <c r="V1513">
        <v>1</v>
      </c>
      <c r="W1513">
        <v>6</v>
      </c>
      <c r="X1513">
        <v>3</v>
      </c>
      <c r="Y1513">
        <v>9</v>
      </c>
      <c r="Z1513">
        <v>18</v>
      </c>
      <c r="AA1513">
        <v>4</v>
      </c>
      <c r="AB1513" t="str">
        <f t="shared" si="71"/>
        <v>Above average customer</v>
      </c>
    </row>
    <row r="1514" spans="1:28" x14ac:dyDescent="0.35">
      <c r="A1514">
        <v>1764</v>
      </c>
      <c r="B1514">
        <v>1975</v>
      </c>
      <c r="C1514" t="s">
        <v>31</v>
      </c>
      <c r="D1514" t="s">
        <v>26</v>
      </c>
      <c r="E1514" t="s">
        <v>27</v>
      </c>
      <c r="F1514">
        <v>33955</v>
      </c>
      <c r="G1514" t="str">
        <f t="shared" si="69"/>
        <v>Low</v>
      </c>
      <c r="H1514">
        <v>1</v>
      </c>
      <c r="I1514">
        <v>0</v>
      </c>
      <c r="J1514">
        <v>1</v>
      </c>
      <c r="K1514" s="1">
        <v>41495</v>
      </c>
      <c r="L1514">
        <v>92</v>
      </c>
      <c r="M1514" t="str">
        <f t="shared" si="70"/>
        <v>Inactive</v>
      </c>
      <c r="N1514">
        <v>0</v>
      </c>
      <c r="O1514">
        <v>100</v>
      </c>
      <c r="P1514">
        <v>2</v>
      </c>
      <c r="Q1514">
        <v>128</v>
      </c>
      <c r="R1514">
        <v>23</v>
      </c>
      <c r="S1514">
        <v>7</v>
      </c>
      <c r="T1514">
        <v>10</v>
      </c>
      <c r="U1514">
        <v>270</v>
      </c>
      <c r="V1514">
        <v>4</v>
      </c>
      <c r="W1514">
        <v>5</v>
      </c>
      <c r="X1514">
        <v>1</v>
      </c>
      <c r="Y1514">
        <v>5</v>
      </c>
      <c r="Z1514">
        <v>11</v>
      </c>
      <c r="AA1514">
        <v>8</v>
      </c>
      <c r="AB1514" t="str">
        <f t="shared" si="71"/>
        <v>Below average customer</v>
      </c>
    </row>
    <row r="1515" spans="1:28" x14ac:dyDescent="0.35">
      <c r="A1515">
        <v>6215</v>
      </c>
      <c r="B1515">
        <v>1977</v>
      </c>
      <c r="C1515" t="s">
        <v>31</v>
      </c>
      <c r="D1515" t="s">
        <v>26</v>
      </c>
      <c r="E1515" t="s">
        <v>33</v>
      </c>
      <c r="F1515">
        <v>31353</v>
      </c>
      <c r="G1515" t="str">
        <f t="shared" si="69"/>
        <v>Low</v>
      </c>
      <c r="H1515">
        <v>1</v>
      </c>
      <c r="I1515">
        <v>1</v>
      </c>
      <c r="J1515">
        <v>2</v>
      </c>
      <c r="K1515" s="1">
        <v>41637</v>
      </c>
      <c r="L1515">
        <v>24</v>
      </c>
      <c r="M1515" t="str">
        <f t="shared" si="70"/>
        <v>Active</v>
      </c>
      <c r="N1515">
        <v>0</v>
      </c>
      <c r="O1515">
        <v>10</v>
      </c>
      <c r="P1515">
        <v>0</v>
      </c>
      <c r="Q1515">
        <v>10</v>
      </c>
      <c r="R1515">
        <v>3</v>
      </c>
      <c r="S1515">
        <v>1</v>
      </c>
      <c r="T1515">
        <v>7</v>
      </c>
      <c r="U1515">
        <v>31</v>
      </c>
      <c r="V1515">
        <v>2</v>
      </c>
      <c r="W1515">
        <v>1</v>
      </c>
      <c r="X1515">
        <v>1</v>
      </c>
      <c r="Y1515">
        <v>2</v>
      </c>
      <c r="Z1515">
        <v>4</v>
      </c>
      <c r="AA1515">
        <v>8</v>
      </c>
      <c r="AB1515" t="str">
        <f t="shared" si="71"/>
        <v>Below average customer</v>
      </c>
    </row>
    <row r="1516" spans="1:28" x14ac:dyDescent="0.35">
      <c r="A1516">
        <v>10099</v>
      </c>
      <c r="B1516">
        <v>1984</v>
      </c>
      <c r="C1516" t="s">
        <v>30</v>
      </c>
      <c r="D1516" t="s">
        <v>26</v>
      </c>
      <c r="E1516" t="s">
        <v>33</v>
      </c>
      <c r="F1516">
        <v>55434</v>
      </c>
      <c r="G1516" t="str">
        <f t="shared" si="69"/>
        <v>Mid-high</v>
      </c>
      <c r="H1516">
        <v>1</v>
      </c>
      <c r="I1516">
        <v>0</v>
      </c>
      <c r="J1516">
        <v>1</v>
      </c>
      <c r="K1516" s="1">
        <v>41552</v>
      </c>
      <c r="L1516">
        <v>21</v>
      </c>
      <c r="M1516" t="str">
        <f t="shared" si="70"/>
        <v>Active</v>
      </c>
      <c r="N1516">
        <v>0</v>
      </c>
      <c r="O1516">
        <v>238</v>
      </c>
      <c r="P1516">
        <v>115</v>
      </c>
      <c r="Q1516">
        <v>215</v>
      </c>
      <c r="R1516">
        <v>169</v>
      </c>
      <c r="S1516">
        <v>69</v>
      </c>
      <c r="T1516">
        <v>76</v>
      </c>
      <c r="U1516">
        <v>882</v>
      </c>
      <c r="V1516">
        <v>3</v>
      </c>
      <c r="W1516">
        <v>5</v>
      </c>
      <c r="X1516">
        <v>3</v>
      </c>
      <c r="Y1516">
        <v>13</v>
      </c>
      <c r="Z1516">
        <v>21</v>
      </c>
      <c r="AA1516">
        <v>4</v>
      </c>
      <c r="AB1516" t="str">
        <f t="shared" si="71"/>
        <v>Above average customer</v>
      </c>
    </row>
    <row r="1517" spans="1:28" x14ac:dyDescent="0.35">
      <c r="A1517">
        <v>5423</v>
      </c>
      <c r="B1517">
        <v>1983</v>
      </c>
      <c r="C1517" t="s">
        <v>30</v>
      </c>
      <c r="D1517" t="s">
        <v>26</v>
      </c>
      <c r="E1517" t="s">
        <v>29</v>
      </c>
      <c r="F1517">
        <v>28359</v>
      </c>
      <c r="G1517" t="str">
        <f t="shared" si="69"/>
        <v>Low</v>
      </c>
      <c r="H1517">
        <v>1</v>
      </c>
      <c r="I1517">
        <v>0</v>
      </c>
      <c r="J1517">
        <v>1</v>
      </c>
      <c r="K1517" s="1">
        <v>41574</v>
      </c>
      <c r="L1517">
        <v>35</v>
      </c>
      <c r="M1517" t="str">
        <f t="shared" si="70"/>
        <v>Active</v>
      </c>
      <c r="N1517">
        <v>0</v>
      </c>
      <c r="O1517">
        <v>6</v>
      </c>
      <c r="P1517">
        <v>0</v>
      </c>
      <c r="Q1517">
        <v>5</v>
      </c>
      <c r="R1517">
        <v>2</v>
      </c>
      <c r="S1517">
        <v>1</v>
      </c>
      <c r="T1517">
        <v>2</v>
      </c>
      <c r="U1517">
        <v>16</v>
      </c>
      <c r="V1517">
        <v>1</v>
      </c>
      <c r="W1517">
        <v>1</v>
      </c>
      <c r="X1517">
        <v>0</v>
      </c>
      <c r="Y1517">
        <v>2</v>
      </c>
      <c r="Z1517">
        <v>3</v>
      </c>
      <c r="AA1517">
        <v>7</v>
      </c>
      <c r="AB1517" t="str">
        <f t="shared" si="71"/>
        <v>Below average customer</v>
      </c>
    </row>
    <row r="1518" spans="1:28" x14ac:dyDescent="0.35">
      <c r="A1518">
        <v>940</v>
      </c>
      <c r="B1518">
        <v>1987</v>
      </c>
      <c r="C1518" t="s">
        <v>30</v>
      </c>
      <c r="D1518" t="s">
        <v>26</v>
      </c>
      <c r="E1518" t="s">
        <v>27</v>
      </c>
      <c r="F1518">
        <v>57100</v>
      </c>
      <c r="G1518" t="str">
        <f t="shared" si="69"/>
        <v>Mid-high</v>
      </c>
      <c r="H1518">
        <v>1</v>
      </c>
      <c r="I1518">
        <v>0</v>
      </c>
      <c r="J1518">
        <v>1</v>
      </c>
      <c r="K1518" s="1">
        <v>41777</v>
      </c>
      <c r="L1518">
        <v>9</v>
      </c>
      <c r="M1518" t="str">
        <f t="shared" si="70"/>
        <v>Active</v>
      </c>
      <c r="N1518">
        <v>0</v>
      </c>
      <c r="O1518">
        <v>158</v>
      </c>
      <c r="P1518">
        <v>11</v>
      </c>
      <c r="Q1518">
        <v>99</v>
      </c>
      <c r="R1518">
        <v>15</v>
      </c>
      <c r="S1518">
        <v>11</v>
      </c>
      <c r="T1518">
        <v>17</v>
      </c>
      <c r="U1518">
        <v>311</v>
      </c>
      <c r="V1518">
        <v>2</v>
      </c>
      <c r="W1518">
        <v>3</v>
      </c>
      <c r="X1518">
        <v>2</v>
      </c>
      <c r="Y1518">
        <v>7</v>
      </c>
      <c r="Z1518">
        <v>12</v>
      </c>
      <c r="AA1518">
        <v>3</v>
      </c>
      <c r="AB1518" t="str">
        <f t="shared" si="71"/>
        <v>Below average customer</v>
      </c>
    </row>
    <row r="1519" spans="1:28" x14ac:dyDescent="0.35">
      <c r="A1519">
        <v>3298</v>
      </c>
      <c r="B1519">
        <v>1956</v>
      </c>
      <c r="C1519" t="s">
        <v>25</v>
      </c>
      <c r="D1519" t="s">
        <v>34</v>
      </c>
      <c r="E1519" t="s">
        <v>33</v>
      </c>
      <c r="F1519">
        <v>52973</v>
      </c>
      <c r="G1519" t="str">
        <f t="shared" si="69"/>
        <v>Mid-high</v>
      </c>
      <c r="H1519">
        <v>0</v>
      </c>
      <c r="I1519">
        <v>1</v>
      </c>
      <c r="J1519">
        <v>1</v>
      </c>
      <c r="K1519" s="1">
        <v>41221</v>
      </c>
      <c r="L1519">
        <v>92</v>
      </c>
      <c r="M1519" t="str">
        <f t="shared" si="70"/>
        <v>Inactive</v>
      </c>
      <c r="N1519">
        <v>0</v>
      </c>
      <c r="O1519">
        <v>856</v>
      </c>
      <c r="P1519">
        <v>0</v>
      </c>
      <c r="Q1519">
        <v>76</v>
      </c>
      <c r="R1519">
        <v>12</v>
      </c>
      <c r="S1519">
        <v>9</v>
      </c>
      <c r="T1519">
        <v>199</v>
      </c>
      <c r="U1519">
        <v>1152</v>
      </c>
      <c r="V1519">
        <v>7</v>
      </c>
      <c r="W1519">
        <v>9</v>
      </c>
      <c r="X1519">
        <v>6</v>
      </c>
      <c r="Y1519">
        <v>9</v>
      </c>
      <c r="Z1519">
        <v>24</v>
      </c>
      <c r="AA1519">
        <v>8</v>
      </c>
      <c r="AB1519" t="str">
        <f t="shared" si="71"/>
        <v>Below average customer</v>
      </c>
    </row>
    <row r="1520" spans="1:28" x14ac:dyDescent="0.35">
      <c r="A1520">
        <v>8286</v>
      </c>
      <c r="B1520">
        <v>1965</v>
      </c>
      <c r="C1520" t="s">
        <v>28</v>
      </c>
      <c r="D1520" t="s">
        <v>32</v>
      </c>
      <c r="E1520" t="s">
        <v>29</v>
      </c>
      <c r="F1520">
        <v>51717</v>
      </c>
      <c r="G1520" t="str">
        <f t="shared" si="69"/>
        <v>Mid-high</v>
      </c>
      <c r="H1520">
        <v>0</v>
      </c>
      <c r="I1520">
        <v>1</v>
      </c>
      <c r="J1520">
        <v>1</v>
      </c>
      <c r="K1520" s="1">
        <v>41506</v>
      </c>
      <c r="L1520">
        <v>55</v>
      </c>
      <c r="M1520" t="str">
        <f t="shared" si="70"/>
        <v>Inactive</v>
      </c>
      <c r="N1520">
        <v>0</v>
      </c>
      <c r="O1520">
        <v>98</v>
      </c>
      <c r="P1520">
        <v>1</v>
      </c>
      <c r="Q1520">
        <v>17</v>
      </c>
      <c r="R1520">
        <v>0</v>
      </c>
      <c r="S1520">
        <v>1</v>
      </c>
      <c r="T1520">
        <v>5</v>
      </c>
      <c r="U1520">
        <v>122</v>
      </c>
      <c r="V1520">
        <v>1</v>
      </c>
      <c r="W1520">
        <v>3</v>
      </c>
      <c r="X1520">
        <v>0</v>
      </c>
      <c r="Y1520">
        <v>4</v>
      </c>
      <c r="Z1520">
        <v>7</v>
      </c>
      <c r="AA1520">
        <v>7</v>
      </c>
      <c r="AB1520" t="str">
        <f t="shared" si="71"/>
        <v>Below average customer</v>
      </c>
    </row>
    <row r="1521" spans="1:28" x14ac:dyDescent="0.35">
      <c r="A1521">
        <v>9668</v>
      </c>
      <c r="B1521">
        <v>1971</v>
      </c>
      <c r="C1521" t="s">
        <v>28</v>
      </c>
      <c r="D1521" t="s">
        <v>26</v>
      </c>
      <c r="E1521" t="s">
        <v>33</v>
      </c>
      <c r="F1521">
        <v>18793</v>
      </c>
      <c r="G1521" t="str">
        <f t="shared" si="69"/>
        <v>Low</v>
      </c>
      <c r="H1521">
        <v>1</v>
      </c>
      <c r="I1521">
        <v>0</v>
      </c>
      <c r="J1521">
        <v>1</v>
      </c>
      <c r="K1521" s="1">
        <v>41286</v>
      </c>
      <c r="L1521">
        <v>14</v>
      </c>
      <c r="M1521" t="str">
        <f t="shared" si="70"/>
        <v>Active</v>
      </c>
      <c r="N1521">
        <v>0</v>
      </c>
      <c r="O1521">
        <v>4</v>
      </c>
      <c r="P1521">
        <v>16</v>
      </c>
      <c r="Q1521">
        <v>20</v>
      </c>
      <c r="R1521">
        <v>0</v>
      </c>
      <c r="S1521">
        <v>17</v>
      </c>
      <c r="T1521">
        <v>20</v>
      </c>
      <c r="U1521">
        <v>77</v>
      </c>
      <c r="V1521">
        <v>3</v>
      </c>
      <c r="W1521">
        <v>2</v>
      </c>
      <c r="X1521">
        <v>0</v>
      </c>
      <c r="Y1521">
        <v>4</v>
      </c>
      <c r="Z1521">
        <v>6</v>
      </c>
      <c r="AA1521">
        <v>8</v>
      </c>
      <c r="AB1521" t="str">
        <f t="shared" si="71"/>
        <v>Below average customer</v>
      </c>
    </row>
    <row r="1522" spans="1:28" x14ac:dyDescent="0.35">
      <c r="A1522">
        <v>6097</v>
      </c>
      <c r="B1522">
        <v>1959</v>
      </c>
      <c r="C1522" t="s">
        <v>25</v>
      </c>
      <c r="D1522" t="s">
        <v>26</v>
      </c>
      <c r="E1522" t="s">
        <v>27</v>
      </c>
      <c r="F1522">
        <v>50664</v>
      </c>
      <c r="G1522" t="str">
        <f t="shared" si="69"/>
        <v>Mid-low</v>
      </c>
      <c r="H1522">
        <v>1</v>
      </c>
      <c r="I1522">
        <v>1</v>
      </c>
      <c r="J1522">
        <v>2</v>
      </c>
      <c r="K1522" s="1">
        <v>41290</v>
      </c>
      <c r="L1522">
        <v>64</v>
      </c>
      <c r="M1522" t="str">
        <f t="shared" si="70"/>
        <v>Inactive</v>
      </c>
      <c r="N1522">
        <v>0</v>
      </c>
      <c r="O1522">
        <v>313</v>
      </c>
      <c r="P1522">
        <v>8</v>
      </c>
      <c r="Q1522">
        <v>104</v>
      </c>
      <c r="R1522">
        <v>6</v>
      </c>
      <c r="S1522">
        <v>4</v>
      </c>
      <c r="T1522">
        <v>126</v>
      </c>
      <c r="U1522">
        <v>561</v>
      </c>
      <c r="V1522">
        <v>9</v>
      </c>
      <c r="W1522">
        <v>8</v>
      </c>
      <c r="X1522">
        <v>1</v>
      </c>
      <c r="Y1522">
        <v>6</v>
      </c>
      <c r="Z1522">
        <v>15</v>
      </c>
      <c r="AA1522">
        <v>9</v>
      </c>
      <c r="AB1522" t="str">
        <f t="shared" si="71"/>
        <v>Below average customer</v>
      </c>
    </row>
    <row r="1523" spans="1:28" x14ac:dyDescent="0.35">
      <c r="A1523">
        <v>7019</v>
      </c>
      <c r="B1523">
        <v>1963</v>
      </c>
      <c r="C1523" t="s">
        <v>28</v>
      </c>
      <c r="D1523" t="s">
        <v>26</v>
      </c>
      <c r="E1523" t="s">
        <v>29</v>
      </c>
      <c r="F1523">
        <v>54414</v>
      </c>
      <c r="G1523" t="str">
        <f t="shared" si="69"/>
        <v>Mid-high</v>
      </c>
      <c r="H1523">
        <v>1</v>
      </c>
      <c r="I1523">
        <v>1</v>
      </c>
      <c r="J1523">
        <v>2</v>
      </c>
      <c r="K1523" s="1">
        <v>41297</v>
      </c>
      <c r="L1523">
        <v>49</v>
      </c>
      <c r="M1523" t="str">
        <f t="shared" si="70"/>
        <v>Inactive</v>
      </c>
      <c r="N1523">
        <v>0</v>
      </c>
      <c r="O1523">
        <v>109</v>
      </c>
      <c r="P1523">
        <v>18</v>
      </c>
      <c r="Q1523">
        <v>16</v>
      </c>
      <c r="R1523">
        <v>24</v>
      </c>
      <c r="S1523">
        <v>26</v>
      </c>
      <c r="T1523">
        <v>18</v>
      </c>
      <c r="U1523">
        <v>211</v>
      </c>
      <c r="V1523">
        <v>4</v>
      </c>
      <c r="W1523">
        <v>3</v>
      </c>
      <c r="X1523">
        <v>1</v>
      </c>
      <c r="Y1523">
        <v>5</v>
      </c>
      <c r="Z1523">
        <v>9</v>
      </c>
      <c r="AA1523">
        <v>4</v>
      </c>
      <c r="AB1523" t="str">
        <f t="shared" si="71"/>
        <v>Below average customer</v>
      </c>
    </row>
    <row r="1524" spans="1:28" x14ac:dyDescent="0.35">
      <c r="A1524">
        <v>7408</v>
      </c>
      <c r="B1524">
        <v>1952</v>
      </c>
      <c r="C1524" t="s">
        <v>36</v>
      </c>
      <c r="D1524" t="s">
        <v>32</v>
      </c>
      <c r="E1524" t="s">
        <v>33</v>
      </c>
      <c r="F1524">
        <v>54549</v>
      </c>
      <c r="G1524" t="str">
        <f t="shared" si="69"/>
        <v>Mid-high</v>
      </c>
      <c r="H1524">
        <v>0</v>
      </c>
      <c r="I1524">
        <v>1</v>
      </c>
      <c r="J1524">
        <v>1</v>
      </c>
      <c r="K1524" s="1">
        <v>41701</v>
      </c>
      <c r="L1524">
        <v>8</v>
      </c>
      <c r="M1524" t="str">
        <f t="shared" si="70"/>
        <v>Active</v>
      </c>
      <c r="N1524">
        <v>0</v>
      </c>
      <c r="O1524">
        <v>216</v>
      </c>
      <c r="P1524">
        <v>2</v>
      </c>
      <c r="Q1524">
        <v>6</v>
      </c>
      <c r="R1524">
        <v>0</v>
      </c>
      <c r="S1524">
        <v>0</v>
      </c>
      <c r="T1524">
        <v>9</v>
      </c>
      <c r="U1524">
        <v>233</v>
      </c>
      <c r="V1524">
        <v>2</v>
      </c>
      <c r="W1524">
        <v>5</v>
      </c>
      <c r="X1524">
        <v>1</v>
      </c>
      <c r="Y1524">
        <v>4</v>
      </c>
      <c r="Z1524">
        <v>10</v>
      </c>
      <c r="AA1524">
        <v>7</v>
      </c>
      <c r="AB1524" t="str">
        <f t="shared" si="71"/>
        <v>Below average customer</v>
      </c>
    </row>
    <row r="1525" spans="1:28" x14ac:dyDescent="0.35">
      <c r="A1525">
        <v>8041</v>
      </c>
      <c r="B1525">
        <v>1971</v>
      </c>
      <c r="C1525" t="s">
        <v>28</v>
      </c>
      <c r="D1525" t="s">
        <v>32</v>
      </c>
      <c r="E1525" t="s">
        <v>38</v>
      </c>
      <c r="F1525">
        <v>47111</v>
      </c>
      <c r="G1525" t="str">
        <f t="shared" si="69"/>
        <v>Mid-low</v>
      </c>
      <c r="H1525">
        <v>0</v>
      </c>
      <c r="I1525">
        <v>1</v>
      </c>
      <c r="J1525">
        <v>1</v>
      </c>
      <c r="K1525" s="1">
        <v>41160</v>
      </c>
      <c r="L1525">
        <v>35</v>
      </c>
      <c r="M1525" t="str">
        <f t="shared" si="70"/>
        <v>Active</v>
      </c>
      <c r="N1525">
        <v>0</v>
      </c>
      <c r="O1525">
        <v>595</v>
      </c>
      <c r="P1525">
        <v>71</v>
      </c>
      <c r="Q1525">
        <v>153</v>
      </c>
      <c r="R1525">
        <v>120</v>
      </c>
      <c r="S1525">
        <v>112</v>
      </c>
      <c r="T1525">
        <v>41</v>
      </c>
      <c r="U1525">
        <v>1092</v>
      </c>
      <c r="V1525">
        <v>6</v>
      </c>
      <c r="W1525">
        <v>3</v>
      </c>
      <c r="X1525">
        <v>2</v>
      </c>
      <c r="Y1525">
        <v>10</v>
      </c>
      <c r="Z1525">
        <v>15</v>
      </c>
      <c r="AA1525">
        <v>9</v>
      </c>
      <c r="AB1525" t="str">
        <f t="shared" si="71"/>
        <v>Below average customer</v>
      </c>
    </row>
    <row r="1526" spans="1:28" x14ac:dyDescent="0.35">
      <c r="A1526">
        <v>252</v>
      </c>
      <c r="B1526">
        <v>1963</v>
      </c>
      <c r="C1526" t="s">
        <v>28</v>
      </c>
      <c r="D1526" t="s">
        <v>32</v>
      </c>
      <c r="E1526" t="s">
        <v>35</v>
      </c>
      <c r="F1526">
        <v>41003</v>
      </c>
      <c r="G1526" t="str">
        <f t="shared" si="69"/>
        <v>Mid-low</v>
      </c>
      <c r="H1526">
        <v>0</v>
      </c>
      <c r="I1526">
        <v>0</v>
      </c>
      <c r="J1526">
        <v>0</v>
      </c>
      <c r="K1526" s="1">
        <v>41350</v>
      </c>
      <c r="L1526">
        <v>11</v>
      </c>
      <c r="M1526" t="str">
        <f t="shared" si="70"/>
        <v>Active</v>
      </c>
      <c r="N1526">
        <v>0</v>
      </c>
      <c r="O1526">
        <v>123</v>
      </c>
      <c r="P1526">
        <v>133</v>
      </c>
      <c r="Q1526">
        <v>142</v>
      </c>
      <c r="R1526">
        <v>71</v>
      </c>
      <c r="S1526">
        <v>44</v>
      </c>
      <c r="T1526">
        <v>88</v>
      </c>
      <c r="U1526">
        <v>601</v>
      </c>
      <c r="V1526">
        <v>1</v>
      </c>
      <c r="W1526">
        <v>6</v>
      </c>
      <c r="X1526">
        <v>2</v>
      </c>
      <c r="Y1526">
        <v>8</v>
      </c>
      <c r="Z1526">
        <v>16</v>
      </c>
      <c r="AA1526">
        <v>6</v>
      </c>
      <c r="AB1526" t="str">
        <f t="shared" si="71"/>
        <v>Below average customer</v>
      </c>
    </row>
    <row r="1527" spans="1:28" x14ac:dyDescent="0.35">
      <c r="A1527">
        <v>9986</v>
      </c>
      <c r="B1527">
        <v>1982</v>
      </c>
      <c r="C1527" t="s">
        <v>31</v>
      </c>
      <c r="D1527" t="s">
        <v>26</v>
      </c>
      <c r="E1527" t="s">
        <v>29</v>
      </c>
      <c r="F1527">
        <v>19444</v>
      </c>
      <c r="G1527" t="str">
        <f t="shared" si="69"/>
        <v>Low</v>
      </c>
      <c r="H1527">
        <v>1</v>
      </c>
      <c r="I1527">
        <v>0</v>
      </c>
      <c r="J1527">
        <v>1</v>
      </c>
      <c r="K1527" s="1">
        <v>41692</v>
      </c>
      <c r="L1527">
        <v>8</v>
      </c>
      <c r="M1527" t="str">
        <f t="shared" si="70"/>
        <v>Active</v>
      </c>
      <c r="N1527">
        <v>0</v>
      </c>
      <c r="O1527">
        <v>16</v>
      </c>
      <c r="P1527">
        <v>0</v>
      </c>
      <c r="Q1527">
        <v>23</v>
      </c>
      <c r="R1527">
        <v>3</v>
      </c>
      <c r="S1527">
        <v>2</v>
      </c>
      <c r="T1527">
        <v>10</v>
      </c>
      <c r="U1527">
        <v>54</v>
      </c>
      <c r="V1527">
        <v>3</v>
      </c>
      <c r="W1527">
        <v>4</v>
      </c>
      <c r="X1527">
        <v>1</v>
      </c>
      <c r="Y1527">
        <v>2</v>
      </c>
      <c r="Z1527">
        <v>7</v>
      </c>
      <c r="AA1527">
        <v>7</v>
      </c>
      <c r="AB1527" t="str">
        <f t="shared" si="71"/>
        <v>Below average customer</v>
      </c>
    </row>
    <row r="1528" spans="1:28" x14ac:dyDescent="0.35">
      <c r="A1528">
        <v>3276</v>
      </c>
      <c r="B1528">
        <v>1976</v>
      </c>
      <c r="C1528" t="s">
        <v>31</v>
      </c>
      <c r="D1528" t="s">
        <v>34</v>
      </c>
      <c r="E1528" t="s">
        <v>29</v>
      </c>
      <c r="F1528">
        <v>36301</v>
      </c>
      <c r="G1528" t="str">
        <f t="shared" si="69"/>
        <v>Mid-low</v>
      </c>
      <c r="H1528">
        <v>1</v>
      </c>
      <c r="I1528">
        <v>0</v>
      </c>
      <c r="J1528">
        <v>1</v>
      </c>
      <c r="K1528" s="1">
        <v>41572</v>
      </c>
      <c r="L1528">
        <v>53</v>
      </c>
      <c r="M1528" t="str">
        <f t="shared" si="70"/>
        <v>Inactive</v>
      </c>
      <c r="N1528">
        <v>0</v>
      </c>
      <c r="O1528">
        <v>11</v>
      </c>
      <c r="P1528">
        <v>12</v>
      </c>
      <c r="Q1528">
        <v>35</v>
      </c>
      <c r="R1528">
        <v>3</v>
      </c>
      <c r="S1528">
        <v>5</v>
      </c>
      <c r="T1528">
        <v>12</v>
      </c>
      <c r="U1528">
        <v>78</v>
      </c>
      <c r="V1528">
        <v>1</v>
      </c>
      <c r="W1528">
        <v>3</v>
      </c>
      <c r="X1528">
        <v>0</v>
      </c>
      <c r="Y1528">
        <v>3</v>
      </c>
      <c r="Z1528">
        <v>6</v>
      </c>
      <c r="AA1528">
        <v>7</v>
      </c>
      <c r="AB1528" t="str">
        <f t="shared" si="71"/>
        <v>Below average customer</v>
      </c>
    </row>
    <row r="1529" spans="1:28" x14ac:dyDescent="0.35">
      <c r="A1529">
        <v>3570</v>
      </c>
      <c r="B1529">
        <v>1969</v>
      </c>
      <c r="C1529" t="s">
        <v>28</v>
      </c>
      <c r="D1529" t="s">
        <v>32</v>
      </c>
      <c r="E1529" t="s">
        <v>29</v>
      </c>
      <c r="F1529">
        <v>42731</v>
      </c>
      <c r="G1529" t="str">
        <f t="shared" si="69"/>
        <v>Mid-low</v>
      </c>
      <c r="H1529">
        <v>1</v>
      </c>
      <c r="I1529">
        <v>0</v>
      </c>
      <c r="J1529">
        <v>1</v>
      </c>
      <c r="K1529" s="1">
        <v>41568</v>
      </c>
      <c r="L1529">
        <v>64</v>
      </c>
      <c r="M1529" t="str">
        <f t="shared" si="70"/>
        <v>Inactive</v>
      </c>
      <c r="N1529">
        <v>0</v>
      </c>
      <c r="O1529">
        <v>159</v>
      </c>
      <c r="P1529">
        <v>2</v>
      </c>
      <c r="Q1529">
        <v>51</v>
      </c>
      <c r="R1529">
        <v>6</v>
      </c>
      <c r="S1529">
        <v>2</v>
      </c>
      <c r="T1529">
        <v>24</v>
      </c>
      <c r="U1529">
        <v>244</v>
      </c>
      <c r="V1529">
        <v>3</v>
      </c>
      <c r="W1529">
        <v>4</v>
      </c>
      <c r="X1529">
        <v>1</v>
      </c>
      <c r="Y1529">
        <v>5</v>
      </c>
      <c r="Z1529">
        <v>10</v>
      </c>
      <c r="AA1529">
        <v>5</v>
      </c>
      <c r="AB1529" t="str">
        <f t="shared" si="71"/>
        <v>Below average customer</v>
      </c>
    </row>
    <row r="1530" spans="1:28" x14ac:dyDescent="0.35">
      <c r="A1530">
        <v>3783</v>
      </c>
      <c r="B1530">
        <v>1959</v>
      </c>
      <c r="C1530" t="s">
        <v>25</v>
      </c>
      <c r="D1530" t="s">
        <v>32</v>
      </c>
      <c r="E1530" t="s">
        <v>33</v>
      </c>
      <c r="F1530">
        <v>52854</v>
      </c>
      <c r="G1530" t="str">
        <f t="shared" si="69"/>
        <v>Mid-high</v>
      </c>
      <c r="H1530">
        <v>1</v>
      </c>
      <c r="I1530">
        <v>1</v>
      </c>
      <c r="J1530">
        <v>2</v>
      </c>
      <c r="K1530" s="1">
        <v>41722</v>
      </c>
      <c r="L1530">
        <v>43</v>
      </c>
      <c r="M1530" t="str">
        <f t="shared" si="70"/>
        <v>Active</v>
      </c>
      <c r="N1530">
        <v>0</v>
      </c>
      <c r="O1530">
        <v>105</v>
      </c>
      <c r="P1530">
        <v>0</v>
      </c>
      <c r="Q1530">
        <v>10</v>
      </c>
      <c r="R1530">
        <v>0</v>
      </c>
      <c r="S1530">
        <v>1</v>
      </c>
      <c r="T1530">
        <v>0</v>
      </c>
      <c r="U1530">
        <v>116</v>
      </c>
      <c r="V1530">
        <v>2</v>
      </c>
      <c r="W1530">
        <v>2</v>
      </c>
      <c r="X1530">
        <v>1</v>
      </c>
      <c r="Y1530">
        <v>4</v>
      </c>
      <c r="Z1530">
        <v>7</v>
      </c>
      <c r="AA1530">
        <v>5</v>
      </c>
      <c r="AB1530" t="str">
        <f t="shared" si="71"/>
        <v>Below average customer</v>
      </c>
    </row>
    <row r="1531" spans="1:28" x14ac:dyDescent="0.35">
      <c r="A1531">
        <v>10207</v>
      </c>
      <c r="B1531">
        <v>1978</v>
      </c>
      <c r="C1531" t="s">
        <v>31</v>
      </c>
      <c r="D1531" t="s">
        <v>26</v>
      </c>
      <c r="E1531" t="s">
        <v>29</v>
      </c>
      <c r="F1531">
        <v>22775</v>
      </c>
      <c r="G1531" t="str">
        <f t="shared" si="69"/>
        <v>Low</v>
      </c>
      <c r="H1531">
        <v>1</v>
      </c>
      <c r="I1531">
        <v>0</v>
      </c>
      <c r="J1531">
        <v>1</v>
      </c>
      <c r="K1531" s="1">
        <v>41444</v>
      </c>
      <c r="L1531">
        <v>40</v>
      </c>
      <c r="M1531" t="str">
        <f t="shared" si="70"/>
        <v>Active</v>
      </c>
      <c r="N1531">
        <v>0</v>
      </c>
      <c r="O1531">
        <v>5</v>
      </c>
      <c r="P1531">
        <v>1</v>
      </c>
      <c r="Q1531">
        <v>8</v>
      </c>
      <c r="R1531">
        <v>0</v>
      </c>
      <c r="S1531">
        <v>0</v>
      </c>
      <c r="T1531">
        <v>1</v>
      </c>
      <c r="U1531">
        <v>15</v>
      </c>
      <c r="V1531">
        <v>1</v>
      </c>
      <c r="W1531">
        <v>1</v>
      </c>
      <c r="X1531">
        <v>0</v>
      </c>
      <c r="Y1531">
        <v>2</v>
      </c>
      <c r="Z1531">
        <v>3</v>
      </c>
      <c r="AA1531">
        <v>8</v>
      </c>
      <c r="AB1531" t="str">
        <f t="shared" si="71"/>
        <v>Below average customer</v>
      </c>
    </row>
    <row r="1532" spans="1:28" x14ac:dyDescent="0.35">
      <c r="A1532">
        <v>3427</v>
      </c>
      <c r="B1532">
        <v>1955</v>
      </c>
      <c r="C1532" t="s">
        <v>25</v>
      </c>
      <c r="D1532" t="s">
        <v>32</v>
      </c>
      <c r="E1532" t="s">
        <v>33</v>
      </c>
      <c r="F1532">
        <v>59821</v>
      </c>
      <c r="G1532" t="str">
        <f t="shared" si="69"/>
        <v>Mid-high</v>
      </c>
      <c r="H1532">
        <v>0</v>
      </c>
      <c r="I1532">
        <v>1</v>
      </c>
      <c r="J1532">
        <v>1</v>
      </c>
      <c r="K1532" s="1">
        <v>41376</v>
      </c>
      <c r="L1532">
        <v>11</v>
      </c>
      <c r="M1532" t="str">
        <f t="shared" si="70"/>
        <v>Active</v>
      </c>
      <c r="N1532">
        <v>0</v>
      </c>
      <c r="O1532">
        <v>629</v>
      </c>
      <c r="P1532">
        <v>0</v>
      </c>
      <c r="Q1532">
        <v>70</v>
      </c>
      <c r="R1532">
        <v>0</v>
      </c>
      <c r="S1532">
        <v>0</v>
      </c>
      <c r="T1532">
        <v>35</v>
      </c>
      <c r="U1532">
        <v>734</v>
      </c>
      <c r="V1532">
        <v>6</v>
      </c>
      <c r="W1532">
        <v>11</v>
      </c>
      <c r="X1532">
        <v>2</v>
      </c>
      <c r="Y1532">
        <v>7</v>
      </c>
      <c r="Z1532">
        <v>20</v>
      </c>
      <c r="AA1532">
        <v>8</v>
      </c>
      <c r="AB1532" t="str">
        <f t="shared" si="71"/>
        <v>Above average customer</v>
      </c>
    </row>
    <row r="1533" spans="1:28" x14ac:dyDescent="0.35">
      <c r="A1533">
        <v>5209</v>
      </c>
      <c r="B1533">
        <v>1954</v>
      </c>
      <c r="C1533" t="s">
        <v>25</v>
      </c>
      <c r="D1533" t="s">
        <v>26</v>
      </c>
      <c r="E1533" t="s">
        <v>35</v>
      </c>
      <c r="F1533">
        <v>50002</v>
      </c>
      <c r="G1533" t="str">
        <f t="shared" si="69"/>
        <v>Mid-low</v>
      </c>
      <c r="H1533">
        <v>0</v>
      </c>
      <c r="I1533">
        <v>1</v>
      </c>
      <c r="J1533">
        <v>1</v>
      </c>
      <c r="K1533" s="1">
        <v>41442</v>
      </c>
      <c r="L1533">
        <v>21</v>
      </c>
      <c r="M1533" t="str">
        <f t="shared" si="70"/>
        <v>Active</v>
      </c>
      <c r="N1533">
        <v>0</v>
      </c>
      <c r="O1533">
        <v>443</v>
      </c>
      <c r="P1533">
        <v>5</v>
      </c>
      <c r="Q1533">
        <v>71</v>
      </c>
      <c r="R1533">
        <v>21</v>
      </c>
      <c r="S1533">
        <v>16</v>
      </c>
      <c r="T1533">
        <v>82</v>
      </c>
      <c r="U1533">
        <v>638</v>
      </c>
      <c r="V1533">
        <v>2</v>
      </c>
      <c r="W1533">
        <v>8</v>
      </c>
      <c r="X1533">
        <v>2</v>
      </c>
      <c r="Y1533">
        <v>7</v>
      </c>
      <c r="Z1533">
        <v>17</v>
      </c>
      <c r="AA1533">
        <v>7</v>
      </c>
      <c r="AB1533" t="str">
        <f t="shared" si="71"/>
        <v>Below average customer</v>
      </c>
    </row>
    <row r="1534" spans="1:28" x14ac:dyDescent="0.35">
      <c r="A1534">
        <v>10711</v>
      </c>
      <c r="B1534">
        <v>1945</v>
      </c>
      <c r="C1534" t="s">
        <v>36</v>
      </c>
      <c r="D1534" t="s">
        <v>26</v>
      </c>
      <c r="E1534" t="s">
        <v>33</v>
      </c>
      <c r="F1534">
        <v>69755</v>
      </c>
      <c r="G1534" t="str">
        <f t="shared" si="69"/>
        <v>High</v>
      </c>
      <c r="H1534">
        <v>0</v>
      </c>
      <c r="I1534">
        <v>0</v>
      </c>
      <c r="J1534">
        <v>0</v>
      </c>
      <c r="K1534" s="1">
        <v>41549</v>
      </c>
      <c r="L1534">
        <v>23</v>
      </c>
      <c r="M1534" t="str">
        <f t="shared" si="70"/>
        <v>Active</v>
      </c>
      <c r="N1534">
        <v>0</v>
      </c>
      <c r="O1534">
        <v>217</v>
      </c>
      <c r="P1534">
        <v>77</v>
      </c>
      <c r="Q1534">
        <v>373</v>
      </c>
      <c r="R1534">
        <v>111</v>
      </c>
      <c r="S1534">
        <v>23</v>
      </c>
      <c r="T1534">
        <v>93</v>
      </c>
      <c r="U1534">
        <v>894</v>
      </c>
      <c r="V1534">
        <v>1</v>
      </c>
      <c r="W1534">
        <v>3</v>
      </c>
      <c r="X1534">
        <v>6</v>
      </c>
      <c r="Y1534">
        <v>12</v>
      </c>
      <c r="Z1534">
        <v>21</v>
      </c>
      <c r="AA1534">
        <v>1</v>
      </c>
      <c r="AB1534" t="str">
        <f t="shared" si="71"/>
        <v>Above average customer</v>
      </c>
    </row>
    <row r="1535" spans="1:28" x14ac:dyDescent="0.35">
      <c r="A1535">
        <v>10785</v>
      </c>
      <c r="B1535">
        <v>1969</v>
      </c>
      <c r="C1535" t="s">
        <v>28</v>
      </c>
      <c r="D1535" t="s">
        <v>26</v>
      </c>
      <c r="E1535" t="s">
        <v>33</v>
      </c>
      <c r="F1535">
        <v>44078</v>
      </c>
      <c r="G1535" t="str">
        <f t="shared" si="69"/>
        <v>Mid-low</v>
      </c>
      <c r="H1535">
        <v>1</v>
      </c>
      <c r="I1535">
        <v>1</v>
      </c>
      <c r="J1535">
        <v>2</v>
      </c>
      <c r="K1535" s="1">
        <v>41809</v>
      </c>
      <c r="L1535">
        <v>17</v>
      </c>
      <c r="M1535" t="str">
        <f t="shared" si="70"/>
        <v>Active</v>
      </c>
      <c r="N1535">
        <v>0</v>
      </c>
      <c r="O1535">
        <v>24</v>
      </c>
      <c r="P1535">
        <v>1</v>
      </c>
      <c r="Q1535">
        <v>10</v>
      </c>
      <c r="R1535">
        <v>2</v>
      </c>
      <c r="S1535">
        <v>0</v>
      </c>
      <c r="T1535">
        <v>4</v>
      </c>
      <c r="U1535">
        <v>41</v>
      </c>
      <c r="V1535">
        <v>2</v>
      </c>
      <c r="W1535">
        <v>2</v>
      </c>
      <c r="X1535">
        <v>0</v>
      </c>
      <c r="Y1535">
        <v>3</v>
      </c>
      <c r="Z1535">
        <v>5</v>
      </c>
      <c r="AA1535">
        <v>5</v>
      </c>
      <c r="AB1535" t="str">
        <f t="shared" si="71"/>
        <v>Below average customer</v>
      </c>
    </row>
    <row r="1536" spans="1:28" x14ac:dyDescent="0.35">
      <c r="A1536">
        <v>2814</v>
      </c>
      <c r="B1536">
        <v>1976</v>
      </c>
      <c r="C1536" t="s">
        <v>31</v>
      </c>
      <c r="D1536" t="s">
        <v>34</v>
      </c>
      <c r="E1536" t="s">
        <v>29</v>
      </c>
      <c r="F1536">
        <v>30560</v>
      </c>
      <c r="G1536" t="str">
        <f t="shared" si="69"/>
        <v>Low</v>
      </c>
      <c r="H1536">
        <v>1</v>
      </c>
      <c r="I1536">
        <v>0</v>
      </c>
      <c r="J1536">
        <v>1</v>
      </c>
      <c r="K1536" s="1">
        <v>41452</v>
      </c>
      <c r="L1536">
        <v>6</v>
      </c>
      <c r="M1536" t="str">
        <f t="shared" si="70"/>
        <v>Active</v>
      </c>
      <c r="N1536">
        <v>0</v>
      </c>
      <c r="O1536">
        <v>9</v>
      </c>
      <c r="P1536">
        <v>1</v>
      </c>
      <c r="Q1536">
        <v>5</v>
      </c>
      <c r="R1536">
        <v>4</v>
      </c>
      <c r="S1536">
        <v>5</v>
      </c>
      <c r="T1536">
        <v>7</v>
      </c>
      <c r="U1536">
        <v>31</v>
      </c>
      <c r="V1536">
        <v>1</v>
      </c>
      <c r="W1536">
        <v>1</v>
      </c>
      <c r="X1536">
        <v>0</v>
      </c>
      <c r="Y1536">
        <v>3</v>
      </c>
      <c r="Z1536">
        <v>4</v>
      </c>
      <c r="AA1536">
        <v>7</v>
      </c>
      <c r="AB1536" t="str">
        <f t="shared" si="71"/>
        <v>Below average customer</v>
      </c>
    </row>
    <row r="1537" spans="1:28" x14ac:dyDescent="0.35">
      <c r="A1537">
        <v>6866</v>
      </c>
      <c r="B1537">
        <v>1969</v>
      </c>
      <c r="C1537" t="s">
        <v>28</v>
      </c>
      <c r="D1537" t="s">
        <v>34</v>
      </c>
      <c r="E1537" t="s">
        <v>29</v>
      </c>
      <c r="F1537">
        <v>35924</v>
      </c>
      <c r="G1537" t="str">
        <f t="shared" si="69"/>
        <v>Mid-low</v>
      </c>
      <c r="H1537">
        <v>1</v>
      </c>
      <c r="I1537">
        <v>1</v>
      </c>
      <c r="J1537">
        <v>2</v>
      </c>
      <c r="K1537" s="1">
        <v>41721</v>
      </c>
      <c r="L1537">
        <v>56</v>
      </c>
      <c r="M1537" t="str">
        <f t="shared" si="70"/>
        <v>Inactive</v>
      </c>
      <c r="N1537">
        <v>0</v>
      </c>
      <c r="O1537">
        <v>8</v>
      </c>
      <c r="P1537">
        <v>0</v>
      </c>
      <c r="Q1537">
        <v>14</v>
      </c>
      <c r="R1537">
        <v>2</v>
      </c>
      <c r="S1537">
        <v>3</v>
      </c>
      <c r="T1537">
        <v>7</v>
      </c>
      <c r="U1537">
        <v>34</v>
      </c>
      <c r="V1537">
        <v>1</v>
      </c>
      <c r="W1537">
        <v>1</v>
      </c>
      <c r="X1537">
        <v>0</v>
      </c>
      <c r="Y1537">
        <v>3</v>
      </c>
      <c r="Z1537">
        <v>4</v>
      </c>
      <c r="AA1537">
        <v>5</v>
      </c>
      <c r="AB1537" t="str">
        <f t="shared" si="71"/>
        <v>Below average customer</v>
      </c>
    </row>
    <row r="1538" spans="1:28" x14ac:dyDescent="0.35">
      <c r="A1538">
        <v>1665</v>
      </c>
      <c r="B1538">
        <v>1964</v>
      </c>
      <c r="C1538" t="s">
        <v>28</v>
      </c>
      <c r="D1538" t="s">
        <v>32</v>
      </c>
      <c r="E1538" t="s">
        <v>35</v>
      </c>
      <c r="F1538">
        <v>64140</v>
      </c>
      <c r="G1538" t="str">
        <f t="shared" ref="G1538:G1601" si="72">IF(F1538&lt;=_xlfn.PERCENTILE.INC($F$2:$F$2056,0.25),"Low",IF(F1538&lt;=_xlfn.PERCENTILE.INC($F$2:$F$2056,0.5),"Mid-low",IF(F1538&lt;=_xlfn.PERCENTILE.INC($F$2:$F$2056,0.75),"Mid-high","High")))</f>
        <v>Mid-high</v>
      </c>
      <c r="H1538">
        <v>0</v>
      </c>
      <c r="I1538">
        <v>2</v>
      </c>
      <c r="J1538">
        <v>2</v>
      </c>
      <c r="K1538" s="1">
        <v>41540</v>
      </c>
      <c r="L1538">
        <v>71</v>
      </c>
      <c r="M1538" t="str">
        <f t="shared" ref="M1538:M1601" si="73">IF(L1538&gt;AVERAGE($L$2:$L$2056),"Inactive","Active")</f>
        <v>Inactive</v>
      </c>
      <c r="N1538">
        <v>0</v>
      </c>
      <c r="O1538">
        <v>1459</v>
      </c>
      <c r="P1538">
        <v>0</v>
      </c>
      <c r="Q1538">
        <v>61</v>
      </c>
      <c r="R1538">
        <v>0</v>
      </c>
      <c r="S1538">
        <v>15</v>
      </c>
      <c r="T1538">
        <v>215</v>
      </c>
      <c r="U1538">
        <v>1750</v>
      </c>
      <c r="V1538">
        <v>5</v>
      </c>
      <c r="W1538">
        <v>2</v>
      </c>
      <c r="X1538">
        <v>5</v>
      </c>
      <c r="Y1538">
        <v>6</v>
      </c>
      <c r="Z1538">
        <v>13</v>
      </c>
      <c r="AA1538">
        <v>5</v>
      </c>
      <c r="AB1538" t="str">
        <f t="shared" ref="AB1538:AB1601" si="74">IF(AND(Z1538&gt;AVERAGE($Z$2:$Z$2056),U1538&gt;AVERAGE($U$2:$U$2056),N1538=0,L1538&lt;AVERAGE($L$2:$L$2056),F1538&gt;AVERAGE($F$2:$F$2240)),"Above average customer","Below average customer")</f>
        <v>Below average customer</v>
      </c>
    </row>
    <row r="1539" spans="1:28" x14ac:dyDescent="0.35">
      <c r="A1539">
        <v>6575</v>
      </c>
      <c r="B1539">
        <v>1981</v>
      </c>
      <c r="C1539" t="s">
        <v>31</v>
      </c>
      <c r="D1539" t="s">
        <v>26</v>
      </c>
      <c r="E1539" t="s">
        <v>29</v>
      </c>
      <c r="F1539">
        <v>56386</v>
      </c>
      <c r="G1539" t="str">
        <f t="shared" si="72"/>
        <v>Mid-high</v>
      </c>
      <c r="H1539">
        <v>1</v>
      </c>
      <c r="I1539">
        <v>1</v>
      </c>
      <c r="J1539">
        <v>2</v>
      </c>
      <c r="K1539" s="1">
        <v>41209</v>
      </c>
      <c r="L1539">
        <v>51</v>
      </c>
      <c r="M1539" t="str">
        <f t="shared" si="73"/>
        <v>Inactive</v>
      </c>
      <c r="N1539">
        <v>0</v>
      </c>
      <c r="O1539">
        <v>230</v>
      </c>
      <c r="P1539">
        <v>48</v>
      </c>
      <c r="Q1539">
        <v>214</v>
      </c>
      <c r="R1539">
        <v>13</v>
      </c>
      <c r="S1539">
        <v>32</v>
      </c>
      <c r="T1539">
        <v>75</v>
      </c>
      <c r="U1539">
        <v>612</v>
      </c>
      <c r="V1539">
        <v>8</v>
      </c>
      <c r="W1539">
        <v>9</v>
      </c>
      <c r="X1539">
        <v>1</v>
      </c>
      <c r="Y1539">
        <v>7</v>
      </c>
      <c r="Z1539">
        <v>17</v>
      </c>
      <c r="AA1539">
        <v>9</v>
      </c>
      <c r="AB1539" t="str">
        <f t="shared" si="74"/>
        <v>Below average customer</v>
      </c>
    </row>
    <row r="1540" spans="1:28" x14ac:dyDescent="0.35">
      <c r="A1540">
        <v>3091</v>
      </c>
      <c r="B1540">
        <v>1981</v>
      </c>
      <c r="C1540" t="s">
        <v>31</v>
      </c>
      <c r="D1540" t="s">
        <v>34</v>
      </c>
      <c r="E1540" t="s">
        <v>29</v>
      </c>
      <c r="F1540">
        <v>75774</v>
      </c>
      <c r="G1540" t="str">
        <f t="shared" si="72"/>
        <v>High</v>
      </c>
      <c r="H1540">
        <v>1</v>
      </c>
      <c r="I1540">
        <v>0</v>
      </c>
      <c r="J1540">
        <v>1</v>
      </c>
      <c r="K1540" s="1">
        <v>41761</v>
      </c>
      <c r="L1540">
        <v>27</v>
      </c>
      <c r="M1540" t="str">
        <f t="shared" si="73"/>
        <v>Active</v>
      </c>
      <c r="N1540">
        <v>0</v>
      </c>
      <c r="O1540">
        <v>340</v>
      </c>
      <c r="P1540">
        <v>21</v>
      </c>
      <c r="Q1540">
        <v>134</v>
      </c>
      <c r="R1540">
        <v>258</v>
      </c>
      <c r="S1540">
        <v>14</v>
      </c>
      <c r="T1540">
        <v>56</v>
      </c>
      <c r="U1540">
        <v>823</v>
      </c>
      <c r="V1540">
        <v>1</v>
      </c>
      <c r="W1540">
        <v>7</v>
      </c>
      <c r="X1540">
        <v>5</v>
      </c>
      <c r="Y1540">
        <v>8</v>
      </c>
      <c r="Z1540">
        <v>20</v>
      </c>
      <c r="AA1540">
        <v>4</v>
      </c>
      <c r="AB1540" t="str">
        <f t="shared" si="74"/>
        <v>Above average customer</v>
      </c>
    </row>
    <row r="1541" spans="1:28" x14ac:dyDescent="0.35">
      <c r="A1541">
        <v>10141</v>
      </c>
      <c r="B1541">
        <v>1960</v>
      </c>
      <c r="C1541" t="s">
        <v>25</v>
      </c>
      <c r="D1541" t="s">
        <v>34</v>
      </c>
      <c r="E1541" t="s">
        <v>35</v>
      </c>
      <c r="F1541">
        <v>39228</v>
      </c>
      <c r="G1541" t="str">
        <f t="shared" si="72"/>
        <v>Mid-low</v>
      </c>
      <c r="H1541">
        <v>0</v>
      </c>
      <c r="I1541">
        <v>0</v>
      </c>
      <c r="J1541">
        <v>0</v>
      </c>
      <c r="K1541" s="1">
        <v>41404</v>
      </c>
      <c r="L1541">
        <v>1</v>
      </c>
      <c r="M1541" t="str">
        <f t="shared" si="73"/>
        <v>Active</v>
      </c>
      <c r="N1541">
        <v>0</v>
      </c>
      <c r="O1541">
        <v>7</v>
      </c>
      <c r="P1541">
        <v>1</v>
      </c>
      <c r="Q1541">
        <v>6</v>
      </c>
      <c r="R1541">
        <v>0</v>
      </c>
      <c r="S1541">
        <v>3</v>
      </c>
      <c r="T1541">
        <v>3</v>
      </c>
      <c r="U1541">
        <v>20</v>
      </c>
      <c r="V1541">
        <v>1</v>
      </c>
      <c r="W1541">
        <v>0</v>
      </c>
      <c r="X1541">
        <v>0</v>
      </c>
      <c r="Y1541">
        <v>3</v>
      </c>
      <c r="Z1541">
        <v>3</v>
      </c>
      <c r="AA1541">
        <v>4</v>
      </c>
      <c r="AB1541" t="str">
        <f t="shared" si="74"/>
        <v>Below average customer</v>
      </c>
    </row>
    <row r="1542" spans="1:28" x14ac:dyDescent="0.35">
      <c r="A1542">
        <v>5177</v>
      </c>
      <c r="B1542">
        <v>1974</v>
      </c>
      <c r="C1542" t="s">
        <v>31</v>
      </c>
      <c r="D1542" t="s">
        <v>34</v>
      </c>
      <c r="E1542" t="s">
        <v>33</v>
      </c>
      <c r="F1542">
        <v>58494</v>
      </c>
      <c r="G1542" t="str">
        <f t="shared" si="72"/>
        <v>Mid-high</v>
      </c>
      <c r="H1542">
        <v>0</v>
      </c>
      <c r="I1542">
        <v>1</v>
      </c>
      <c r="J1542">
        <v>1</v>
      </c>
      <c r="K1542" s="1">
        <v>41620</v>
      </c>
      <c r="L1542">
        <v>56</v>
      </c>
      <c r="M1542" t="str">
        <f t="shared" si="73"/>
        <v>Inactive</v>
      </c>
      <c r="N1542">
        <v>0</v>
      </c>
      <c r="O1542">
        <v>298</v>
      </c>
      <c r="P1542">
        <v>7</v>
      </c>
      <c r="Q1542">
        <v>68</v>
      </c>
      <c r="R1542">
        <v>4</v>
      </c>
      <c r="S1542">
        <v>0</v>
      </c>
      <c r="T1542">
        <v>19</v>
      </c>
      <c r="U1542">
        <v>396</v>
      </c>
      <c r="V1542">
        <v>2</v>
      </c>
      <c r="W1542">
        <v>6</v>
      </c>
      <c r="X1542">
        <v>2</v>
      </c>
      <c r="Y1542">
        <v>6</v>
      </c>
      <c r="Z1542">
        <v>14</v>
      </c>
      <c r="AA1542">
        <v>6</v>
      </c>
      <c r="AB1542" t="str">
        <f t="shared" si="74"/>
        <v>Below average customer</v>
      </c>
    </row>
    <row r="1543" spans="1:28" x14ac:dyDescent="0.35">
      <c r="A1543">
        <v>7005</v>
      </c>
      <c r="B1543">
        <v>1981</v>
      </c>
      <c r="C1543" t="s">
        <v>31</v>
      </c>
      <c r="D1543" t="s">
        <v>26</v>
      </c>
      <c r="E1543" t="s">
        <v>27</v>
      </c>
      <c r="F1543">
        <v>58684</v>
      </c>
      <c r="G1543" t="str">
        <f t="shared" si="72"/>
        <v>Mid-high</v>
      </c>
      <c r="H1543">
        <v>0</v>
      </c>
      <c r="I1543">
        <v>0</v>
      </c>
      <c r="J1543">
        <v>0</v>
      </c>
      <c r="K1543" s="1">
        <v>41806</v>
      </c>
      <c r="L1543">
        <v>71</v>
      </c>
      <c r="M1543" t="str">
        <f t="shared" si="73"/>
        <v>Inactive</v>
      </c>
      <c r="N1543">
        <v>0</v>
      </c>
      <c r="O1543">
        <v>479</v>
      </c>
      <c r="P1543">
        <v>35</v>
      </c>
      <c r="Q1543">
        <v>179</v>
      </c>
      <c r="R1543">
        <v>28</v>
      </c>
      <c r="S1543">
        <v>7</v>
      </c>
      <c r="T1543">
        <v>85</v>
      </c>
      <c r="U1543">
        <v>813</v>
      </c>
      <c r="V1543">
        <v>1</v>
      </c>
      <c r="W1543">
        <v>5</v>
      </c>
      <c r="X1543">
        <v>3</v>
      </c>
      <c r="Y1543">
        <v>12</v>
      </c>
      <c r="Z1543">
        <v>20</v>
      </c>
      <c r="AA1543">
        <v>2</v>
      </c>
      <c r="AB1543" t="str">
        <f t="shared" si="74"/>
        <v>Below average customer</v>
      </c>
    </row>
    <row r="1544" spans="1:28" x14ac:dyDescent="0.35">
      <c r="A1544">
        <v>6409</v>
      </c>
      <c r="B1544">
        <v>1967</v>
      </c>
      <c r="C1544" t="s">
        <v>28</v>
      </c>
      <c r="D1544" t="s">
        <v>26</v>
      </c>
      <c r="E1544" t="s">
        <v>35</v>
      </c>
      <c r="F1544">
        <v>57136</v>
      </c>
      <c r="G1544" t="str">
        <f t="shared" si="72"/>
        <v>Mid-high</v>
      </c>
      <c r="H1544">
        <v>0</v>
      </c>
      <c r="I1544">
        <v>0</v>
      </c>
      <c r="J1544">
        <v>0</v>
      </c>
      <c r="K1544" s="1">
        <v>41412</v>
      </c>
      <c r="L1544">
        <v>18</v>
      </c>
      <c r="M1544" t="str">
        <f t="shared" si="73"/>
        <v>Active</v>
      </c>
      <c r="N1544">
        <v>0</v>
      </c>
      <c r="O1544">
        <v>267</v>
      </c>
      <c r="P1544">
        <v>140</v>
      </c>
      <c r="Q1544">
        <v>599</v>
      </c>
      <c r="R1544">
        <v>34</v>
      </c>
      <c r="S1544">
        <v>12</v>
      </c>
      <c r="T1544">
        <v>127</v>
      </c>
      <c r="U1544">
        <v>1179</v>
      </c>
      <c r="V1544">
        <v>1</v>
      </c>
      <c r="W1544">
        <v>7</v>
      </c>
      <c r="X1544">
        <v>5</v>
      </c>
      <c r="Y1544">
        <v>7</v>
      </c>
      <c r="Z1544">
        <v>19</v>
      </c>
      <c r="AA1544">
        <v>6</v>
      </c>
      <c r="AB1544" t="str">
        <f t="shared" si="74"/>
        <v>Above average customer</v>
      </c>
    </row>
    <row r="1545" spans="1:28" x14ac:dyDescent="0.35">
      <c r="A1545">
        <v>7485</v>
      </c>
      <c r="B1545">
        <v>1950</v>
      </c>
      <c r="C1545" t="s">
        <v>36</v>
      </c>
      <c r="D1545" t="s">
        <v>32</v>
      </c>
      <c r="E1545" t="s">
        <v>38</v>
      </c>
      <c r="F1545">
        <v>56551</v>
      </c>
      <c r="G1545" t="str">
        <f t="shared" si="72"/>
        <v>Mid-high</v>
      </c>
      <c r="H1545">
        <v>1</v>
      </c>
      <c r="I1545">
        <v>1</v>
      </c>
      <c r="J1545">
        <v>2</v>
      </c>
      <c r="K1545" s="1">
        <v>41766</v>
      </c>
      <c r="L1545">
        <v>48</v>
      </c>
      <c r="M1545" t="str">
        <f t="shared" si="73"/>
        <v>Active</v>
      </c>
      <c r="N1545">
        <v>0</v>
      </c>
      <c r="O1545">
        <v>67</v>
      </c>
      <c r="P1545">
        <v>4</v>
      </c>
      <c r="Q1545">
        <v>32</v>
      </c>
      <c r="R1545">
        <v>17</v>
      </c>
      <c r="S1545">
        <v>2</v>
      </c>
      <c r="T1545">
        <v>16</v>
      </c>
      <c r="U1545">
        <v>138</v>
      </c>
      <c r="V1545">
        <v>3</v>
      </c>
      <c r="W1545">
        <v>2</v>
      </c>
      <c r="X1545">
        <v>1</v>
      </c>
      <c r="Y1545">
        <v>4</v>
      </c>
      <c r="Z1545">
        <v>7</v>
      </c>
      <c r="AA1545">
        <v>4</v>
      </c>
      <c r="AB1545" t="str">
        <f t="shared" si="74"/>
        <v>Below average customer</v>
      </c>
    </row>
    <row r="1546" spans="1:28" x14ac:dyDescent="0.35">
      <c r="A1546">
        <v>8079</v>
      </c>
      <c r="B1546">
        <v>1982</v>
      </c>
      <c r="C1546" t="s">
        <v>31</v>
      </c>
      <c r="D1546" t="s">
        <v>26</v>
      </c>
      <c r="E1546" t="s">
        <v>33</v>
      </c>
      <c r="F1546">
        <v>22448</v>
      </c>
      <c r="G1546" t="str">
        <f t="shared" si="72"/>
        <v>Low</v>
      </c>
      <c r="H1546">
        <v>1</v>
      </c>
      <c r="I1546">
        <v>0</v>
      </c>
      <c r="J1546">
        <v>1</v>
      </c>
      <c r="K1546" s="1">
        <v>41696</v>
      </c>
      <c r="L1546">
        <v>86</v>
      </c>
      <c r="M1546" t="str">
        <f t="shared" si="73"/>
        <v>Inactive</v>
      </c>
      <c r="N1546">
        <v>0</v>
      </c>
      <c r="O1546">
        <v>3</v>
      </c>
      <c r="P1546">
        <v>1</v>
      </c>
      <c r="Q1546">
        <v>8</v>
      </c>
      <c r="R1546">
        <v>23</v>
      </c>
      <c r="S1546">
        <v>2</v>
      </c>
      <c r="T1546">
        <v>18</v>
      </c>
      <c r="U1546">
        <v>55</v>
      </c>
      <c r="V1546">
        <v>3</v>
      </c>
      <c r="W1546">
        <v>2</v>
      </c>
      <c r="X1546">
        <v>1</v>
      </c>
      <c r="Y1546">
        <v>3</v>
      </c>
      <c r="Z1546">
        <v>6</v>
      </c>
      <c r="AA1546">
        <v>3</v>
      </c>
      <c r="AB1546" t="str">
        <f t="shared" si="74"/>
        <v>Below average customer</v>
      </c>
    </row>
    <row r="1547" spans="1:28" x14ac:dyDescent="0.35">
      <c r="A1547">
        <v>8395</v>
      </c>
      <c r="B1547">
        <v>1961</v>
      </c>
      <c r="C1547" t="s">
        <v>25</v>
      </c>
      <c r="D1547" t="s">
        <v>26</v>
      </c>
      <c r="E1547" t="s">
        <v>27</v>
      </c>
      <c r="F1547">
        <v>82014</v>
      </c>
      <c r="G1547" t="str">
        <f t="shared" si="72"/>
        <v>High</v>
      </c>
      <c r="H1547">
        <v>0</v>
      </c>
      <c r="I1547">
        <v>0</v>
      </c>
      <c r="J1547">
        <v>0</v>
      </c>
      <c r="K1547" s="1">
        <v>41141</v>
      </c>
      <c r="L1547">
        <v>48</v>
      </c>
      <c r="M1547" t="str">
        <f t="shared" si="73"/>
        <v>Active</v>
      </c>
      <c r="N1547">
        <v>0</v>
      </c>
      <c r="O1547">
        <v>980</v>
      </c>
      <c r="P1547">
        <v>37</v>
      </c>
      <c r="Q1547">
        <v>265</v>
      </c>
      <c r="R1547">
        <v>35</v>
      </c>
      <c r="S1547">
        <v>163</v>
      </c>
      <c r="T1547">
        <v>31</v>
      </c>
      <c r="U1547">
        <v>1511</v>
      </c>
      <c r="V1547">
        <v>1</v>
      </c>
      <c r="W1547">
        <v>3</v>
      </c>
      <c r="X1547">
        <v>6</v>
      </c>
      <c r="Y1547">
        <v>12</v>
      </c>
      <c r="Z1547">
        <v>21</v>
      </c>
      <c r="AA1547">
        <v>6</v>
      </c>
      <c r="AB1547" t="str">
        <f t="shared" si="74"/>
        <v>Above average customer</v>
      </c>
    </row>
    <row r="1548" spans="1:28" x14ac:dyDescent="0.35">
      <c r="A1548">
        <v>10352</v>
      </c>
      <c r="B1548">
        <v>1963</v>
      </c>
      <c r="C1548" t="s">
        <v>28</v>
      </c>
      <c r="D1548" t="s">
        <v>26</v>
      </c>
      <c r="E1548" t="s">
        <v>38</v>
      </c>
      <c r="F1548">
        <v>34213</v>
      </c>
      <c r="G1548" t="str">
        <f t="shared" si="72"/>
        <v>Low</v>
      </c>
      <c r="H1548">
        <v>1</v>
      </c>
      <c r="I1548">
        <v>1</v>
      </c>
      <c r="J1548">
        <v>2</v>
      </c>
      <c r="K1548" s="1">
        <v>41159</v>
      </c>
      <c r="L1548">
        <v>2</v>
      </c>
      <c r="M1548" t="str">
        <f t="shared" si="73"/>
        <v>Active</v>
      </c>
      <c r="N1548">
        <v>0</v>
      </c>
      <c r="O1548">
        <v>50</v>
      </c>
      <c r="P1548">
        <v>4</v>
      </c>
      <c r="Q1548">
        <v>28</v>
      </c>
      <c r="R1548">
        <v>6</v>
      </c>
      <c r="S1548">
        <v>3</v>
      </c>
      <c r="T1548">
        <v>26</v>
      </c>
      <c r="U1548">
        <v>117</v>
      </c>
      <c r="V1548">
        <v>3</v>
      </c>
      <c r="W1548">
        <v>3</v>
      </c>
      <c r="X1548">
        <v>1</v>
      </c>
      <c r="Y1548">
        <v>2</v>
      </c>
      <c r="Z1548">
        <v>6</v>
      </c>
      <c r="AA1548">
        <v>9</v>
      </c>
      <c r="AB1548" t="str">
        <f t="shared" si="74"/>
        <v>Below average customer</v>
      </c>
    </row>
    <row r="1549" spans="1:28" x14ac:dyDescent="0.35">
      <c r="A1549">
        <v>4931</v>
      </c>
      <c r="B1549">
        <v>1977</v>
      </c>
      <c r="C1549" t="s">
        <v>31</v>
      </c>
      <c r="D1549" t="s">
        <v>26</v>
      </c>
      <c r="E1549" t="s">
        <v>29</v>
      </c>
      <c r="F1549">
        <v>157146</v>
      </c>
      <c r="G1549" t="str">
        <f t="shared" si="72"/>
        <v>High</v>
      </c>
      <c r="H1549">
        <v>0</v>
      </c>
      <c r="I1549">
        <v>0</v>
      </c>
      <c r="J1549">
        <v>0</v>
      </c>
      <c r="K1549" s="1">
        <v>41393</v>
      </c>
      <c r="L1549">
        <v>13</v>
      </c>
      <c r="M1549" t="str">
        <f t="shared" si="73"/>
        <v>Active</v>
      </c>
      <c r="N1549">
        <v>0</v>
      </c>
      <c r="O1549">
        <v>1</v>
      </c>
      <c r="P1549">
        <v>0</v>
      </c>
      <c r="Q1549">
        <v>1725</v>
      </c>
      <c r="R1549">
        <v>2</v>
      </c>
      <c r="S1549">
        <v>1</v>
      </c>
      <c r="T1549">
        <v>1</v>
      </c>
      <c r="U1549">
        <v>1730</v>
      </c>
      <c r="V1549">
        <v>0</v>
      </c>
      <c r="W1549">
        <v>0</v>
      </c>
      <c r="X1549">
        <v>28</v>
      </c>
      <c r="Y1549">
        <v>0</v>
      </c>
      <c r="Z1549">
        <v>28</v>
      </c>
      <c r="AA1549">
        <v>1</v>
      </c>
      <c r="AB1549" t="str">
        <f t="shared" si="74"/>
        <v>Above average customer</v>
      </c>
    </row>
    <row r="1550" spans="1:28" x14ac:dyDescent="0.35">
      <c r="A1550">
        <v>13</v>
      </c>
      <c r="B1550">
        <v>1947</v>
      </c>
      <c r="C1550" t="s">
        <v>39</v>
      </c>
      <c r="D1550" t="s">
        <v>32</v>
      </c>
      <c r="E1550" t="s">
        <v>38</v>
      </c>
      <c r="F1550">
        <v>25358</v>
      </c>
      <c r="G1550" t="str">
        <f t="shared" si="72"/>
        <v>Low</v>
      </c>
      <c r="H1550">
        <v>0</v>
      </c>
      <c r="I1550">
        <v>1</v>
      </c>
      <c r="J1550">
        <v>1</v>
      </c>
      <c r="K1550" s="1">
        <v>41477</v>
      </c>
      <c r="L1550">
        <v>57</v>
      </c>
      <c r="M1550" t="str">
        <f t="shared" si="73"/>
        <v>Inactive</v>
      </c>
      <c r="N1550">
        <v>0</v>
      </c>
      <c r="O1550">
        <v>19</v>
      </c>
      <c r="P1550">
        <v>0</v>
      </c>
      <c r="Q1550">
        <v>5</v>
      </c>
      <c r="R1550">
        <v>0</v>
      </c>
      <c r="S1550">
        <v>0</v>
      </c>
      <c r="T1550">
        <v>8</v>
      </c>
      <c r="U1550">
        <v>32</v>
      </c>
      <c r="V1550">
        <v>2</v>
      </c>
      <c r="W1550">
        <v>1</v>
      </c>
      <c r="X1550">
        <v>0</v>
      </c>
      <c r="Y1550">
        <v>3</v>
      </c>
      <c r="Z1550">
        <v>4</v>
      </c>
      <c r="AA1550">
        <v>6</v>
      </c>
      <c r="AB1550" t="str">
        <f t="shared" si="74"/>
        <v>Below average customer</v>
      </c>
    </row>
    <row r="1551" spans="1:28" x14ac:dyDescent="0.35">
      <c r="A1551">
        <v>1834</v>
      </c>
      <c r="B1551">
        <v>1978</v>
      </c>
      <c r="C1551" t="s">
        <v>31</v>
      </c>
      <c r="D1551" t="s">
        <v>34</v>
      </c>
      <c r="E1551" t="s">
        <v>27</v>
      </c>
      <c r="F1551">
        <v>35544</v>
      </c>
      <c r="G1551" t="str">
        <f t="shared" si="72"/>
        <v>Mid-low</v>
      </c>
      <c r="H1551">
        <v>1</v>
      </c>
      <c r="I1551">
        <v>0</v>
      </c>
      <c r="J1551">
        <v>1</v>
      </c>
      <c r="K1551" s="1">
        <v>41706</v>
      </c>
      <c r="L1551">
        <v>77</v>
      </c>
      <c r="M1551" t="str">
        <f t="shared" si="73"/>
        <v>Inactive</v>
      </c>
      <c r="N1551">
        <v>0</v>
      </c>
      <c r="O1551">
        <v>30</v>
      </c>
      <c r="P1551">
        <v>5</v>
      </c>
      <c r="Q1551">
        <v>23</v>
      </c>
      <c r="R1551">
        <v>4</v>
      </c>
      <c r="S1551">
        <v>1</v>
      </c>
      <c r="T1551">
        <v>4</v>
      </c>
      <c r="U1551">
        <v>67</v>
      </c>
      <c r="V1551">
        <v>1</v>
      </c>
      <c r="W1551">
        <v>2</v>
      </c>
      <c r="X1551">
        <v>0</v>
      </c>
      <c r="Y1551">
        <v>3</v>
      </c>
      <c r="Z1551">
        <v>5</v>
      </c>
      <c r="AA1551">
        <v>7</v>
      </c>
      <c r="AB1551" t="str">
        <f t="shared" si="74"/>
        <v>Below average customer</v>
      </c>
    </row>
    <row r="1552" spans="1:28" x14ac:dyDescent="0.35">
      <c r="A1552">
        <v>2285</v>
      </c>
      <c r="B1552">
        <v>1954</v>
      </c>
      <c r="C1552" t="s">
        <v>25</v>
      </c>
      <c r="D1552" t="s">
        <v>34</v>
      </c>
      <c r="E1552" t="s">
        <v>29</v>
      </c>
      <c r="F1552">
        <v>36634</v>
      </c>
      <c r="G1552" t="str">
        <f t="shared" si="72"/>
        <v>Mid-low</v>
      </c>
      <c r="H1552">
        <v>0</v>
      </c>
      <c r="I1552">
        <v>1</v>
      </c>
      <c r="J1552">
        <v>1</v>
      </c>
      <c r="K1552" s="1">
        <v>41422</v>
      </c>
      <c r="L1552">
        <v>0</v>
      </c>
      <c r="M1552" t="str">
        <f t="shared" si="73"/>
        <v>Active</v>
      </c>
      <c r="N1552">
        <v>0</v>
      </c>
      <c r="O1552">
        <v>213</v>
      </c>
      <c r="P1552">
        <v>9</v>
      </c>
      <c r="Q1552">
        <v>76</v>
      </c>
      <c r="R1552">
        <v>4</v>
      </c>
      <c r="S1552">
        <v>3</v>
      </c>
      <c r="T1552">
        <v>30</v>
      </c>
      <c r="U1552">
        <v>335</v>
      </c>
      <c r="V1552">
        <v>3</v>
      </c>
      <c r="W1552">
        <v>5</v>
      </c>
      <c r="X1552">
        <v>2</v>
      </c>
      <c r="Y1552">
        <v>5</v>
      </c>
      <c r="Z1552">
        <v>12</v>
      </c>
      <c r="AA1552">
        <v>7</v>
      </c>
      <c r="AB1552" t="str">
        <f t="shared" si="74"/>
        <v>Below average customer</v>
      </c>
    </row>
    <row r="1553" spans="1:28" x14ac:dyDescent="0.35">
      <c r="A1553">
        <v>2295</v>
      </c>
      <c r="B1553">
        <v>1954</v>
      </c>
      <c r="C1553" t="s">
        <v>25</v>
      </c>
      <c r="D1553" t="s">
        <v>32</v>
      </c>
      <c r="E1553" t="s">
        <v>33</v>
      </c>
      <c r="F1553">
        <v>62670</v>
      </c>
      <c r="G1553" t="str">
        <f t="shared" si="72"/>
        <v>Mid-high</v>
      </c>
      <c r="H1553">
        <v>0</v>
      </c>
      <c r="I1553">
        <v>1</v>
      </c>
      <c r="J1553">
        <v>1</v>
      </c>
      <c r="K1553" s="1">
        <v>41672</v>
      </c>
      <c r="L1553">
        <v>57</v>
      </c>
      <c r="M1553" t="str">
        <f t="shared" si="73"/>
        <v>Inactive</v>
      </c>
      <c r="N1553">
        <v>0</v>
      </c>
      <c r="O1553">
        <v>539</v>
      </c>
      <c r="P1553">
        <v>30</v>
      </c>
      <c r="Q1553">
        <v>92</v>
      </c>
      <c r="R1553">
        <v>80</v>
      </c>
      <c r="S1553">
        <v>46</v>
      </c>
      <c r="T1553">
        <v>38</v>
      </c>
      <c r="U1553">
        <v>825</v>
      </c>
      <c r="V1553">
        <v>1</v>
      </c>
      <c r="W1553">
        <v>5</v>
      </c>
      <c r="X1553">
        <v>3</v>
      </c>
      <c r="Y1553">
        <v>13</v>
      </c>
      <c r="Z1553">
        <v>21</v>
      </c>
      <c r="AA1553">
        <v>3</v>
      </c>
      <c r="AB1553" t="str">
        <f t="shared" si="74"/>
        <v>Below average customer</v>
      </c>
    </row>
    <row r="1554" spans="1:28" x14ac:dyDescent="0.35">
      <c r="A1554">
        <v>1378</v>
      </c>
      <c r="B1554">
        <v>1972</v>
      </c>
      <c r="C1554" t="s">
        <v>28</v>
      </c>
      <c r="D1554" t="s">
        <v>34</v>
      </c>
      <c r="E1554" t="s">
        <v>29</v>
      </c>
      <c r="F1554">
        <v>50334</v>
      </c>
      <c r="G1554" t="str">
        <f t="shared" si="72"/>
        <v>Mid-low</v>
      </c>
      <c r="H1554">
        <v>0</v>
      </c>
      <c r="I1554">
        <v>1</v>
      </c>
      <c r="J1554">
        <v>1</v>
      </c>
      <c r="K1554" s="1">
        <v>41479</v>
      </c>
      <c r="L1554">
        <v>24</v>
      </c>
      <c r="M1554" t="str">
        <f t="shared" si="73"/>
        <v>Active</v>
      </c>
      <c r="N1554">
        <v>0</v>
      </c>
      <c r="O1554">
        <v>284</v>
      </c>
      <c r="P1554">
        <v>16</v>
      </c>
      <c r="Q1554">
        <v>160</v>
      </c>
      <c r="R1554">
        <v>84</v>
      </c>
      <c r="S1554">
        <v>16</v>
      </c>
      <c r="T1554">
        <v>134</v>
      </c>
      <c r="U1554">
        <v>694</v>
      </c>
      <c r="V1554">
        <v>6</v>
      </c>
      <c r="W1554">
        <v>7</v>
      </c>
      <c r="X1554">
        <v>4</v>
      </c>
      <c r="Y1554">
        <v>6</v>
      </c>
      <c r="Z1554">
        <v>17</v>
      </c>
      <c r="AA1554">
        <v>6</v>
      </c>
      <c r="AB1554" t="str">
        <f t="shared" si="74"/>
        <v>Below average customer</v>
      </c>
    </row>
    <row r="1555" spans="1:28" x14ac:dyDescent="0.35">
      <c r="A1555">
        <v>2781</v>
      </c>
      <c r="B1555">
        <v>1981</v>
      </c>
      <c r="C1555" t="s">
        <v>31</v>
      </c>
      <c r="D1555" t="s">
        <v>26</v>
      </c>
      <c r="E1555" t="s">
        <v>27</v>
      </c>
      <c r="F1555">
        <v>72066</v>
      </c>
      <c r="G1555" t="str">
        <f t="shared" si="72"/>
        <v>High</v>
      </c>
      <c r="H1555">
        <v>0</v>
      </c>
      <c r="I1555">
        <v>0</v>
      </c>
      <c r="J1555">
        <v>0</v>
      </c>
      <c r="K1555" s="1">
        <v>41813</v>
      </c>
      <c r="L1555">
        <v>55</v>
      </c>
      <c r="M1555" t="str">
        <f t="shared" si="73"/>
        <v>Inactive</v>
      </c>
      <c r="N1555">
        <v>0</v>
      </c>
      <c r="O1555">
        <v>1003</v>
      </c>
      <c r="P1555">
        <v>34</v>
      </c>
      <c r="Q1555">
        <v>536</v>
      </c>
      <c r="R1555">
        <v>134</v>
      </c>
      <c r="S1555">
        <v>51</v>
      </c>
      <c r="T1555">
        <v>34</v>
      </c>
      <c r="U1555">
        <v>1792</v>
      </c>
      <c r="V1555">
        <v>1</v>
      </c>
      <c r="W1555">
        <v>4</v>
      </c>
      <c r="X1555">
        <v>6</v>
      </c>
      <c r="Y1555">
        <v>6</v>
      </c>
      <c r="Z1555">
        <v>16</v>
      </c>
      <c r="AA1555">
        <v>2</v>
      </c>
      <c r="AB1555" t="str">
        <f t="shared" si="74"/>
        <v>Below average customer</v>
      </c>
    </row>
    <row r="1556" spans="1:28" x14ac:dyDescent="0.35">
      <c r="A1556">
        <v>1165</v>
      </c>
      <c r="B1556">
        <v>1958</v>
      </c>
      <c r="C1556" t="s">
        <v>25</v>
      </c>
      <c r="D1556" t="s">
        <v>32</v>
      </c>
      <c r="E1556" t="s">
        <v>27</v>
      </c>
      <c r="F1556">
        <v>50729</v>
      </c>
      <c r="G1556" t="str">
        <f t="shared" si="72"/>
        <v>Mid-low</v>
      </c>
      <c r="H1556">
        <v>1</v>
      </c>
      <c r="I1556">
        <v>1</v>
      </c>
      <c r="J1556">
        <v>2</v>
      </c>
      <c r="K1556" s="1">
        <v>41396</v>
      </c>
      <c r="L1556">
        <v>62</v>
      </c>
      <c r="M1556" t="str">
        <f t="shared" si="73"/>
        <v>Inactive</v>
      </c>
      <c r="N1556">
        <v>0</v>
      </c>
      <c r="O1556">
        <v>239</v>
      </c>
      <c r="P1556">
        <v>13</v>
      </c>
      <c r="Q1556">
        <v>143</v>
      </c>
      <c r="R1556">
        <v>45</v>
      </c>
      <c r="S1556">
        <v>4</v>
      </c>
      <c r="T1556">
        <v>52</v>
      </c>
      <c r="U1556">
        <v>496</v>
      </c>
      <c r="V1556">
        <v>9</v>
      </c>
      <c r="W1556">
        <v>6</v>
      </c>
      <c r="X1556">
        <v>2</v>
      </c>
      <c r="Y1556">
        <v>7</v>
      </c>
      <c r="Z1556">
        <v>15</v>
      </c>
      <c r="AA1556">
        <v>6</v>
      </c>
      <c r="AB1556" t="str">
        <f t="shared" si="74"/>
        <v>Below average customer</v>
      </c>
    </row>
    <row r="1557" spans="1:28" x14ac:dyDescent="0.35">
      <c r="A1557">
        <v>1404</v>
      </c>
      <c r="B1557">
        <v>1968</v>
      </c>
      <c r="C1557" t="s">
        <v>28</v>
      </c>
      <c r="D1557" t="s">
        <v>26</v>
      </c>
      <c r="E1557" t="s">
        <v>29</v>
      </c>
      <c r="F1557">
        <v>34916</v>
      </c>
      <c r="G1557" t="str">
        <f t="shared" si="72"/>
        <v>Low</v>
      </c>
      <c r="H1557">
        <v>2</v>
      </c>
      <c r="I1557">
        <v>0</v>
      </c>
      <c r="J1557">
        <v>2</v>
      </c>
      <c r="K1557" s="1">
        <v>41409</v>
      </c>
      <c r="L1557">
        <v>89</v>
      </c>
      <c r="M1557" t="str">
        <f t="shared" si="73"/>
        <v>Inactive</v>
      </c>
      <c r="N1557">
        <v>0</v>
      </c>
      <c r="O1557">
        <v>51</v>
      </c>
      <c r="P1557">
        <v>23</v>
      </c>
      <c r="Q1557">
        <v>82</v>
      </c>
      <c r="R1557">
        <v>33</v>
      </c>
      <c r="S1557">
        <v>0</v>
      </c>
      <c r="T1557">
        <v>42</v>
      </c>
      <c r="U1557">
        <v>231</v>
      </c>
      <c r="V1557">
        <v>4</v>
      </c>
      <c r="W1557">
        <v>5</v>
      </c>
      <c r="X1557">
        <v>1</v>
      </c>
      <c r="Y1557">
        <v>3</v>
      </c>
      <c r="Z1557">
        <v>9</v>
      </c>
      <c r="AA1557">
        <v>9</v>
      </c>
      <c r="AB1557" t="str">
        <f t="shared" si="74"/>
        <v>Below average customer</v>
      </c>
    </row>
    <row r="1558" spans="1:28" x14ac:dyDescent="0.35">
      <c r="A1558">
        <v>6457</v>
      </c>
      <c r="B1558">
        <v>1976</v>
      </c>
      <c r="C1558" t="s">
        <v>31</v>
      </c>
      <c r="D1558" t="s">
        <v>26</v>
      </c>
      <c r="E1558" t="s">
        <v>35</v>
      </c>
      <c r="F1558">
        <v>64892</v>
      </c>
      <c r="G1558" t="str">
        <f t="shared" si="72"/>
        <v>Mid-high</v>
      </c>
      <c r="H1558">
        <v>0</v>
      </c>
      <c r="I1558">
        <v>1</v>
      </c>
      <c r="J1558">
        <v>1</v>
      </c>
      <c r="K1558" s="1">
        <v>41788</v>
      </c>
      <c r="L1558">
        <v>77</v>
      </c>
      <c r="M1558" t="str">
        <f t="shared" si="73"/>
        <v>Inactive</v>
      </c>
      <c r="N1558">
        <v>0</v>
      </c>
      <c r="O1558">
        <v>527</v>
      </c>
      <c r="P1558">
        <v>24</v>
      </c>
      <c r="Q1558">
        <v>230</v>
      </c>
      <c r="R1558">
        <v>32</v>
      </c>
      <c r="S1558">
        <v>24</v>
      </c>
      <c r="T1558">
        <v>65</v>
      </c>
      <c r="U1558">
        <v>902</v>
      </c>
      <c r="V1558">
        <v>2</v>
      </c>
      <c r="W1558">
        <v>6</v>
      </c>
      <c r="X1558">
        <v>4</v>
      </c>
      <c r="Y1558">
        <v>12</v>
      </c>
      <c r="Z1558">
        <v>22</v>
      </c>
      <c r="AA1558">
        <v>4</v>
      </c>
      <c r="AB1558" t="str">
        <f t="shared" si="74"/>
        <v>Below average customer</v>
      </c>
    </row>
    <row r="1559" spans="1:28" x14ac:dyDescent="0.35">
      <c r="A1559">
        <v>2639</v>
      </c>
      <c r="B1559">
        <v>1966</v>
      </c>
      <c r="C1559" t="s">
        <v>28</v>
      </c>
      <c r="D1559" t="s">
        <v>26</v>
      </c>
      <c r="E1559" t="s">
        <v>27</v>
      </c>
      <c r="F1559">
        <v>43602</v>
      </c>
      <c r="G1559" t="str">
        <f t="shared" si="72"/>
        <v>Mid-low</v>
      </c>
      <c r="H1559">
        <v>1</v>
      </c>
      <c r="I1559">
        <v>1</v>
      </c>
      <c r="J1559">
        <v>2</v>
      </c>
      <c r="K1559" s="1">
        <v>41649</v>
      </c>
      <c r="L1559">
        <v>45</v>
      </c>
      <c r="M1559" t="str">
        <f t="shared" si="73"/>
        <v>Active</v>
      </c>
      <c r="N1559">
        <v>0</v>
      </c>
      <c r="O1559">
        <v>19</v>
      </c>
      <c r="P1559">
        <v>5</v>
      </c>
      <c r="Q1559">
        <v>12</v>
      </c>
      <c r="R1559">
        <v>10</v>
      </c>
      <c r="S1559">
        <v>3</v>
      </c>
      <c r="T1559">
        <v>19</v>
      </c>
      <c r="U1559">
        <v>68</v>
      </c>
      <c r="V1559">
        <v>3</v>
      </c>
      <c r="W1559">
        <v>3</v>
      </c>
      <c r="X1559">
        <v>1</v>
      </c>
      <c r="Y1559">
        <v>2</v>
      </c>
      <c r="Z1559">
        <v>6</v>
      </c>
      <c r="AA1559">
        <v>6</v>
      </c>
      <c r="AB1559" t="str">
        <f t="shared" si="74"/>
        <v>Below average customer</v>
      </c>
    </row>
    <row r="1560" spans="1:28" x14ac:dyDescent="0.35">
      <c r="A1560">
        <v>6437</v>
      </c>
      <c r="B1560">
        <v>1985</v>
      </c>
      <c r="C1560" t="s">
        <v>30</v>
      </c>
      <c r="D1560" t="s">
        <v>34</v>
      </c>
      <c r="E1560" t="s">
        <v>27</v>
      </c>
      <c r="F1560">
        <v>41473</v>
      </c>
      <c r="G1560" t="str">
        <f t="shared" si="72"/>
        <v>Mid-low</v>
      </c>
      <c r="H1560">
        <v>1</v>
      </c>
      <c r="I1560">
        <v>0</v>
      </c>
      <c r="J1560">
        <v>1</v>
      </c>
      <c r="K1560" s="1">
        <v>41444</v>
      </c>
      <c r="L1560">
        <v>80</v>
      </c>
      <c r="M1560" t="str">
        <f t="shared" si="73"/>
        <v>Inactive</v>
      </c>
      <c r="N1560">
        <v>0</v>
      </c>
      <c r="O1560">
        <v>21</v>
      </c>
      <c r="P1560">
        <v>8</v>
      </c>
      <c r="Q1560">
        <v>20</v>
      </c>
      <c r="R1560">
        <v>15</v>
      </c>
      <c r="S1560">
        <v>3</v>
      </c>
      <c r="T1560">
        <v>9</v>
      </c>
      <c r="U1560">
        <v>76</v>
      </c>
      <c r="V1560">
        <v>1</v>
      </c>
      <c r="W1560">
        <v>2</v>
      </c>
      <c r="X1560">
        <v>0</v>
      </c>
      <c r="Y1560">
        <v>3</v>
      </c>
      <c r="Z1560">
        <v>5</v>
      </c>
      <c r="AA1560">
        <v>7</v>
      </c>
      <c r="AB1560" t="str">
        <f t="shared" si="74"/>
        <v>Below average customer</v>
      </c>
    </row>
    <row r="1561" spans="1:28" x14ac:dyDescent="0.35">
      <c r="A1561">
        <v>6912</v>
      </c>
      <c r="B1561">
        <v>1967</v>
      </c>
      <c r="C1561" t="s">
        <v>28</v>
      </c>
      <c r="D1561" t="s">
        <v>32</v>
      </c>
      <c r="E1561" t="s">
        <v>33</v>
      </c>
      <c r="F1561">
        <v>63246</v>
      </c>
      <c r="G1561" t="str">
        <f t="shared" si="72"/>
        <v>Mid-high</v>
      </c>
      <c r="H1561">
        <v>0</v>
      </c>
      <c r="I1561">
        <v>2</v>
      </c>
      <c r="J1561">
        <v>2</v>
      </c>
      <c r="K1561" s="1">
        <v>41506</v>
      </c>
      <c r="L1561">
        <v>60</v>
      </c>
      <c r="M1561" t="str">
        <f t="shared" si="73"/>
        <v>Inactive</v>
      </c>
      <c r="N1561">
        <v>0</v>
      </c>
      <c r="O1561">
        <v>593</v>
      </c>
      <c r="P1561">
        <v>30</v>
      </c>
      <c r="Q1561">
        <v>91</v>
      </c>
      <c r="R1561">
        <v>29</v>
      </c>
      <c r="S1561">
        <v>22</v>
      </c>
      <c r="T1561">
        <v>7</v>
      </c>
      <c r="U1561">
        <v>772</v>
      </c>
      <c r="V1561">
        <v>1</v>
      </c>
      <c r="W1561">
        <v>6</v>
      </c>
      <c r="X1561">
        <v>3</v>
      </c>
      <c r="Y1561">
        <v>12</v>
      </c>
      <c r="Z1561">
        <v>21</v>
      </c>
      <c r="AA1561">
        <v>4</v>
      </c>
      <c r="AB1561" t="str">
        <f t="shared" si="74"/>
        <v>Below average customer</v>
      </c>
    </row>
    <row r="1562" spans="1:28" x14ac:dyDescent="0.35">
      <c r="A1562">
        <v>7327</v>
      </c>
      <c r="B1562">
        <v>1959</v>
      </c>
      <c r="C1562" t="s">
        <v>25</v>
      </c>
      <c r="D1562" t="s">
        <v>32</v>
      </c>
      <c r="E1562" t="s">
        <v>33</v>
      </c>
      <c r="F1562">
        <v>36732</v>
      </c>
      <c r="G1562" t="str">
        <f t="shared" si="72"/>
        <v>Mid-low</v>
      </c>
      <c r="H1562">
        <v>1</v>
      </c>
      <c r="I1562">
        <v>1</v>
      </c>
      <c r="J1562">
        <v>2</v>
      </c>
      <c r="K1562" s="1">
        <v>41637</v>
      </c>
      <c r="L1562">
        <v>71</v>
      </c>
      <c r="M1562" t="str">
        <f t="shared" si="73"/>
        <v>Inactive</v>
      </c>
      <c r="N1562">
        <v>0</v>
      </c>
      <c r="O1562">
        <v>21</v>
      </c>
      <c r="P1562">
        <v>5</v>
      </c>
      <c r="Q1562">
        <v>3</v>
      </c>
      <c r="R1562">
        <v>10</v>
      </c>
      <c r="S1562">
        <v>1</v>
      </c>
      <c r="T1562">
        <v>7</v>
      </c>
      <c r="U1562">
        <v>47</v>
      </c>
      <c r="V1562">
        <v>3</v>
      </c>
      <c r="W1562">
        <v>1</v>
      </c>
      <c r="X1562">
        <v>1</v>
      </c>
      <c r="Y1562">
        <v>4</v>
      </c>
      <c r="Z1562">
        <v>6</v>
      </c>
      <c r="AA1562">
        <v>2</v>
      </c>
      <c r="AB1562" t="str">
        <f t="shared" si="74"/>
        <v>Below average customer</v>
      </c>
    </row>
    <row r="1563" spans="1:28" x14ac:dyDescent="0.35">
      <c r="A1563">
        <v>8143</v>
      </c>
      <c r="B1563">
        <v>1985</v>
      </c>
      <c r="C1563" t="s">
        <v>30</v>
      </c>
      <c r="D1563" t="s">
        <v>32</v>
      </c>
      <c r="E1563" t="s">
        <v>27</v>
      </c>
      <c r="F1563">
        <v>37929</v>
      </c>
      <c r="G1563" t="str">
        <f t="shared" si="72"/>
        <v>Mid-low</v>
      </c>
      <c r="H1563">
        <v>0</v>
      </c>
      <c r="I1563">
        <v>0</v>
      </c>
      <c r="J1563">
        <v>0</v>
      </c>
      <c r="K1563" s="1">
        <v>41485</v>
      </c>
      <c r="L1563">
        <v>49</v>
      </c>
      <c r="M1563" t="str">
        <f t="shared" si="73"/>
        <v>Inactive</v>
      </c>
      <c r="N1563">
        <v>0</v>
      </c>
      <c r="O1563">
        <v>202</v>
      </c>
      <c r="P1563">
        <v>2</v>
      </c>
      <c r="Q1563">
        <v>46</v>
      </c>
      <c r="R1563">
        <v>3</v>
      </c>
      <c r="S1563">
        <v>2</v>
      </c>
      <c r="T1563">
        <v>10</v>
      </c>
      <c r="U1563">
        <v>265</v>
      </c>
      <c r="V1563">
        <v>2</v>
      </c>
      <c r="W1563">
        <v>4</v>
      </c>
      <c r="X1563">
        <v>2</v>
      </c>
      <c r="Y1563">
        <v>5</v>
      </c>
      <c r="Z1563">
        <v>11</v>
      </c>
      <c r="AA1563">
        <v>7</v>
      </c>
      <c r="AB1563" t="str">
        <f t="shared" si="74"/>
        <v>Below average customer</v>
      </c>
    </row>
    <row r="1564" spans="1:28" x14ac:dyDescent="0.35">
      <c r="A1564">
        <v>1964</v>
      </c>
      <c r="B1564">
        <v>1951</v>
      </c>
      <c r="C1564" t="s">
        <v>36</v>
      </c>
      <c r="D1564" t="s">
        <v>26</v>
      </c>
      <c r="E1564" t="s">
        <v>29</v>
      </c>
      <c r="F1564">
        <v>86610</v>
      </c>
      <c r="G1564" t="str">
        <f t="shared" si="72"/>
        <v>High</v>
      </c>
      <c r="H1564">
        <v>0</v>
      </c>
      <c r="I1564">
        <v>0</v>
      </c>
      <c r="J1564">
        <v>0</v>
      </c>
      <c r="K1564" s="1">
        <v>41522</v>
      </c>
      <c r="L1564">
        <v>66</v>
      </c>
      <c r="M1564" t="str">
        <f t="shared" si="73"/>
        <v>Inactive</v>
      </c>
      <c r="N1564">
        <v>0</v>
      </c>
      <c r="O1564">
        <v>446</v>
      </c>
      <c r="P1564">
        <v>107</v>
      </c>
      <c r="Q1564">
        <v>768</v>
      </c>
      <c r="R1564">
        <v>33</v>
      </c>
      <c r="S1564">
        <v>196</v>
      </c>
      <c r="T1564">
        <v>53</v>
      </c>
      <c r="U1564">
        <v>1603</v>
      </c>
      <c r="V1564">
        <v>1</v>
      </c>
      <c r="W1564">
        <v>5</v>
      </c>
      <c r="X1564">
        <v>6</v>
      </c>
      <c r="Y1564">
        <v>6</v>
      </c>
      <c r="Z1564">
        <v>17</v>
      </c>
      <c r="AA1564">
        <v>2</v>
      </c>
      <c r="AB1564" t="str">
        <f t="shared" si="74"/>
        <v>Below average customer</v>
      </c>
    </row>
    <row r="1565" spans="1:28" x14ac:dyDescent="0.35">
      <c r="A1565">
        <v>3690</v>
      </c>
      <c r="B1565">
        <v>1986</v>
      </c>
      <c r="C1565" t="s">
        <v>30</v>
      </c>
      <c r="D1565" t="s">
        <v>34</v>
      </c>
      <c r="E1565" t="s">
        <v>33</v>
      </c>
      <c r="F1565">
        <v>80141</v>
      </c>
      <c r="G1565" t="str">
        <f t="shared" si="72"/>
        <v>High</v>
      </c>
      <c r="H1565">
        <v>0</v>
      </c>
      <c r="I1565">
        <v>0</v>
      </c>
      <c r="J1565">
        <v>0</v>
      </c>
      <c r="K1565" s="1">
        <v>41285</v>
      </c>
      <c r="L1565">
        <v>20</v>
      </c>
      <c r="M1565" t="str">
        <f t="shared" si="73"/>
        <v>Active</v>
      </c>
      <c r="N1565">
        <v>0</v>
      </c>
      <c r="O1565">
        <v>1184</v>
      </c>
      <c r="P1565">
        <v>102</v>
      </c>
      <c r="Q1565">
        <v>673</v>
      </c>
      <c r="R1565">
        <v>52</v>
      </c>
      <c r="S1565">
        <v>40</v>
      </c>
      <c r="T1565">
        <v>40</v>
      </c>
      <c r="U1565">
        <v>2091</v>
      </c>
      <c r="V1565">
        <v>1</v>
      </c>
      <c r="W1565">
        <v>7</v>
      </c>
      <c r="X1565">
        <v>4</v>
      </c>
      <c r="Y1565">
        <v>10</v>
      </c>
      <c r="Z1565">
        <v>21</v>
      </c>
      <c r="AA1565">
        <v>6</v>
      </c>
      <c r="AB1565" t="str">
        <f t="shared" si="74"/>
        <v>Above average customer</v>
      </c>
    </row>
    <row r="1566" spans="1:28" x14ac:dyDescent="0.35">
      <c r="A1566">
        <v>3389</v>
      </c>
      <c r="B1566">
        <v>1970</v>
      </c>
      <c r="C1566" t="s">
        <v>28</v>
      </c>
      <c r="D1566" t="s">
        <v>26</v>
      </c>
      <c r="E1566" t="s">
        <v>33</v>
      </c>
      <c r="F1566">
        <v>69016</v>
      </c>
      <c r="G1566" t="str">
        <f t="shared" si="72"/>
        <v>High</v>
      </c>
      <c r="H1566">
        <v>0</v>
      </c>
      <c r="I1566">
        <v>1</v>
      </c>
      <c r="J1566">
        <v>1</v>
      </c>
      <c r="K1566" s="1">
        <v>41235</v>
      </c>
      <c r="L1566">
        <v>61</v>
      </c>
      <c r="M1566" t="str">
        <f t="shared" si="73"/>
        <v>Inactive</v>
      </c>
      <c r="N1566">
        <v>0</v>
      </c>
      <c r="O1566">
        <v>726</v>
      </c>
      <c r="P1566">
        <v>53</v>
      </c>
      <c r="Q1566">
        <v>363</v>
      </c>
      <c r="R1566">
        <v>123</v>
      </c>
      <c r="S1566">
        <v>107</v>
      </c>
      <c r="T1566">
        <v>161</v>
      </c>
      <c r="U1566">
        <v>1533</v>
      </c>
      <c r="V1566">
        <v>4</v>
      </c>
      <c r="W1566">
        <v>8</v>
      </c>
      <c r="X1566">
        <v>9</v>
      </c>
      <c r="Y1566">
        <v>13</v>
      </c>
      <c r="Z1566">
        <v>30</v>
      </c>
      <c r="AA1566">
        <v>5</v>
      </c>
      <c r="AB1566" t="str">
        <f t="shared" si="74"/>
        <v>Below average customer</v>
      </c>
    </row>
    <row r="1567" spans="1:28" x14ac:dyDescent="0.35">
      <c r="A1567">
        <v>4712</v>
      </c>
      <c r="B1567">
        <v>1991</v>
      </c>
      <c r="C1567" t="s">
        <v>30</v>
      </c>
      <c r="D1567" t="s">
        <v>34</v>
      </c>
      <c r="E1567" t="s">
        <v>29</v>
      </c>
      <c r="F1567">
        <v>20193</v>
      </c>
      <c r="G1567" t="str">
        <f t="shared" si="72"/>
        <v>Low</v>
      </c>
      <c r="H1567">
        <v>0</v>
      </c>
      <c r="I1567">
        <v>0</v>
      </c>
      <c r="J1567">
        <v>0</v>
      </c>
      <c r="K1567" s="1">
        <v>41241</v>
      </c>
      <c r="L1567">
        <v>18</v>
      </c>
      <c r="M1567" t="str">
        <f t="shared" si="73"/>
        <v>Active</v>
      </c>
      <c r="N1567">
        <v>0</v>
      </c>
      <c r="O1567">
        <v>8</v>
      </c>
      <c r="P1567">
        <v>8</v>
      </c>
      <c r="Q1567">
        <v>22</v>
      </c>
      <c r="R1567">
        <v>24</v>
      </c>
      <c r="S1567">
        <v>11</v>
      </c>
      <c r="T1567">
        <v>9</v>
      </c>
      <c r="U1567">
        <v>82</v>
      </c>
      <c r="V1567">
        <v>1</v>
      </c>
      <c r="W1567">
        <v>1</v>
      </c>
      <c r="X1567">
        <v>1</v>
      </c>
      <c r="Y1567">
        <v>4</v>
      </c>
      <c r="Z1567">
        <v>6</v>
      </c>
      <c r="AA1567">
        <v>4</v>
      </c>
      <c r="AB1567" t="str">
        <f t="shared" si="74"/>
        <v>Below average customer</v>
      </c>
    </row>
    <row r="1568" spans="1:28" x14ac:dyDescent="0.35">
      <c r="A1568">
        <v>1170</v>
      </c>
      <c r="B1568">
        <v>1975</v>
      </c>
      <c r="C1568" t="s">
        <v>31</v>
      </c>
      <c r="D1568" t="s">
        <v>26</v>
      </c>
      <c r="E1568" t="s">
        <v>33</v>
      </c>
      <c r="F1568">
        <v>27573</v>
      </c>
      <c r="G1568" t="str">
        <f t="shared" si="72"/>
        <v>Low</v>
      </c>
      <c r="H1568">
        <v>1</v>
      </c>
      <c r="I1568">
        <v>0</v>
      </c>
      <c r="J1568">
        <v>1</v>
      </c>
      <c r="K1568" s="1">
        <v>41358</v>
      </c>
      <c r="L1568">
        <v>45</v>
      </c>
      <c r="M1568" t="str">
        <f t="shared" si="73"/>
        <v>Active</v>
      </c>
      <c r="N1568">
        <v>0</v>
      </c>
      <c r="O1568">
        <v>50</v>
      </c>
      <c r="P1568">
        <v>15</v>
      </c>
      <c r="Q1568">
        <v>110</v>
      </c>
      <c r="R1568">
        <v>39</v>
      </c>
      <c r="S1568">
        <v>15</v>
      </c>
      <c r="T1568">
        <v>15</v>
      </c>
      <c r="U1568">
        <v>244</v>
      </c>
      <c r="V1568">
        <v>4</v>
      </c>
      <c r="W1568">
        <v>5</v>
      </c>
      <c r="X1568">
        <v>1</v>
      </c>
      <c r="Y1568">
        <v>4</v>
      </c>
      <c r="Z1568">
        <v>10</v>
      </c>
      <c r="AA1568">
        <v>8</v>
      </c>
      <c r="AB1568" t="str">
        <f t="shared" si="74"/>
        <v>Below average customer</v>
      </c>
    </row>
    <row r="1569" spans="1:28" x14ac:dyDescent="0.35">
      <c r="A1569">
        <v>6347</v>
      </c>
      <c r="B1569">
        <v>1979</v>
      </c>
      <c r="C1569" t="s">
        <v>31</v>
      </c>
      <c r="D1569" t="s">
        <v>37</v>
      </c>
      <c r="E1569" t="s">
        <v>27</v>
      </c>
      <c r="F1569">
        <v>15862</v>
      </c>
      <c r="G1569" t="str">
        <f t="shared" si="72"/>
        <v>Low</v>
      </c>
      <c r="H1569">
        <v>1</v>
      </c>
      <c r="I1569">
        <v>0</v>
      </c>
      <c r="J1569">
        <v>1</v>
      </c>
      <c r="K1569" s="1">
        <v>41452</v>
      </c>
      <c r="L1569">
        <v>26</v>
      </c>
      <c r="M1569" t="str">
        <f t="shared" si="73"/>
        <v>Active</v>
      </c>
      <c r="N1569">
        <v>0</v>
      </c>
      <c r="O1569">
        <v>1</v>
      </c>
      <c r="P1569">
        <v>1</v>
      </c>
      <c r="Q1569">
        <v>4</v>
      </c>
      <c r="R1569">
        <v>11</v>
      </c>
      <c r="S1569">
        <v>9</v>
      </c>
      <c r="T1569">
        <v>10</v>
      </c>
      <c r="U1569">
        <v>36</v>
      </c>
      <c r="V1569">
        <v>1</v>
      </c>
      <c r="W1569">
        <v>1</v>
      </c>
      <c r="X1569">
        <v>0</v>
      </c>
      <c r="Y1569">
        <v>3</v>
      </c>
      <c r="Z1569">
        <v>4</v>
      </c>
      <c r="AA1569">
        <v>8</v>
      </c>
      <c r="AB1569" t="str">
        <f t="shared" si="74"/>
        <v>Below average customer</v>
      </c>
    </row>
    <row r="1570" spans="1:28" x14ac:dyDescent="0.35">
      <c r="A1570">
        <v>4065</v>
      </c>
      <c r="B1570">
        <v>1976</v>
      </c>
      <c r="C1570" t="s">
        <v>31</v>
      </c>
      <c r="D1570" t="s">
        <v>32</v>
      </c>
      <c r="E1570" t="s">
        <v>33</v>
      </c>
      <c r="F1570">
        <v>49544</v>
      </c>
      <c r="G1570" t="str">
        <f t="shared" si="72"/>
        <v>Mid-low</v>
      </c>
      <c r="H1570">
        <v>1</v>
      </c>
      <c r="I1570">
        <v>0</v>
      </c>
      <c r="J1570">
        <v>1</v>
      </c>
      <c r="K1570" s="1">
        <v>41317</v>
      </c>
      <c r="L1570">
        <v>0</v>
      </c>
      <c r="M1570" t="str">
        <f t="shared" si="73"/>
        <v>Active</v>
      </c>
      <c r="N1570">
        <v>0</v>
      </c>
      <c r="O1570">
        <v>308</v>
      </c>
      <c r="P1570">
        <v>0</v>
      </c>
      <c r="Q1570">
        <v>73</v>
      </c>
      <c r="R1570">
        <v>0</v>
      </c>
      <c r="S1570">
        <v>0</v>
      </c>
      <c r="T1570">
        <v>23</v>
      </c>
      <c r="U1570">
        <v>404</v>
      </c>
      <c r="V1570">
        <v>2</v>
      </c>
      <c r="W1570">
        <v>5</v>
      </c>
      <c r="X1570">
        <v>1</v>
      </c>
      <c r="Y1570">
        <v>8</v>
      </c>
      <c r="Z1570">
        <v>14</v>
      </c>
      <c r="AA1570">
        <v>7</v>
      </c>
      <c r="AB1570" t="str">
        <f t="shared" si="74"/>
        <v>Below average customer</v>
      </c>
    </row>
    <row r="1571" spans="1:28" x14ac:dyDescent="0.35">
      <c r="A1571">
        <v>8230</v>
      </c>
      <c r="B1571">
        <v>1980</v>
      </c>
      <c r="C1571" t="s">
        <v>31</v>
      </c>
      <c r="D1571" t="s">
        <v>26</v>
      </c>
      <c r="E1571" t="s">
        <v>33</v>
      </c>
      <c r="F1571">
        <v>33228</v>
      </c>
      <c r="G1571" t="str">
        <f t="shared" si="72"/>
        <v>Low</v>
      </c>
      <c r="H1571">
        <v>1</v>
      </c>
      <c r="I1571">
        <v>0</v>
      </c>
      <c r="J1571">
        <v>1</v>
      </c>
      <c r="K1571" s="1">
        <v>41662</v>
      </c>
      <c r="L1571">
        <v>28</v>
      </c>
      <c r="M1571" t="str">
        <f t="shared" si="73"/>
        <v>Active</v>
      </c>
      <c r="N1571">
        <v>0</v>
      </c>
      <c r="O1571">
        <v>22</v>
      </c>
      <c r="P1571">
        <v>2</v>
      </c>
      <c r="Q1571">
        <v>31</v>
      </c>
      <c r="R1571">
        <v>7</v>
      </c>
      <c r="S1571">
        <v>4</v>
      </c>
      <c r="T1571">
        <v>5</v>
      </c>
      <c r="U1571">
        <v>71</v>
      </c>
      <c r="V1571">
        <v>1</v>
      </c>
      <c r="W1571">
        <v>2</v>
      </c>
      <c r="X1571">
        <v>0</v>
      </c>
      <c r="Y1571">
        <v>3</v>
      </c>
      <c r="Z1571">
        <v>5</v>
      </c>
      <c r="AA1571">
        <v>7</v>
      </c>
      <c r="AB1571" t="str">
        <f t="shared" si="74"/>
        <v>Below average customer</v>
      </c>
    </row>
    <row r="1572" spans="1:28" x14ac:dyDescent="0.35">
      <c r="A1572">
        <v>1215</v>
      </c>
      <c r="B1572">
        <v>1978</v>
      </c>
      <c r="C1572" t="s">
        <v>31</v>
      </c>
      <c r="D1572" t="s">
        <v>26</v>
      </c>
      <c r="E1572" t="s">
        <v>29</v>
      </c>
      <c r="F1572">
        <v>70440</v>
      </c>
      <c r="G1572" t="str">
        <f t="shared" si="72"/>
        <v>High</v>
      </c>
      <c r="H1572">
        <v>0</v>
      </c>
      <c r="I1572">
        <v>0</v>
      </c>
      <c r="J1572">
        <v>0</v>
      </c>
      <c r="K1572" s="1">
        <v>41555</v>
      </c>
      <c r="L1572">
        <v>49</v>
      </c>
      <c r="M1572" t="str">
        <f t="shared" si="73"/>
        <v>Inactive</v>
      </c>
      <c r="N1572">
        <v>0</v>
      </c>
      <c r="O1572">
        <v>690</v>
      </c>
      <c r="P1572">
        <v>117</v>
      </c>
      <c r="Q1572">
        <v>499</v>
      </c>
      <c r="R1572">
        <v>76</v>
      </c>
      <c r="S1572">
        <v>102</v>
      </c>
      <c r="T1572">
        <v>88</v>
      </c>
      <c r="U1572">
        <v>1572</v>
      </c>
      <c r="V1572">
        <v>1</v>
      </c>
      <c r="W1572">
        <v>5</v>
      </c>
      <c r="X1572">
        <v>10</v>
      </c>
      <c r="Y1572">
        <v>7</v>
      </c>
      <c r="Z1572">
        <v>22</v>
      </c>
      <c r="AA1572">
        <v>3</v>
      </c>
      <c r="AB1572" t="str">
        <f t="shared" si="74"/>
        <v>Below average customer</v>
      </c>
    </row>
    <row r="1573" spans="1:28" x14ac:dyDescent="0.35">
      <c r="A1573">
        <v>5939</v>
      </c>
      <c r="B1573">
        <v>1971</v>
      </c>
      <c r="C1573" t="s">
        <v>28</v>
      </c>
      <c r="D1573" t="s">
        <v>26</v>
      </c>
      <c r="E1573" t="s">
        <v>29</v>
      </c>
      <c r="F1573">
        <v>38232</v>
      </c>
      <c r="G1573" t="str">
        <f t="shared" si="72"/>
        <v>Mid-low</v>
      </c>
      <c r="H1573">
        <v>1</v>
      </c>
      <c r="I1573">
        <v>1</v>
      </c>
      <c r="J1573">
        <v>2</v>
      </c>
      <c r="K1573" s="1">
        <v>41656</v>
      </c>
      <c r="L1573">
        <v>84</v>
      </c>
      <c r="M1573" t="str">
        <f t="shared" si="73"/>
        <v>Inactive</v>
      </c>
      <c r="N1573">
        <v>0</v>
      </c>
      <c r="O1573">
        <v>43</v>
      </c>
      <c r="P1573">
        <v>5</v>
      </c>
      <c r="Q1573">
        <v>28</v>
      </c>
      <c r="R1573">
        <v>7</v>
      </c>
      <c r="S1573">
        <v>6</v>
      </c>
      <c r="T1573">
        <v>33</v>
      </c>
      <c r="U1573">
        <v>122</v>
      </c>
      <c r="V1573">
        <v>4</v>
      </c>
      <c r="W1573">
        <v>3</v>
      </c>
      <c r="X1573">
        <v>1</v>
      </c>
      <c r="Y1573">
        <v>3</v>
      </c>
      <c r="Z1573">
        <v>7</v>
      </c>
      <c r="AA1573">
        <v>5</v>
      </c>
      <c r="AB1573" t="str">
        <f t="shared" si="74"/>
        <v>Below average customer</v>
      </c>
    </row>
    <row r="1574" spans="1:28" x14ac:dyDescent="0.35">
      <c r="A1574">
        <v>2156</v>
      </c>
      <c r="B1574">
        <v>1955</v>
      </c>
      <c r="C1574" t="s">
        <v>25</v>
      </c>
      <c r="D1574" t="s">
        <v>32</v>
      </c>
      <c r="E1574" t="s">
        <v>33</v>
      </c>
      <c r="F1574">
        <v>22554</v>
      </c>
      <c r="G1574" t="str">
        <f t="shared" si="72"/>
        <v>Low</v>
      </c>
      <c r="H1574">
        <v>1</v>
      </c>
      <c r="I1574">
        <v>1</v>
      </c>
      <c r="J1574">
        <v>2</v>
      </c>
      <c r="K1574" s="1">
        <v>41216</v>
      </c>
      <c r="L1574">
        <v>38</v>
      </c>
      <c r="M1574" t="str">
        <f t="shared" si="73"/>
        <v>Active</v>
      </c>
      <c r="N1574">
        <v>0</v>
      </c>
      <c r="O1574">
        <v>27</v>
      </c>
      <c r="P1574">
        <v>0</v>
      </c>
      <c r="Q1574">
        <v>10</v>
      </c>
      <c r="R1574">
        <v>0</v>
      </c>
      <c r="S1574">
        <v>0</v>
      </c>
      <c r="T1574">
        <v>4</v>
      </c>
      <c r="U1574">
        <v>41</v>
      </c>
      <c r="V1574">
        <v>4</v>
      </c>
      <c r="W1574">
        <v>2</v>
      </c>
      <c r="X1574">
        <v>0</v>
      </c>
      <c r="Y1574">
        <v>4</v>
      </c>
      <c r="Z1574">
        <v>6</v>
      </c>
      <c r="AA1574">
        <v>5</v>
      </c>
      <c r="AB1574" t="str">
        <f t="shared" si="74"/>
        <v>Below average customer</v>
      </c>
    </row>
    <row r="1575" spans="1:28" x14ac:dyDescent="0.35">
      <c r="A1575">
        <v>7788</v>
      </c>
      <c r="B1575">
        <v>1983</v>
      </c>
      <c r="C1575" t="s">
        <v>30</v>
      </c>
      <c r="D1575" t="s">
        <v>32</v>
      </c>
      <c r="E1575" t="s">
        <v>33</v>
      </c>
      <c r="F1575">
        <v>23536</v>
      </c>
      <c r="G1575" t="str">
        <f t="shared" si="72"/>
        <v>Low</v>
      </c>
      <c r="H1575">
        <v>1</v>
      </c>
      <c r="I1575">
        <v>0</v>
      </c>
      <c r="J1575">
        <v>1</v>
      </c>
      <c r="K1575" s="1">
        <v>41794</v>
      </c>
      <c r="L1575">
        <v>53</v>
      </c>
      <c r="M1575" t="str">
        <f t="shared" si="73"/>
        <v>Inactive</v>
      </c>
      <c r="N1575">
        <v>0</v>
      </c>
      <c r="O1575">
        <v>6</v>
      </c>
      <c r="P1575">
        <v>0</v>
      </c>
      <c r="Q1575">
        <v>3</v>
      </c>
      <c r="R1575">
        <v>0</v>
      </c>
      <c r="S1575">
        <v>0</v>
      </c>
      <c r="T1575">
        <v>1</v>
      </c>
      <c r="U1575">
        <v>10</v>
      </c>
      <c r="V1575">
        <v>1</v>
      </c>
      <c r="W1575">
        <v>0</v>
      </c>
      <c r="X1575">
        <v>0</v>
      </c>
      <c r="Y1575">
        <v>3</v>
      </c>
      <c r="Z1575">
        <v>3</v>
      </c>
      <c r="AA1575">
        <v>3</v>
      </c>
      <c r="AB1575" t="str">
        <f t="shared" si="74"/>
        <v>Below average customer</v>
      </c>
    </row>
    <row r="1576" spans="1:28" x14ac:dyDescent="0.35">
      <c r="A1576">
        <v>10323</v>
      </c>
      <c r="B1576">
        <v>1952</v>
      </c>
      <c r="C1576" t="s">
        <v>36</v>
      </c>
      <c r="D1576" t="s">
        <v>26</v>
      </c>
      <c r="E1576" t="s">
        <v>33</v>
      </c>
      <c r="F1576">
        <v>49413</v>
      </c>
      <c r="G1576" t="str">
        <f t="shared" si="72"/>
        <v>Mid-low</v>
      </c>
      <c r="H1576">
        <v>0</v>
      </c>
      <c r="I1576">
        <v>1</v>
      </c>
      <c r="J1576">
        <v>1</v>
      </c>
      <c r="K1576" s="1">
        <v>41572</v>
      </c>
      <c r="L1576">
        <v>88</v>
      </c>
      <c r="M1576" t="str">
        <f t="shared" si="73"/>
        <v>Inactive</v>
      </c>
      <c r="N1576">
        <v>0</v>
      </c>
      <c r="O1576">
        <v>205</v>
      </c>
      <c r="P1576">
        <v>7</v>
      </c>
      <c r="Q1576">
        <v>41</v>
      </c>
      <c r="R1576">
        <v>3</v>
      </c>
      <c r="S1576">
        <v>2</v>
      </c>
      <c r="T1576">
        <v>46</v>
      </c>
      <c r="U1576">
        <v>304</v>
      </c>
      <c r="V1576">
        <v>2</v>
      </c>
      <c r="W1576">
        <v>4</v>
      </c>
      <c r="X1576">
        <v>2</v>
      </c>
      <c r="Y1576">
        <v>5</v>
      </c>
      <c r="Z1576">
        <v>11</v>
      </c>
      <c r="AA1576">
        <v>5</v>
      </c>
      <c r="AB1576" t="str">
        <f t="shared" si="74"/>
        <v>Below average customer</v>
      </c>
    </row>
    <row r="1577" spans="1:28" x14ac:dyDescent="0.35">
      <c r="A1577">
        <v>7947</v>
      </c>
      <c r="B1577">
        <v>1969</v>
      </c>
      <c r="C1577" t="s">
        <v>28</v>
      </c>
      <c r="D1577" t="s">
        <v>26</v>
      </c>
      <c r="E1577" t="s">
        <v>33</v>
      </c>
      <c r="F1577">
        <v>42231</v>
      </c>
      <c r="G1577" t="str">
        <f t="shared" si="72"/>
        <v>Mid-low</v>
      </c>
      <c r="H1577">
        <v>1</v>
      </c>
      <c r="I1577">
        <v>1</v>
      </c>
      <c r="J1577">
        <v>2</v>
      </c>
      <c r="K1577" s="1">
        <v>41723</v>
      </c>
      <c r="L1577">
        <v>99</v>
      </c>
      <c r="M1577" t="str">
        <f t="shared" si="73"/>
        <v>Inactive</v>
      </c>
      <c r="N1577">
        <v>0</v>
      </c>
      <c r="O1577">
        <v>24</v>
      </c>
      <c r="P1577">
        <v>0</v>
      </c>
      <c r="Q1577">
        <v>8</v>
      </c>
      <c r="R1577">
        <v>0</v>
      </c>
      <c r="S1577">
        <v>1</v>
      </c>
      <c r="T1577">
        <v>4</v>
      </c>
      <c r="U1577">
        <v>37</v>
      </c>
      <c r="V1577">
        <v>1</v>
      </c>
      <c r="W1577">
        <v>1</v>
      </c>
      <c r="X1577">
        <v>0</v>
      </c>
      <c r="Y1577">
        <v>3</v>
      </c>
      <c r="Z1577">
        <v>4</v>
      </c>
      <c r="AA1577">
        <v>5</v>
      </c>
      <c r="AB1577" t="str">
        <f t="shared" si="74"/>
        <v>Below average customer</v>
      </c>
    </row>
    <row r="1578" spans="1:28" x14ac:dyDescent="0.35">
      <c r="A1578">
        <v>1891</v>
      </c>
      <c r="B1578">
        <v>1980</v>
      </c>
      <c r="C1578" t="s">
        <v>31</v>
      </c>
      <c r="D1578" t="s">
        <v>34</v>
      </c>
      <c r="E1578" t="s">
        <v>35</v>
      </c>
      <c r="F1578">
        <v>78789</v>
      </c>
      <c r="G1578" t="str">
        <f t="shared" si="72"/>
        <v>High</v>
      </c>
      <c r="H1578">
        <v>0</v>
      </c>
      <c r="I1578">
        <v>0</v>
      </c>
      <c r="J1578">
        <v>0</v>
      </c>
      <c r="K1578" s="1">
        <v>41129</v>
      </c>
      <c r="L1578">
        <v>12</v>
      </c>
      <c r="M1578" t="str">
        <f t="shared" si="73"/>
        <v>Active</v>
      </c>
      <c r="N1578">
        <v>0</v>
      </c>
      <c r="O1578">
        <v>667</v>
      </c>
      <c r="P1578">
        <v>50</v>
      </c>
      <c r="Q1578">
        <v>850</v>
      </c>
      <c r="R1578">
        <v>21</v>
      </c>
      <c r="S1578">
        <v>83</v>
      </c>
      <c r="T1578">
        <v>83</v>
      </c>
      <c r="U1578">
        <v>1754</v>
      </c>
      <c r="V1578">
        <v>1</v>
      </c>
      <c r="W1578">
        <v>4</v>
      </c>
      <c r="X1578">
        <v>6</v>
      </c>
      <c r="Y1578">
        <v>5</v>
      </c>
      <c r="Z1578">
        <v>15</v>
      </c>
      <c r="AA1578">
        <v>2</v>
      </c>
      <c r="AB1578" t="str">
        <f t="shared" si="74"/>
        <v>Above average customer</v>
      </c>
    </row>
    <row r="1579" spans="1:28" x14ac:dyDescent="0.35">
      <c r="A1579">
        <v>2570</v>
      </c>
      <c r="B1579">
        <v>1968</v>
      </c>
      <c r="C1579" t="s">
        <v>28</v>
      </c>
      <c r="D1579" t="s">
        <v>26</v>
      </c>
      <c r="E1579" t="s">
        <v>29</v>
      </c>
      <c r="F1579">
        <v>56534</v>
      </c>
      <c r="G1579" t="str">
        <f t="shared" si="72"/>
        <v>Mid-high</v>
      </c>
      <c r="H1579">
        <v>0</v>
      </c>
      <c r="I1579">
        <v>1</v>
      </c>
      <c r="J1579">
        <v>1</v>
      </c>
      <c r="K1579" s="1">
        <v>41478</v>
      </c>
      <c r="L1579">
        <v>35</v>
      </c>
      <c r="M1579" t="str">
        <f t="shared" si="73"/>
        <v>Active</v>
      </c>
      <c r="N1579">
        <v>0</v>
      </c>
      <c r="O1579">
        <v>691</v>
      </c>
      <c r="P1579">
        <v>7</v>
      </c>
      <c r="Q1579">
        <v>61</v>
      </c>
      <c r="R1579">
        <v>10</v>
      </c>
      <c r="S1579">
        <v>0</v>
      </c>
      <c r="T1579">
        <v>46</v>
      </c>
      <c r="U1579">
        <v>815</v>
      </c>
      <c r="V1579">
        <v>4</v>
      </c>
      <c r="W1579">
        <v>10</v>
      </c>
      <c r="X1579">
        <v>4</v>
      </c>
      <c r="Y1579">
        <v>7</v>
      </c>
      <c r="Z1579">
        <v>21</v>
      </c>
      <c r="AA1579">
        <v>8</v>
      </c>
      <c r="AB1579" t="str">
        <f t="shared" si="74"/>
        <v>Above average customer</v>
      </c>
    </row>
    <row r="1580" spans="1:28" x14ac:dyDescent="0.35">
      <c r="A1580">
        <v>9256</v>
      </c>
      <c r="B1580">
        <v>1971</v>
      </c>
      <c r="C1580" t="s">
        <v>28</v>
      </c>
      <c r="D1580" t="s">
        <v>26</v>
      </c>
      <c r="E1580" t="s">
        <v>27</v>
      </c>
      <c r="F1580">
        <v>58350</v>
      </c>
      <c r="G1580" t="str">
        <f t="shared" si="72"/>
        <v>Mid-high</v>
      </c>
      <c r="H1580">
        <v>0</v>
      </c>
      <c r="I1580">
        <v>1</v>
      </c>
      <c r="J1580">
        <v>1</v>
      </c>
      <c r="K1580" s="1">
        <v>41278</v>
      </c>
      <c r="L1580">
        <v>5</v>
      </c>
      <c r="M1580" t="str">
        <f t="shared" si="73"/>
        <v>Active</v>
      </c>
      <c r="N1580">
        <v>0</v>
      </c>
      <c r="O1580">
        <v>493</v>
      </c>
      <c r="P1580">
        <v>26</v>
      </c>
      <c r="Q1580">
        <v>206</v>
      </c>
      <c r="R1580">
        <v>116</v>
      </c>
      <c r="S1580">
        <v>80</v>
      </c>
      <c r="T1580">
        <v>80</v>
      </c>
      <c r="U1580">
        <v>1001</v>
      </c>
      <c r="V1580">
        <v>4</v>
      </c>
      <c r="W1580">
        <v>8</v>
      </c>
      <c r="X1580">
        <v>3</v>
      </c>
      <c r="Y1580">
        <v>12</v>
      </c>
      <c r="Z1580">
        <v>23</v>
      </c>
      <c r="AA1580">
        <v>6</v>
      </c>
      <c r="AB1580" t="str">
        <f t="shared" si="74"/>
        <v>Above average customer</v>
      </c>
    </row>
    <row r="1581" spans="1:28" x14ac:dyDescent="0.35">
      <c r="A1581">
        <v>7397</v>
      </c>
      <c r="B1581">
        <v>1951</v>
      </c>
      <c r="C1581" t="s">
        <v>36</v>
      </c>
      <c r="D1581" t="s">
        <v>26</v>
      </c>
      <c r="E1581" t="s">
        <v>27</v>
      </c>
      <c r="F1581">
        <v>49090</v>
      </c>
      <c r="G1581" t="str">
        <f t="shared" si="72"/>
        <v>Mid-low</v>
      </c>
      <c r="H1581">
        <v>0</v>
      </c>
      <c r="I1581">
        <v>1</v>
      </c>
      <c r="J1581">
        <v>1</v>
      </c>
      <c r="K1581" s="1">
        <v>41474</v>
      </c>
      <c r="L1581">
        <v>45</v>
      </c>
      <c r="M1581" t="str">
        <f t="shared" si="73"/>
        <v>Active</v>
      </c>
      <c r="N1581">
        <v>0</v>
      </c>
      <c r="O1581">
        <v>494</v>
      </c>
      <c r="P1581">
        <v>5</v>
      </c>
      <c r="Q1581">
        <v>82</v>
      </c>
      <c r="R1581">
        <v>7</v>
      </c>
      <c r="S1581">
        <v>0</v>
      </c>
      <c r="T1581">
        <v>100</v>
      </c>
      <c r="U1581">
        <v>688</v>
      </c>
      <c r="V1581">
        <v>3</v>
      </c>
      <c r="W1581">
        <v>7</v>
      </c>
      <c r="X1581">
        <v>2</v>
      </c>
      <c r="Y1581">
        <v>9</v>
      </c>
      <c r="Z1581">
        <v>18</v>
      </c>
      <c r="AA1581">
        <v>7</v>
      </c>
      <c r="AB1581" t="str">
        <f t="shared" si="74"/>
        <v>Below average customer</v>
      </c>
    </row>
    <row r="1582" spans="1:28" x14ac:dyDescent="0.35">
      <c r="A1582">
        <v>6349</v>
      </c>
      <c r="B1582">
        <v>1987</v>
      </c>
      <c r="C1582" t="s">
        <v>30</v>
      </c>
      <c r="D1582" t="s">
        <v>34</v>
      </c>
      <c r="E1582" t="s">
        <v>35</v>
      </c>
      <c r="F1582">
        <v>61787</v>
      </c>
      <c r="G1582" t="str">
        <f t="shared" si="72"/>
        <v>Mid-high</v>
      </c>
      <c r="H1582">
        <v>0</v>
      </c>
      <c r="I1582">
        <v>0</v>
      </c>
      <c r="J1582">
        <v>0</v>
      </c>
      <c r="K1582" s="1">
        <v>41461</v>
      </c>
      <c r="L1582">
        <v>71</v>
      </c>
      <c r="M1582" t="str">
        <f t="shared" si="73"/>
        <v>Inactive</v>
      </c>
      <c r="N1582">
        <v>0</v>
      </c>
      <c r="O1582">
        <v>621</v>
      </c>
      <c r="P1582">
        <v>73</v>
      </c>
      <c r="Q1582">
        <v>414</v>
      </c>
      <c r="R1582">
        <v>78</v>
      </c>
      <c r="S1582">
        <v>48</v>
      </c>
      <c r="T1582">
        <v>85</v>
      </c>
      <c r="U1582">
        <v>1319</v>
      </c>
      <c r="V1582">
        <v>1</v>
      </c>
      <c r="W1582">
        <v>8</v>
      </c>
      <c r="X1582">
        <v>4</v>
      </c>
      <c r="Y1582">
        <v>6</v>
      </c>
      <c r="Z1582">
        <v>18</v>
      </c>
      <c r="AA1582">
        <v>5</v>
      </c>
      <c r="AB1582" t="str">
        <f t="shared" si="74"/>
        <v>Below average customer</v>
      </c>
    </row>
    <row r="1583" spans="1:28" x14ac:dyDescent="0.35">
      <c r="A1583">
        <v>10790</v>
      </c>
      <c r="B1583">
        <v>1985</v>
      </c>
      <c r="C1583" t="s">
        <v>30</v>
      </c>
      <c r="D1583" t="s">
        <v>32</v>
      </c>
      <c r="E1583" t="s">
        <v>33</v>
      </c>
      <c r="F1583">
        <v>18169</v>
      </c>
      <c r="G1583" t="str">
        <f t="shared" si="72"/>
        <v>Low</v>
      </c>
      <c r="H1583">
        <v>1</v>
      </c>
      <c r="I1583">
        <v>0</v>
      </c>
      <c r="J1583">
        <v>1</v>
      </c>
      <c r="K1583" s="1">
        <v>41324</v>
      </c>
      <c r="L1583">
        <v>40</v>
      </c>
      <c r="M1583" t="str">
        <f t="shared" si="73"/>
        <v>Active</v>
      </c>
      <c r="N1583">
        <v>0</v>
      </c>
      <c r="O1583">
        <v>9</v>
      </c>
      <c r="P1583">
        <v>0</v>
      </c>
      <c r="Q1583">
        <v>5</v>
      </c>
      <c r="R1583">
        <v>0</v>
      </c>
      <c r="S1583">
        <v>0</v>
      </c>
      <c r="T1583">
        <v>7</v>
      </c>
      <c r="U1583">
        <v>21</v>
      </c>
      <c r="V1583">
        <v>1</v>
      </c>
      <c r="W1583">
        <v>1</v>
      </c>
      <c r="X1583">
        <v>0</v>
      </c>
      <c r="Y1583">
        <v>2</v>
      </c>
      <c r="Z1583">
        <v>3</v>
      </c>
      <c r="AA1583">
        <v>8</v>
      </c>
      <c r="AB1583" t="str">
        <f t="shared" si="74"/>
        <v>Below average customer</v>
      </c>
    </row>
    <row r="1584" spans="1:28" x14ac:dyDescent="0.35">
      <c r="A1584">
        <v>10398</v>
      </c>
      <c r="B1584">
        <v>1981</v>
      </c>
      <c r="C1584" t="s">
        <v>31</v>
      </c>
      <c r="D1584" t="s">
        <v>34</v>
      </c>
      <c r="E1584" t="s">
        <v>27</v>
      </c>
      <c r="F1584">
        <v>24336</v>
      </c>
      <c r="G1584" t="str">
        <f t="shared" si="72"/>
        <v>Low</v>
      </c>
      <c r="H1584">
        <v>1</v>
      </c>
      <c r="I1584">
        <v>0</v>
      </c>
      <c r="J1584">
        <v>1</v>
      </c>
      <c r="K1584" s="1">
        <v>41148</v>
      </c>
      <c r="L1584">
        <v>82</v>
      </c>
      <c r="M1584" t="str">
        <f t="shared" si="73"/>
        <v>Inactive</v>
      </c>
      <c r="N1584">
        <v>0</v>
      </c>
      <c r="O1584">
        <v>1</v>
      </c>
      <c r="P1584">
        <v>6</v>
      </c>
      <c r="Q1584">
        <v>2</v>
      </c>
      <c r="R1584">
        <v>8</v>
      </c>
      <c r="S1584">
        <v>2</v>
      </c>
      <c r="T1584">
        <v>12</v>
      </c>
      <c r="U1584">
        <v>31</v>
      </c>
      <c r="V1584">
        <v>1</v>
      </c>
      <c r="W1584">
        <v>1</v>
      </c>
      <c r="X1584">
        <v>0</v>
      </c>
      <c r="Y1584">
        <v>2</v>
      </c>
      <c r="Z1584">
        <v>3</v>
      </c>
      <c r="AA1584">
        <v>7</v>
      </c>
      <c r="AB1584" t="str">
        <f t="shared" si="74"/>
        <v>Below average customer</v>
      </c>
    </row>
    <row r="1585" spans="1:28" x14ac:dyDescent="0.35">
      <c r="A1585">
        <v>2431</v>
      </c>
      <c r="B1585">
        <v>1990</v>
      </c>
      <c r="C1585" t="s">
        <v>30</v>
      </c>
      <c r="D1585" t="s">
        <v>26</v>
      </c>
      <c r="E1585" t="s">
        <v>33</v>
      </c>
      <c r="F1585">
        <v>18222</v>
      </c>
      <c r="G1585" t="str">
        <f t="shared" si="72"/>
        <v>Low</v>
      </c>
      <c r="H1585">
        <v>0</v>
      </c>
      <c r="I1585">
        <v>0</v>
      </c>
      <c r="J1585">
        <v>0</v>
      </c>
      <c r="K1585" s="1">
        <v>41274</v>
      </c>
      <c r="L1585">
        <v>70</v>
      </c>
      <c r="M1585" t="str">
        <f t="shared" si="73"/>
        <v>Inactive</v>
      </c>
      <c r="N1585">
        <v>0</v>
      </c>
      <c r="O1585">
        <v>12</v>
      </c>
      <c r="P1585">
        <v>4</v>
      </c>
      <c r="Q1585">
        <v>19</v>
      </c>
      <c r="R1585">
        <v>12</v>
      </c>
      <c r="S1585">
        <v>6</v>
      </c>
      <c r="T1585">
        <v>14</v>
      </c>
      <c r="U1585">
        <v>67</v>
      </c>
      <c r="V1585">
        <v>1</v>
      </c>
      <c r="W1585">
        <v>2</v>
      </c>
      <c r="X1585">
        <v>0</v>
      </c>
      <c r="Y1585">
        <v>3</v>
      </c>
      <c r="Z1585">
        <v>5</v>
      </c>
      <c r="AA1585">
        <v>8</v>
      </c>
      <c r="AB1585" t="str">
        <f t="shared" si="74"/>
        <v>Below average customer</v>
      </c>
    </row>
    <row r="1586" spans="1:28" x14ac:dyDescent="0.35">
      <c r="A1586">
        <v>550</v>
      </c>
      <c r="B1586">
        <v>1952</v>
      </c>
      <c r="C1586" t="s">
        <v>36</v>
      </c>
      <c r="D1586" t="s">
        <v>26</v>
      </c>
      <c r="E1586" t="s">
        <v>35</v>
      </c>
      <c r="F1586">
        <v>62335</v>
      </c>
      <c r="G1586" t="str">
        <f t="shared" si="72"/>
        <v>Mid-high</v>
      </c>
      <c r="H1586">
        <v>0</v>
      </c>
      <c r="I1586">
        <v>1</v>
      </c>
      <c r="J1586">
        <v>1</v>
      </c>
      <c r="K1586" s="1">
        <v>41417</v>
      </c>
      <c r="L1586">
        <v>87</v>
      </c>
      <c r="M1586" t="str">
        <f t="shared" si="73"/>
        <v>Inactive</v>
      </c>
      <c r="N1586">
        <v>0</v>
      </c>
      <c r="O1586">
        <v>243</v>
      </c>
      <c r="P1586">
        <v>131</v>
      </c>
      <c r="Q1586">
        <v>217</v>
      </c>
      <c r="R1586">
        <v>85</v>
      </c>
      <c r="S1586">
        <v>6</v>
      </c>
      <c r="T1586">
        <v>26</v>
      </c>
      <c r="U1586">
        <v>708</v>
      </c>
      <c r="V1586">
        <v>2</v>
      </c>
      <c r="W1586">
        <v>3</v>
      </c>
      <c r="X1586">
        <v>3</v>
      </c>
      <c r="Y1586">
        <v>13</v>
      </c>
      <c r="Z1586">
        <v>19</v>
      </c>
      <c r="AA1586">
        <v>2</v>
      </c>
      <c r="AB1586" t="str">
        <f t="shared" si="74"/>
        <v>Below average customer</v>
      </c>
    </row>
    <row r="1587" spans="1:28" x14ac:dyDescent="0.35">
      <c r="A1587">
        <v>1890</v>
      </c>
      <c r="B1587">
        <v>1971</v>
      </c>
      <c r="C1587" t="s">
        <v>28</v>
      </c>
      <c r="D1587" t="s">
        <v>34</v>
      </c>
      <c r="E1587" t="s">
        <v>29</v>
      </c>
      <c r="F1587">
        <v>42033</v>
      </c>
      <c r="G1587" t="str">
        <f t="shared" si="72"/>
        <v>Mid-low</v>
      </c>
      <c r="H1587">
        <v>1</v>
      </c>
      <c r="I1587">
        <v>1</v>
      </c>
      <c r="J1587">
        <v>2</v>
      </c>
      <c r="K1587" s="1">
        <v>41171</v>
      </c>
      <c r="L1587">
        <v>95</v>
      </c>
      <c r="M1587" t="str">
        <f t="shared" si="73"/>
        <v>Inactive</v>
      </c>
      <c r="N1587">
        <v>0</v>
      </c>
      <c r="O1587">
        <v>11</v>
      </c>
      <c r="P1587">
        <v>1</v>
      </c>
      <c r="Q1587">
        <v>4</v>
      </c>
      <c r="R1587">
        <v>2</v>
      </c>
      <c r="S1587">
        <v>0</v>
      </c>
      <c r="T1587">
        <v>7</v>
      </c>
      <c r="U1587">
        <v>25</v>
      </c>
      <c r="V1587">
        <v>1</v>
      </c>
      <c r="W1587">
        <v>1</v>
      </c>
      <c r="X1587">
        <v>0</v>
      </c>
      <c r="Y1587">
        <v>2</v>
      </c>
      <c r="Z1587">
        <v>3</v>
      </c>
      <c r="AA1587">
        <v>7</v>
      </c>
      <c r="AB1587" t="str">
        <f t="shared" si="74"/>
        <v>Below average customer</v>
      </c>
    </row>
    <row r="1588" spans="1:28" x14ac:dyDescent="0.35">
      <c r="A1588">
        <v>10742</v>
      </c>
      <c r="B1588">
        <v>1983</v>
      </c>
      <c r="C1588" t="s">
        <v>30</v>
      </c>
      <c r="D1588" t="s">
        <v>32</v>
      </c>
      <c r="E1588" t="s">
        <v>33</v>
      </c>
      <c r="F1588">
        <v>86580</v>
      </c>
      <c r="G1588" t="str">
        <f t="shared" si="72"/>
        <v>High</v>
      </c>
      <c r="H1588">
        <v>0</v>
      </c>
      <c r="I1588">
        <v>0</v>
      </c>
      <c r="J1588">
        <v>0</v>
      </c>
      <c r="K1588" s="1">
        <v>41332</v>
      </c>
      <c r="L1588">
        <v>72</v>
      </c>
      <c r="M1588" t="str">
        <f t="shared" si="73"/>
        <v>Inactive</v>
      </c>
      <c r="N1588">
        <v>0</v>
      </c>
      <c r="O1588">
        <v>532</v>
      </c>
      <c r="P1588">
        <v>21</v>
      </c>
      <c r="Q1588">
        <v>127</v>
      </c>
      <c r="R1588">
        <v>26</v>
      </c>
      <c r="S1588">
        <v>20</v>
      </c>
      <c r="T1588">
        <v>20</v>
      </c>
      <c r="U1588">
        <v>746</v>
      </c>
      <c r="V1588">
        <v>0</v>
      </c>
      <c r="W1588">
        <v>4</v>
      </c>
      <c r="X1588">
        <v>2</v>
      </c>
      <c r="Y1588">
        <v>5</v>
      </c>
      <c r="Z1588">
        <v>11</v>
      </c>
      <c r="AA1588">
        <v>1</v>
      </c>
      <c r="AB1588" t="str">
        <f t="shared" si="74"/>
        <v>Below average customer</v>
      </c>
    </row>
    <row r="1589" spans="1:28" x14ac:dyDescent="0.35">
      <c r="A1589">
        <v>10356</v>
      </c>
      <c r="B1589">
        <v>1957</v>
      </c>
      <c r="C1589" t="s">
        <v>25</v>
      </c>
      <c r="D1589" t="s">
        <v>32</v>
      </c>
      <c r="E1589" t="s">
        <v>35</v>
      </c>
      <c r="F1589">
        <v>41437</v>
      </c>
      <c r="G1589" t="str">
        <f t="shared" si="72"/>
        <v>Mid-low</v>
      </c>
      <c r="H1589">
        <v>1</v>
      </c>
      <c r="I1589">
        <v>1</v>
      </c>
      <c r="J1589">
        <v>2</v>
      </c>
      <c r="K1589" s="1">
        <v>41174</v>
      </c>
      <c r="L1589">
        <v>5</v>
      </c>
      <c r="M1589" t="str">
        <f t="shared" si="73"/>
        <v>Active</v>
      </c>
      <c r="N1589">
        <v>0</v>
      </c>
      <c r="O1589">
        <v>29</v>
      </c>
      <c r="P1589">
        <v>0</v>
      </c>
      <c r="Q1589">
        <v>2</v>
      </c>
      <c r="R1589">
        <v>0</v>
      </c>
      <c r="S1589">
        <v>0</v>
      </c>
      <c r="T1589">
        <v>1</v>
      </c>
      <c r="U1589">
        <v>32</v>
      </c>
      <c r="V1589">
        <v>1</v>
      </c>
      <c r="W1589">
        <v>1</v>
      </c>
      <c r="X1589">
        <v>0</v>
      </c>
      <c r="Y1589">
        <v>3</v>
      </c>
      <c r="Z1589">
        <v>4</v>
      </c>
      <c r="AA1589">
        <v>7</v>
      </c>
      <c r="AB1589" t="str">
        <f t="shared" si="74"/>
        <v>Below average customer</v>
      </c>
    </row>
    <row r="1590" spans="1:28" x14ac:dyDescent="0.35">
      <c r="A1590">
        <v>4676</v>
      </c>
      <c r="B1590">
        <v>1951</v>
      </c>
      <c r="C1590" t="s">
        <v>36</v>
      </c>
      <c r="D1590" t="s">
        <v>34</v>
      </c>
      <c r="E1590" t="s">
        <v>38</v>
      </c>
      <c r="F1590">
        <v>73705</v>
      </c>
      <c r="G1590" t="str">
        <f t="shared" si="72"/>
        <v>High</v>
      </c>
      <c r="H1590">
        <v>0</v>
      </c>
      <c r="I1590">
        <v>2</v>
      </c>
      <c r="J1590">
        <v>2</v>
      </c>
      <c r="K1590" s="1">
        <v>41703</v>
      </c>
      <c r="L1590">
        <v>86</v>
      </c>
      <c r="M1590" t="str">
        <f t="shared" si="73"/>
        <v>Inactive</v>
      </c>
      <c r="N1590">
        <v>0</v>
      </c>
      <c r="O1590">
        <v>612</v>
      </c>
      <c r="P1590">
        <v>91</v>
      </c>
      <c r="Q1590">
        <v>520</v>
      </c>
      <c r="R1590">
        <v>258</v>
      </c>
      <c r="S1590">
        <v>107</v>
      </c>
      <c r="T1590">
        <v>107</v>
      </c>
      <c r="U1590">
        <v>1695</v>
      </c>
      <c r="V1590">
        <v>2</v>
      </c>
      <c r="W1590">
        <v>9</v>
      </c>
      <c r="X1590">
        <v>6</v>
      </c>
      <c r="Y1590">
        <v>8</v>
      </c>
      <c r="Z1590">
        <v>23</v>
      </c>
      <c r="AA1590">
        <v>5</v>
      </c>
      <c r="AB1590" t="str">
        <f t="shared" si="74"/>
        <v>Below average customer</v>
      </c>
    </row>
    <row r="1591" spans="1:28" x14ac:dyDescent="0.35">
      <c r="A1591">
        <v>8852</v>
      </c>
      <c r="B1591">
        <v>1976</v>
      </c>
      <c r="C1591" t="s">
        <v>31</v>
      </c>
      <c r="D1591" t="s">
        <v>26</v>
      </c>
      <c r="E1591" t="s">
        <v>33</v>
      </c>
      <c r="F1591">
        <v>61064</v>
      </c>
      <c r="G1591" t="str">
        <f t="shared" si="72"/>
        <v>Mid-high</v>
      </c>
      <c r="H1591">
        <v>0</v>
      </c>
      <c r="I1591">
        <v>1</v>
      </c>
      <c r="J1591">
        <v>1</v>
      </c>
      <c r="K1591" s="1">
        <v>41152</v>
      </c>
      <c r="L1591">
        <v>80</v>
      </c>
      <c r="M1591" t="str">
        <f t="shared" si="73"/>
        <v>Inactive</v>
      </c>
      <c r="N1591">
        <v>0</v>
      </c>
      <c r="O1591">
        <v>387</v>
      </c>
      <c r="P1591">
        <v>126</v>
      </c>
      <c r="Q1591">
        <v>342</v>
      </c>
      <c r="R1591">
        <v>0</v>
      </c>
      <c r="S1591">
        <v>45</v>
      </c>
      <c r="T1591">
        <v>180</v>
      </c>
      <c r="U1591">
        <v>1080</v>
      </c>
      <c r="V1591">
        <v>5</v>
      </c>
      <c r="W1591">
        <v>8</v>
      </c>
      <c r="X1591">
        <v>4</v>
      </c>
      <c r="Y1591">
        <v>11</v>
      </c>
      <c r="Z1591">
        <v>23</v>
      </c>
      <c r="AA1591">
        <v>6</v>
      </c>
      <c r="AB1591" t="str">
        <f t="shared" si="74"/>
        <v>Below average customer</v>
      </c>
    </row>
    <row r="1592" spans="1:28" x14ac:dyDescent="0.35">
      <c r="A1592">
        <v>5294</v>
      </c>
      <c r="B1592">
        <v>1989</v>
      </c>
      <c r="C1592" t="s">
        <v>30</v>
      </c>
      <c r="D1592" t="s">
        <v>26</v>
      </c>
      <c r="E1592" t="s">
        <v>27</v>
      </c>
      <c r="F1592">
        <v>18358</v>
      </c>
      <c r="G1592" t="str">
        <f t="shared" si="72"/>
        <v>Low</v>
      </c>
      <c r="H1592">
        <v>1</v>
      </c>
      <c r="I1592">
        <v>0</v>
      </c>
      <c r="J1592">
        <v>1</v>
      </c>
      <c r="K1592" s="1">
        <v>41598</v>
      </c>
      <c r="L1592">
        <v>49</v>
      </c>
      <c r="M1592" t="str">
        <f t="shared" si="73"/>
        <v>Inactive</v>
      </c>
      <c r="N1592">
        <v>0</v>
      </c>
      <c r="O1592">
        <v>6</v>
      </c>
      <c r="P1592">
        <v>8</v>
      </c>
      <c r="Q1592">
        <v>19</v>
      </c>
      <c r="R1592">
        <v>16</v>
      </c>
      <c r="S1592">
        <v>4</v>
      </c>
      <c r="T1592">
        <v>4</v>
      </c>
      <c r="U1592">
        <v>57</v>
      </c>
      <c r="V1592">
        <v>3</v>
      </c>
      <c r="W1592">
        <v>3</v>
      </c>
      <c r="X1592">
        <v>0</v>
      </c>
      <c r="Y1592">
        <v>4</v>
      </c>
      <c r="Z1592">
        <v>7</v>
      </c>
      <c r="AA1592">
        <v>7</v>
      </c>
      <c r="AB1592" t="str">
        <f t="shared" si="74"/>
        <v>Below average customer</v>
      </c>
    </row>
    <row r="1593" spans="1:28" x14ac:dyDescent="0.35">
      <c r="A1593">
        <v>1958</v>
      </c>
      <c r="B1593">
        <v>1973</v>
      </c>
      <c r="C1593" t="s">
        <v>31</v>
      </c>
      <c r="D1593" t="s">
        <v>32</v>
      </c>
      <c r="E1593" t="s">
        <v>29</v>
      </c>
      <c r="F1593">
        <v>55012</v>
      </c>
      <c r="G1593" t="str">
        <f t="shared" si="72"/>
        <v>Mid-high</v>
      </c>
      <c r="H1593">
        <v>0</v>
      </c>
      <c r="I1593">
        <v>1</v>
      </c>
      <c r="J1593">
        <v>1</v>
      </c>
      <c r="K1593" s="1">
        <v>41719</v>
      </c>
      <c r="L1593">
        <v>85</v>
      </c>
      <c r="M1593" t="str">
        <f t="shared" si="73"/>
        <v>Inactive</v>
      </c>
      <c r="N1593">
        <v>0</v>
      </c>
      <c r="O1593">
        <v>582</v>
      </c>
      <c r="P1593">
        <v>0</v>
      </c>
      <c r="Q1593">
        <v>65</v>
      </c>
      <c r="R1593">
        <v>0</v>
      </c>
      <c r="S1593">
        <v>0</v>
      </c>
      <c r="T1593">
        <v>13</v>
      </c>
      <c r="U1593">
        <v>660</v>
      </c>
      <c r="V1593">
        <v>6</v>
      </c>
      <c r="W1593">
        <v>8</v>
      </c>
      <c r="X1593">
        <v>2</v>
      </c>
      <c r="Y1593">
        <v>9</v>
      </c>
      <c r="Z1593">
        <v>19</v>
      </c>
      <c r="AA1593">
        <v>5</v>
      </c>
      <c r="AB1593" t="str">
        <f t="shared" si="74"/>
        <v>Below average customer</v>
      </c>
    </row>
    <row r="1594" spans="1:28" x14ac:dyDescent="0.35">
      <c r="A1594">
        <v>7349</v>
      </c>
      <c r="B1594">
        <v>1973</v>
      </c>
      <c r="C1594" t="s">
        <v>31</v>
      </c>
      <c r="D1594" t="s">
        <v>37</v>
      </c>
      <c r="E1594" t="s">
        <v>29</v>
      </c>
      <c r="F1594">
        <v>9722</v>
      </c>
      <c r="G1594" t="str">
        <f t="shared" si="72"/>
        <v>Low</v>
      </c>
      <c r="H1594">
        <v>1</v>
      </c>
      <c r="I1594">
        <v>0</v>
      </c>
      <c r="J1594">
        <v>1</v>
      </c>
      <c r="K1594" s="1">
        <v>41184</v>
      </c>
      <c r="L1594">
        <v>7</v>
      </c>
      <c r="M1594" t="str">
        <f t="shared" si="73"/>
        <v>Active</v>
      </c>
      <c r="N1594">
        <v>0</v>
      </c>
      <c r="O1594">
        <v>6</v>
      </c>
      <c r="P1594">
        <v>17</v>
      </c>
      <c r="Q1594">
        <v>16</v>
      </c>
      <c r="R1594">
        <v>6</v>
      </c>
      <c r="S1594">
        <v>16</v>
      </c>
      <c r="T1594">
        <v>42</v>
      </c>
      <c r="U1594">
        <v>103</v>
      </c>
      <c r="V1594">
        <v>4</v>
      </c>
      <c r="W1594">
        <v>3</v>
      </c>
      <c r="X1594">
        <v>1</v>
      </c>
      <c r="Y1594">
        <v>3</v>
      </c>
      <c r="Z1594">
        <v>7</v>
      </c>
      <c r="AA1594">
        <v>8</v>
      </c>
      <c r="AB1594" t="str">
        <f t="shared" si="74"/>
        <v>Below average customer</v>
      </c>
    </row>
    <row r="1595" spans="1:28" x14ac:dyDescent="0.35">
      <c r="A1595">
        <v>8799</v>
      </c>
      <c r="B1595">
        <v>1984</v>
      </c>
      <c r="C1595" t="s">
        <v>30</v>
      </c>
      <c r="D1595" t="s">
        <v>32</v>
      </c>
      <c r="E1595" t="s">
        <v>33</v>
      </c>
      <c r="F1595">
        <v>38175</v>
      </c>
      <c r="G1595" t="str">
        <f t="shared" si="72"/>
        <v>Mid-low</v>
      </c>
      <c r="H1595">
        <v>1</v>
      </c>
      <c r="I1595">
        <v>0</v>
      </c>
      <c r="J1595">
        <v>1</v>
      </c>
      <c r="K1595" s="1">
        <v>41540</v>
      </c>
      <c r="L1595">
        <v>6</v>
      </c>
      <c r="M1595" t="str">
        <f t="shared" si="73"/>
        <v>Active</v>
      </c>
      <c r="N1595">
        <v>0</v>
      </c>
      <c r="O1595">
        <v>70</v>
      </c>
      <c r="P1595">
        <v>6</v>
      </c>
      <c r="Q1595">
        <v>69</v>
      </c>
      <c r="R1595">
        <v>2</v>
      </c>
      <c r="S1595">
        <v>3</v>
      </c>
      <c r="T1595">
        <v>3</v>
      </c>
      <c r="U1595">
        <v>153</v>
      </c>
      <c r="V1595">
        <v>3</v>
      </c>
      <c r="W1595">
        <v>3</v>
      </c>
      <c r="X1595">
        <v>1</v>
      </c>
      <c r="Y1595">
        <v>4</v>
      </c>
      <c r="Z1595">
        <v>8</v>
      </c>
      <c r="AA1595">
        <v>7</v>
      </c>
      <c r="AB1595" t="str">
        <f t="shared" si="74"/>
        <v>Below average customer</v>
      </c>
    </row>
    <row r="1596" spans="1:28" x14ac:dyDescent="0.35">
      <c r="A1596">
        <v>1351</v>
      </c>
      <c r="B1596">
        <v>1956</v>
      </c>
      <c r="C1596" t="s">
        <v>25</v>
      </c>
      <c r="D1596" t="s">
        <v>34</v>
      </c>
      <c r="E1596" t="s">
        <v>29</v>
      </c>
      <c r="F1596">
        <v>58656</v>
      </c>
      <c r="G1596" t="str">
        <f t="shared" si="72"/>
        <v>Mid-high</v>
      </c>
      <c r="H1596">
        <v>0</v>
      </c>
      <c r="I1596">
        <v>1</v>
      </c>
      <c r="J1596">
        <v>1</v>
      </c>
      <c r="K1596" s="1">
        <v>41172</v>
      </c>
      <c r="L1596">
        <v>25</v>
      </c>
      <c r="M1596" t="str">
        <f t="shared" si="73"/>
        <v>Active</v>
      </c>
      <c r="N1596">
        <v>0</v>
      </c>
      <c r="O1596">
        <v>962</v>
      </c>
      <c r="P1596">
        <v>12</v>
      </c>
      <c r="Q1596">
        <v>194</v>
      </c>
      <c r="R1596">
        <v>16</v>
      </c>
      <c r="S1596">
        <v>24</v>
      </c>
      <c r="T1596">
        <v>12</v>
      </c>
      <c r="U1596">
        <v>1220</v>
      </c>
      <c r="V1596">
        <v>4</v>
      </c>
      <c r="W1596">
        <v>7</v>
      </c>
      <c r="X1596">
        <v>8</v>
      </c>
      <c r="Y1596">
        <v>13</v>
      </c>
      <c r="Z1596">
        <v>28</v>
      </c>
      <c r="AA1596">
        <v>6</v>
      </c>
      <c r="AB1596" t="str">
        <f t="shared" si="74"/>
        <v>Above average customer</v>
      </c>
    </row>
    <row r="1597" spans="1:28" x14ac:dyDescent="0.35">
      <c r="A1597">
        <v>1045</v>
      </c>
      <c r="B1597">
        <v>1965</v>
      </c>
      <c r="C1597" t="s">
        <v>28</v>
      </c>
      <c r="D1597" t="s">
        <v>26</v>
      </c>
      <c r="E1597" t="s">
        <v>29</v>
      </c>
      <c r="F1597">
        <v>52117</v>
      </c>
      <c r="G1597" t="str">
        <f t="shared" si="72"/>
        <v>Mid-high</v>
      </c>
      <c r="H1597">
        <v>0</v>
      </c>
      <c r="I1597">
        <v>1</v>
      </c>
      <c r="J1597">
        <v>1</v>
      </c>
      <c r="K1597" s="1">
        <v>41137</v>
      </c>
      <c r="L1597">
        <v>55</v>
      </c>
      <c r="M1597" t="str">
        <f t="shared" si="73"/>
        <v>Inactive</v>
      </c>
      <c r="N1597">
        <v>0</v>
      </c>
      <c r="O1597">
        <v>112</v>
      </c>
      <c r="P1597">
        <v>10</v>
      </c>
      <c r="Q1597">
        <v>107</v>
      </c>
      <c r="R1597">
        <v>30</v>
      </c>
      <c r="S1597">
        <v>0</v>
      </c>
      <c r="T1597">
        <v>20</v>
      </c>
      <c r="U1597">
        <v>279</v>
      </c>
      <c r="V1597">
        <v>2</v>
      </c>
      <c r="W1597">
        <v>5</v>
      </c>
      <c r="X1597">
        <v>2</v>
      </c>
      <c r="Y1597">
        <v>4</v>
      </c>
      <c r="Z1597">
        <v>11</v>
      </c>
      <c r="AA1597">
        <v>7</v>
      </c>
      <c r="AB1597" t="str">
        <f t="shared" si="74"/>
        <v>Below average customer</v>
      </c>
    </row>
    <row r="1598" spans="1:28" x14ac:dyDescent="0.35">
      <c r="A1598">
        <v>7732</v>
      </c>
      <c r="B1598">
        <v>1978</v>
      </c>
      <c r="C1598" t="s">
        <v>31</v>
      </c>
      <c r="D1598" t="s">
        <v>26</v>
      </c>
      <c r="E1598" t="s">
        <v>33</v>
      </c>
      <c r="F1598">
        <v>64813</v>
      </c>
      <c r="G1598" t="str">
        <f t="shared" si="72"/>
        <v>Mid-high</v>
      </c>
      <c r="H1598">
        <v>1</v>
      </c>
      <c r="I1598">
        <v>0</v>
      </c>
      <c r="J1598">
        <v>1</v>
      </c>
      <c r="K1598" s="1">
        <v>41641</v>
      </c>
      <c r="L1598">
        <v>81</v>
      </c>
      <c r="M1598" t="str">
        <f t="shared" si="73"/>
        <v>Inactive</v>
      </c>
      <c r="N1598">
        <v>0</v>
      </c>
      <c r="O1598">
        <v>293</v>
      </c>
      <c r="P1598">
        <v>0</v>
      </c>
      <c r="Q1598">
        <v>124</v>
      </c>
      <c r="R1598">
        <v>179</v>
      </c>
      <c r="S1598">
        <v>97</v>
      </c>
      <c r="T1598">
        <v>52</v>
      </c>
      <c r="U1598">
        <v>745</v>
      </c>
      <c r="V1598">
        <v>1</v>
      </c>
      <c r="W1598">
        <v>7</v>
      </c>
      <c r="X1598">
        <v>2</v>
      </c>
      <c r="Y1598">
        <v>10</v>
      </c>
      <c r="Z1598">
        <v>19</v>
      </c>
      <c r="AA1598">
        <v>5</v>
      </c>
      <c r="AB1598" t="str">
        <f t="shared" si="74"/>
        <v>Below average customer</v>
      </c>
    </row>
    <row r="1599" spans="1:28" x14ac:dyDescent="0.35">
      <c r="A1599">
        <v>8070</v>
      </c>
      <c r="B1599">
        <v>1973</v>
      </c>
      <c r="C1599" t="s">
        <v>31</v>
      </c>
      <c r="D1599" t="s">
        <v>32</v>
      </c>
      <c r="E1599" t="s">
        <v>33</v>
      </c>
      <c r="F1599">
        <v>54222</v>
      </c>
      <c r="G1599" t="str">
        <f t="shared" si="72"/>
        <v>Mid-high</v>
      </c>
      <c r="H1599">
        <v>0</v>
      </c>
      <c r="I1599">
        <v>1</v>
      </c>
      <c r="J1599">
        <v>1</v>
      </c>
      <c r="K1599" s="1">
        <v>41699</v>
      </c>
      <c r="L1599">
        <v>98</v>
      </c>
      <c r="M1599" t="str">
        <f t="shared" si="73"/>
        <v>Inactive</v>
      </c>
      <c r="N1599">
        <v>0</v>
      </c>
      <c r="O1599">
        <v>199</v>
      </c>
      <c r="P1599">
        <v>12</v>
      </c>
      <c r="Q1599">
        <v>31</v>
      </c>
      <c r="R1599">
        <v>3</v>
      </c>
      <c r="S1599">
        <v>12</v>
      </c>
      <c r="T1599">
        <v>7</v>
      </c>
      <c r="U1599">
        <v>264</v>
      </c>
      <c r="V1599">
        <v>1</v>
      </c>
      <c r="W1599">
        <v>3</v>
      </c>
      <c r="X1599">
        <v>3</v>
      </c>
      <c r="Y1599">
        <v>5</v>
      </c>
      <c r="Z1599">
        <v>11</v>
      </c>
      <c r="AA1599">
        <v>3</v>
      </c>
      <c r="AB1599" t="str">
        <f t="shared" si="74"/>
        <v>Below average customer</v>
      </c>
    </row>
    <row r="1600" spans="1:28" x14ac:dyDescent="0.35">
      <c r="A1600">
        <v>477</v>
      </c>
      <c r="B1600">
        <v>1986</v>
      </c>
      <c r="C1600" t="s">
        <v>30</v>
      </c>
      <c r="D1600" t="s">
        <v>26</v>
      </c>
      <c r="E1600" t="s">
        <v>33</v>
      </c>
      <c r="F1600">
        <v>83512</v>
      </c>
      <c r="G1600" t="str">
        <f t="shared" si="72"/>
        <v>High</v>
      </c>
      <c r="H1600">
        <v>0</v>
      </c>
      <c r="I1600">
        <v>0</v>
      </c>
      <c r="J1600">
        <v>0</v>
      </c>
      <c r="K1600" s="1">
        <v>41807</v>
      </c>
      <c r="L1600">
        <v>31</v>
      </c>
      <c r="M1600" t="str">
        <f t="shared" si="73"/>
        <v>Active</v>
      </c>
      <c r="N1600">
        <v>0</v>
      </c>
      <c r="O1600">
        <v>1060</v>
      </c>
      <c r="P1600">
        <v>61</v>
      </c>
      <c r="Q1600">
        <v>835</v>
      </c>
      <c r="R1600">
        <v>80</v>
      </c>
      <c r="S1600">
        <v>20</v>
      </c>
      <c r="T1600">
        <v>101</v>
      </c>
      <c r="U1600">
        <v>2157</v>
      </c>
      <c r="V1600">
        <v>1</v>
      </c>
      <c r="W1600">
        <v>4</v>
      </c>
      <c r="X1600">
        <v>7</v>
      </c>
      <c r="Y1600">
        <v>10</v>
      </c>
      <c r="Z1600">
        <v>21</v>
      </c>
      <c r="AA1600">
        <v>1</v>
      </c>
      <c r="AB1600" t="str">
        <f t="shared" si="74"/>
        <v>Above average customer</v>
      </c>
    </row>
    <row r="1601" spans="1:28" x14ac:dyDescent="0.35">
      <c r="A1601">
        <v>7832</v>
      </c>
      <c r="B1601">
        <v>1959</v>
      </c>
      <c r="C1601" t="s">
        <v>25</v>
      </c>
      <c r="D1601" t="s">
        <v>34</v>
      </c>
      <c r="E1601" t="s">
        <v>33</v>
      </c>
      <c r="F1601">
        <v>77520</v>
      </c>
      <c r="G1601" t="str">
        <f t="shared" si="72"/>
        <v>High</v>
      </c>
      <c r="H1601">
        <v>0</v>
      </c>
      <c r="I1601">
        <v>1</v>
      </c>
      <c r="J1601">
        <v>1</v>
      </c>
      <c r="K1601" s="1">
        <v>41514</v>
      </c>
      <c r="L1601">
        <v>30</v>
      </c>
      <c r="M1601" t="str">
        <f t="shared" si="73"/>
        <v>Active</v>
      </c>
      <c r="N1601">
        <v>0</v>
      </c>
      <c r="O1601">
        <v>940</v>
      </c>
      <c r="P1601">
        <v>44</v>
      </c>
      <c r="Q1601">
        <v>396</v>
      </c>
      <c r="R1601">
        <v>0</v>
      </c>
      <c r="S1601">
        <v>88</v>
      </c>
      <c r="T1601">
        <v>58</v>
      </c>
      <c r="U1601">
        <v>1526</v>
      </c>
      <c r="V1601">
        <v>1</v>
      </c>
      <c r="W1601">
        <v>8</v>
      </c>
      <c r="X1601">
        <v>7</v>
      </c>
      <c r="Y1601">
        <v>7</v>
      </c>
      <c r="Z1601">
        <v>22</v>
      </c>
      <c r="AA1601">
        <v>4</v>
      </c>
      <c r="AB1601" t="str">
        <f t="shared" si="74"/>
        <v>Above average customer</v>
      </c>
    </row>
    <row r="1602" spans="1:28" x14ac:dyDescent="0.35">
      <c r="A1602">
        <v>2202</v>
      </c>
      <c r="B1602">
        <v>1978</v>
      </c>
      <c r="C1602" t="s">
        <v>31</v>
      </c>
      <c r="D1602" t="s">
        <v>26</v>
      </c>
      <c r="E1602" t="s">
        <v>29</v>
      </c>
      <c r="F1602">
        <v>41154</v>
      </c>
      <c r="G1602" t="str">
        <f t="shared" ref="G1602:G1665" si="75">IF(F1602&lt;=_xlfn.PERCENTILE.INC($F$2:$F$2056,0.25),"Low",IF(F1602&lt;=_xlfn.PERCENTILE.INC($F$2:$F$2056,0.5),"Mid-low",IF(F1602&lt;=_xlfn.PERCENTILE.INC($F$2:$F$2056,0.75),"Mid-high","High")))</f>
        <v>Mid-low</v>
      </c>
      <c r="H1602">
        <v>0</v>
      </c>
      <c r="I1602">
        <v>1</v>
      </c>
      <c r="J1602">
        <v>1</v>
      </c>
      <c r="K1602" s="1">
        <v>41373</v>
      </c>
      <c r="L1602">
        <v>98</v>
      </c>
      <c r="M1602" t="str">
        <f t="shared" ref="M1602:M1665" si="76">IF(L1602&gt;AVERAGE($L$2:$L$2056),"Inactive","Active")</f>
        <v>Inactive</v>
      </c>
      <c r="N1602">
        <v>0</v>
      </c>
      <c r="O1602">
        <v>44</v>
      </c>
      <c r="P1602">
        <v>2</v>
      </c>
      <c r="Q1602">
        <v>11</v>
      </c>
      <c r="R1602">
        <v>2</v>
      </c>
      <c r="S1602">
        <v>3</v>
      </c>
      <c r="T1602">
        <v>7</v>
      </c>
      <c r="U1602">
        <v>69</v>
      </c>
      <c r="V1602">
        <v>1</v>
      </c>
      <c r="W1602">
        <v>1</v>
      </c>
      <c r="X1602">
        <v>0</v>
      </c>
      <c r="Y1602">
        <v>4</v>
      </c>
      <c r="Z1602">
        <v>5</v>
      </c>
      <c r="AA1602">
        <v>5</v>
      </c>
      <c r="AB1602" t="str">
        <f t="shared" ref="AB1602:AB1665" si="77">IF(AND(Z1602&gt;AVERAGE($Z$2:$Z$2056),U1602&gt;AVERAGE($U$2:$U$2056),N1602=0,L1602&lt;AVERAGE($L$2:$L$2056),F1602&gt;AVERAGE($F$2:$F$2240)),"Above average customer","Below average customer")</f>
        <v>Below average customer</v>
      </c>
    </row>
    <row r="1603" spans="1:28" x14ac:dyDescent="0.35">
      <c r="A1603">
        <v>7396</v>
      </c>
      <c r="B1603">
        <v>1966</v>
      </c>
      <c r="C1603" t="s">
        <v>28</v>
      </c>
      <c r="D1603" t="s">
        <v>26</v>
      </c>
      <c r="E1603" t="s">
        <v>33</v>
      </c>
      <c r="F1603">
        <v>80398</v>
      </c>
      <c r="G1603" t="str">
        <f t="shared" si="75"/>
        <v>High</v>
      </c>
      <c r="H1603">
        <v>0</v>
      </c>
      <c r="I1603">
        <v>0</v>
      </c>
      <c r="J1603">
        <v>0</v>
      </c>
      <c r="K1603" s="1">
        <v>41223</v>
      </c>
      <c r="L1603">
        <v>92</v>
      </c>
      <c r="M1603" t="str">
        <f t="shared" si="76"/>
        <v>Inactive</v>
      </c>
      <c r="N1603">
        <v>0</v>
      </c>
      <c r="O1603">
        <v>342</v>
      </c>
      <c r="P1603">
        <v>51</v>
      </c>
      <c r="Q1603">
        <v>936</v>
      </c>
      <c r="R1603">
        <v>207</v>
      </c>
      <c r="S1603">
        <v>35</v>
      </c>
      <c r="T1603">
        <v>26</v>
      </c>
      <c r="U1603">
        <v>1597</v>
      </c>
      <c r="V1603">
        <v>1</v>
      </c>
      <c r="W1603">
        <v>5</v>
      </c>
      <c r="X1603">
        <v>8</v>
      </c>
      <c r="Y1603">
        <v>12</v>
      </c>
      <c r="Z1603">
        <v>25</v>
      </c>
      <c r="AA1603">
        <v>3</v>
      </c>
      <c r="AB1603" t="str">
        <f t="shared" si="77"/>
        <v>Below average customer</v>
      </c>
    </row>
    <row r="1604" spans="1:28" x14ac:dyDescent="0.35">
      <c r="A1604">
        <v>4055</v>
      </c>
      <c r="B1604">
        <v>1992</v>
      </c>
      <c r="C1604" t="s">
        <v>30</v>
      </c>
      <c r="D1604" t="s">
        <v>37</v>
      </c>
      <c r="E1604" t="s">
        <v>27</v>
      </c>
      <c r="F1604">
        <v>18746</v>
      </c>
      <c r="G1604" t="str">
        <f t="shared" si="75"/>
        <v>Low</v>
      </c>
      <c r="H1604">
        <v>1</v>
      </c>
      <c r="I1604">
        <v>0</v>
      </c>
      <c r="J1604">
        <v>1</v>
      </c>
      <c r="K1604" s="1">
        <v>41788</v>
      </c>
      <c r="L1604">
        <v>41</v>
      </c>
      <c r="M1604" t="str">
        <f t="shared" si="76"/>
        <v>Active</v>
      </c>
      <c r="N1604">
        <v>0</v>
      </c>
      <c r="O1604">
        <v>2</v>
      </c>
      <c r="P1604">
        <v>10</v>
      </c>
      <c r="Q1604">
        <v>11</v>
      </c>
      <c r="R1604">
        <v>12</v>
      </c>
      <c r="S1604">
        <v>9</v>
      </c>
      <c r="T1604">
        <v>20</v>
      </c>
      <c r="U1604">
        <v>64</v>
      </c>
      <c r="V1604">
        <v>2</v>
      </c>
      <c r="W1604">
        <v>3</v>
      </c>
      <c r="X1604">
        <v>0</v>
      </c>
      <c r="Y1604">
        <v>3</v>
      </c>
      <c r="Z1604">
        <v>6</v>
      </c>
      <c r="AA1604">
        <v>6</v>
      </c>
      <c r="AB1604" t="str">
        <f t="shared" si="77"/>
        <v>Below average customer</v>
      </c>
    </row>
    <row r="1605" spans="1:28" x14ac:dyDescent="0.35">
      <c r="A1605">
        <v>10340</v>
      </c>
      <c r="B1605">
        <v>1984</v>
      </c>
      <c r="C1605" t="s">
        <v>30</v>
      </c>
      <c r="D1605" t="s">
        <v>26</v>
      </c>
      <c r="E1605" t="s">
        <v>29</v>
      </c>
      <c r="F1605">
        <v>35196</v>
      </c>
      <c r="G1605" t="str">
        <f t="shared" si="75"/>
        <v>Low</v>
      </c>
      <c r="H1605">
        <v>1</v>
      </c>
      <c r="I1605">
        <v>0</v>
      </c>
      <c r="J1605">
        <v>1</v>
      </c>
      <c r="K1605" s="1">
        <v>41226</v>
      </c>
      <c r="L1605">
        <v>68</v>
      </c>
      <c r="M1605" t="str">
        <f t="shared" si="76"/>
        <v>Inactive</v>
      </c>
      <c r="N1605">
        <v>0</v>
      </c>
      <c r="O1605">
        <v>75</v>
      </c>
      <c r="P1605">
        <v>12</v>
      </c>
      <c r="Q1605">
        <v>141</v>
      </c>
      <c r="R1605">
        <v>43</v>
      </c>
      <c r="S1605">
        <v>39</v>
      </c>
      <c r="T1605">
        <v>187</v>
      </c>
      <c r="U1605">
        <v>497</v>
      </c>
      <c r="V1605">
        <v>6</v>
      </c>
      <c r="W1605">
        <v>6</v>
      </c>
      <c r="X1605">
        <v>1</v>
      </c>
      <c r="Y1605">
        <v>5</v>
      </c>
      <c r="Z1605">
        <v>12</v>
      </c>
      <c r="AA1605">
        <v>8</v>
      </c>
      <c r="AB1605" t="str">
        <f t="shared" si="77"/>
        <v>Below average customer</v>
      </c>
    </row>
    <row r="1606" spans="1:28" x14ac:dyDescent="0.35">
      <c r="A1606">
        <v>10091</v>
      </c>
      <c r="B1606">
        <v>1956</v>
      </c>
      <c r="C1606" t="s">
        <v>25</v>
      </c>
      <c r="D1606" t="s">
        <v>26</v>
      </c>
      <c r="E1606" t="s">
        <v>27</v>
      </c>
      <c r="F1606">
        <v>60230</v>
      </c>
      <c r="G1606" t="str">
        <f t="shared" si="75"/>
        <v>Mid-high</v>
      </c>
      <c r="H1606">
        <v>0</v>
      </c>
      <c r="I1606">
        <v>1</v>
      </c>
      <c r="J1606">
        <v>1</v>
      </c>
      <c r="K1606" s="1">
        <v>41414</v>
      </c>
      <c r="L1606">
        <v>78</v>
      </c>
      <c r="M1606" t="str">
        <f t="shared" si="76"/>
        <v>Inactive</v>
      </c>
      <c r="N1606">
        <v>0</v>
      </c>
      <c r="O1606">
        <v>520</v>
      </c>
      <c r="P1606">
        <v>20</v>
      </c>
      <c r="Q1606">
        <v>367</v>
      </c>
      <c r="R1606">
        <v>39</v>
      </c>
      <c r="S1606">
        <v>81</v>
      </c>
      <c r="T1606">
        <v>40</v>
      </c>
      <c r="U1606">
        <v>1067</v>
      </c>
      <c r="V1606">
        <v>2</v>
      </c>
      <c r="W1606">
        <v>6</v>
      </c>
      <c r="X1606">
        <v>3</v>
      </c>
      <c r="Y1606">
        <v>6</v>
      </c>
      <c r="Z1606">
        <v>15</v>
      </c>
      <c r="AA1606">
        <v>5</v>
      </c>
      <c r="AB1606" t="str">
        <f t="shared" si="77"/>
        <v>Below average customer</v>
      </c>
    </row>
    <row r="1607" spans="1:28" x14ac:dyDescent="0.35">
      <c r="A1607">
        <v>7629</v>
      </c>
      <c r="B1607">
        <v>1977</v>
      </c>
      <c r="C1607" t="s">
        <v>31</v>
      </c>
      <c r="D1607" t="s">
        <v>26</v>
      </c>
      <c r="E1607" t="s">
        <v>33</v>
      </c>
      <c r="F1607">
        <v>22108</v>
      </c>
      <c r="G1607" t="str">
        <f t="shared" si="75"/>
        <v>Low</v>
      </c>
      <c r="H1607">
        <v>1</v>
      </c>
      <c r="I1607">
        <v>1</v>
      </c>
      <c r="J1607">
        <v>2</v>
      </c>
      <c r="K1607" s="1">
        <v>41767</v>
      </c>
      <c r="L1607">
        <v>46</v>
      </c>
      <c r="M1607" t="str">
        <f t="shared" si="76"/>
        <v>Active</v>
      </c>
      <c r="N1607">
        <v>0</v>
      </c>
      <c r="O1607">
        <v>5</v>
      </c>
      <c r="P1607">
        <v>3</v>
      </c>
      <c r="Q1607">
        <v>9</v>
      </c>
      <c r="R1607">
        <v>6</v>
      </c>
      <c r="S1607">
        <v>2</v>
      </c>
      <c r="T1607">
        <v>6</v>
      </c>
      <c r="U1607">
        <v>31</v>
      </c>
      <c r="V1607">
        <v>2</v>
      </c>
      <c r="W1607">
        <v>2</v>
      </c>
      <c r="X1607">
        <v>0</v>
      </c>
      <c r="Y1607">
        <v>3</v>
      </c>
      <c r="Z1607">
        <v>5</v>
      </c>
      <c r="AA1607">
        <v>7</v>
      </c>
      <c r="AB1607" t="str">
        <f t="shared" si="77"/>
        <v>Below average customer</v>
      </c>
    </row>
    <row r="1608" spans="1:28" x14ac:dyDescent="0.35">
      <c r="A1608">
        <v>10640</v>
      </c>
      <c r="B1608">
        <v>1974</v>
      </c>
      <c r="C1608" t="s">
        <v>31</v>
      </c>
      <c r="D1608" t="s">
        <v>26</v>
      </c>
      <c r="E1608" t="s">
        <v>29</v>
      </c>
      <c r="F1608">
        <v>44392</v>
      </c>
      <c r="G1608" t="str">
        <f t="shared" si="75"/>
        <v>Mid-low</v>
      </c>
      <c r="H1608">
        <v>1</v>
      </c>
      <c r="I1608">
        <v>1</v>
      </c>
      <c r="J1608">
        <v>2</v>
      </c>
      <c r="K1608" s="1">
        <v>41522</v>
      </c>
      <c r="L1608">
        <v>71</v>
      </c>
      <c r="M1608" t="str">
        <f t="shared" si="76"/>
        <v>Inactive</v>
      </c>
      <c r="N1608">
        <v>0</v>
      </c>
      <c r="O1608">
        <v>87</v>
      </c>
      <c r="P1608">
        <v>5</v>
      </c>
      <c r="Q1608">
        <v>71</v>
      </c>
      <c r="R1608">
        <v>7</v>
      </c>
      <c r="S1608">
        <v>12</v>
      </c>
      <c r="T1608">
        <v>29</v>
      </c>
      <c r="U1608">
        <v>211</v>
      </c>
      <c r="V1608">
        <v>5</v>
      </c>
      <c r="W1608">
        <v>4</v>
      </c>
      <c r="X1608">
        <v>1</v>
      </c>
      <c r="Y1608">
        <v>4</v>
      </c>
      <c r="Z1608">
        <v>9</v>
      </c>
      <c r="AA1608">
        <v>7</v>
      </c>
      <c r="AB1608" t="str">
        <f t="shared" si="77"/>
        <v>Below average customer</v>
      </c>
    </row>
    <row r="1609" spans="1:28" x14ac:dyDescent="0.35">
      <c r="A1609">
        <v>3498</v>
      </c>
      <c r="B1609">
        <v>1976</v>
      </c>
      <c r="C1609" t="s">
        <v>31</v>
      </c>
      <c r="D1609" t="s">
        <v>32</v>
      </c>
      <c r="E1609" t="s">
        <v>33</v>
      </c>
      <c r="F1609">
        <v>55424</v>
      </c>
      <c r="G1609" t="str">
        <f t="shared" si="75"/>
        <v>Mid-high</v>
      </c>
      <c r="H1609">
        <v>0</v>
      </c>
      <c r="I1609">
        <v>1</v>
      </c>
      <c r="J1609">
        <v>1</v>
      </c>
      <c r="K1609" s="1">
        <v>41238</v>
      </c>
      <c r="L1609">
        <v>6</v>
      </c>
      <c r="M1609" t="str">
        <f t="shared" si="76"/>
        <v>Active</v>
      </c>
      <c r="N1609">
        <v>0</v>
      </c>
      <c r="O1609">
        <v>462</v>
      </c>
      <c r="P1609">
        <v>61</v>
      </c>
      <c r="Q1609">
        <v>184</v>
      </c>
      <c r="R1609">
        <v>10</v>
      </c>
      <c r="S1609">
        <v>53</v>
      </c>
      <c r="T1609">
        <v>107</v>
      </c>
      <c r="U1609">
        <v>877</v>
      </c>
      <c r="V1609">
        <v>4</v>
      </c>
      <c r="W1609">
        <v>7</v>
      </c>
      <c r="X1609">
        <v>5</v>
      </c>
      <c r="Y1609">
        <v>9</v>
      </c>
      <c r="Z1609">
        <v>21</v>
      </c>
      <c r="AA1609">
        <v>6</v>
      </c>
      <c r="AB1609" t="str">
        <f t="shared" si="77"/>
        <v>Above average customer</v>
      </c>
    </row>
    <row r="1610" spans="1:28" x14ac:dyDescent="0.35">
      <c r="A1610">
        <v>6742</v>
      </c>
      <c r="B1610">
        <v>1979</v>
      </c>
      <c r="C1610" t="s">
        <v>31</v>
      </c>
      <c r="D1610" t="s">
        <v>26</v>
      </c>
      <c r="E1610" t="s">
        <v>33</v>
      </c>
      <c r="F1610">
        <v>17688</v>
      </c>
      <c r="G1610" t="str">
        <f t="shared" si="75"/>
        <v>Low</v>
      </c>
      <c r="H1610">
        <v>1</v>
      </c>
      <c r="I1610">
        <v>0</v>
      </c>
      <c r="J1610">
        <v>1</v>
      </c>
      <c r="K1610" s="1">
        <v>41287</v>
      </c>
      <c r="L1610">
        <v>82</v>
      </c>
      <c r="M1610" t="str">
        <f t="shared" si="76"/>
        <v>Inactive</v>
      </c>
      <c r="N1610">
        <v>1</v>
      </c>
      <c r="O1610">
        <v>2</v>
      </c>
      <c r="P1610">
        <v>2</v>
      </c>
      <c r="Q1610">
        <v>1</v>
      </c>
      <c r="R1610">
        <v>3</v>
      </c>
      <c r="S1610">
        <v>1</v>
      </c>
      <c r="T1610">
        <v>2</v>
      </c>
      <c r="U1610">
        <v>11</v>
      </c>
      <c r="V1610">
        <v>1</v>
      </c>
      <c r="W1610">
        <v>1</v>
      </c>
      <c r="X1610">
        <v>0</v>
      </c>
      <c r="Y1610">
        <v>2</v>
      </c>
      <c r="Z1610">
        <v>3</v>
      </c>
      <c r="AA1610">
        <v>8</v>
      </c>
      <c r="AB1610" t="str">
        <f t="shared" si="77"/>
        <v>Below average customer</v>
      </c>
    </row>
    <row r="1611" spans="1:28" x14ac:dyDescent="0.35">
      <c r="A1611">
        <v>1172</v>
      </c>
      <c r="B1611">
        <v>1983</v>
      </c>
      <c r="C1611" t="s">
        <v>30</v>
      </c>
      <c r="D1611" t="s">
        <v>32</v>
      </c>
      <c r="E1611" t="s">
        <v>33</v>
      </c>
      <c r="F1611">
        <v>92491</v>
      </c>
      <c r="G1611" t="str">
        <f t="shared" si="75"/>
        <v>High</v>
      </c>
      <c r="H1611">
        <v>0</v>
      </c>
      <c r="I1611">
        <v>0</v>
      </c>
      <c r="J1611">
        <v>0</v>
      </c>
      <c r="K1611" s="1">
        <v>41395</v>
      </c>
      <c r="L1611">
        <v>71</v>
      </c>
      <c r="M1611" t="str">
        <f t="shared" si="76"/>
        <v>Inactive</v>
      </c>
      <c r="N1611">
        <v>0</v>
      </c>
      <c r="O1611">
        <v>979</v>
      </c>
      <c r="P1611">
        <v>44</v>
      </c>
      <c r="Q1611">
        <v>935</v>
      </c>
      <c r="R1611">
        <v>29</v>
      </c>
      <c r="S1611">
        <v>25</v>
      </c>
      <c r="T1611">
        <v>22</v>
      </c>
      <c r="U1611">
        <v>2034</v>
      </c>
      <c r="V1611">
        <v>1</v>
      </c>
      <c r="W1611">
        <v>7</v>
      </c>
      <c r="X1611">
        <v>5</v>
      </c>
      <c r="Y1611">
        <v>12</v>
      </c>
      <c r="Z1611">
        <v>24</v>
      </c>
      <c r="AA1611">
        <v>3</v>
      </c>
      <c r="AB1611" t="str">
        <f t="shared" si="77"/>
        <v>Below average customer</v>
      </c>
    </row>
    <row r="1612" spans="1:28" x14ac:dyDescent="0.35">
      <c r="A1612">
        <v>569</v>
      </c>
      <c r="B1612">
        <v>1991</v>
      </c>
      <c r="C1612" t="s">
        <v>30</v>
      </c>
      <c r="D1612" t="s">
        <v>26</v>
      </c>
      <c r="E1612" t="s">
        <v>27</v>
      </c>
      <c r="F1612">
        <v>90273</v>
      </c>
      <c r="G1612" t="str">
        <f t="shared" si="75"/>
        <v>High</v>
      </c>
      <c r="H1612">
        <v>0</v>
      </c>
      <c r="I1612">
        <v>0</v>
      </c>
      <c r="J1612">
        <v>0</v>
      </c>
      <c r="K1612" s="1">
        <v>41622</v>
      </c>
      <c r="L1612">
        <v>32</v>
      </c>
      <c r="M1612" t="str">
        <f t="shared" si="76"/>
        <v>Active</v>
      </c>
      <c r="N1612">
        <v>0</v>
      </c>
      <c r="O1612">
        <v>704</v>
      </c>
      <c r="P1612">
        <v>129</v>
      </c>
      <c r="Q1612">
        <v>853</v>
      </c>
      <c r="R1612">
        <v>120</v>
      </c>
      <c r="S1612">
        <v>74</v>
      </c>
      <c r="T1612">
        <v>111</v>
      </c>
      <c r="U1612">
        <v>1991</v>
      </c>
      <c r="V1612">
        <v>1</v>
      </c>
      <c r="W1612">
        <v>5</v>
      </c>
      <c r="X1612">
        <v>6</v>
      </c>
      <c r="Y1612">
        <v>7</v>
      </c>
      <c r="Z1612">
        <v>18</v>
      </c>
      <c r="AA1612">
        <v>2</v>
      </c>
      <c r="AB1612" t="str">
        <f t="shared" si="77"/>
        <v>Above average customer</v>
      </c>
    </row>
    <row r="1613" spans="1:28" x14ac:dyDescent="0.35">
      <c r="A1613">
        <v>4686</v>
      </c>
      <c r="B1613">
        <v>1962</v>
      </c>
      <c r="C1613" t="s">
        <v>25</v>
      </c>
      <c r="D1613" t="s">
        <v>32</v>
      </c>
      <c r="E1613" t="s">
        <v>38</v>
      </c>
      <c r="F1613">
        <v>82571</v>
      </c>
      <c r="G1613" t="str">
        <f t="shared" si="75"/>
        <v>High</v>
      </c>
      <c r="H1613">
        <v>0</v>
      </c>
      <c r="I1613">
        <v>0</v>
      </c>
      <c r="J1613">
        <v>0</v>
      </c>
      <c r="K1613" s="1">
        <v>41731</v>
      </c>
      <c r="L1613">
        <v>28</v>
      </c>
      <c r="M1613" t="str">
        <f t="shared" si="76"/>
        <v>Active</v>
      </c>
      <c r="N1613">
        <v>0</v>
      </c>
      <c r="O1613">
        <v>861</v>
      </c>
      <c r="P1613">
        <v>31</v>
      </c>
      <c r="Q1613">
        <v>558</v>
      </c>
      <c r="R1613">
        <v>62</v>
      </c>
      <c r="S1613">
        <v>95</v>
      </c>
      <c r="T1613">
        <v>79</v>
      </c>
      <c r="U1613">
        <v>1686</v>
      </c>
      <c r="V1613">
        <v>0</v>
      </c>
      <c r="W1613">
        <v>6</v>
      </c>
      <c r="X1613">
        <v>5</v>
      </c>
      <c r="Y1613">
        <v>13</v>
      </c>
      <c r="Z1613">
        <v>24</v>
      </c>
      <c r="AA1613">
        <v>2</v>
      </c>
      <c r="AB1613" t="str">
        <f t="shared" si="77"/>
        <v>Above average customer</v>
      </c>
    </row>
    <row r="1614" spans="1:28" x14ac:dyDescent="0.35">
      <c r="A1614">
        <v>1381</v>
      </c>
      <c r="B1614">
        <v>1982</v>
      </c>
      <c r="C1614" t="s">
        <v>31</v>
      </c>
      <c r="D1614" t="s">
        <v>32</v>
      </c>
      <c r="E1614" t="s">
        <v>27</v>
      </c>
      <c r="F1614">
        <v>38513</v>
      </c>
      <c r="G1614" t="str">
        <f t="shared" si="75"/>
        <v>Mid-low</v>
      </c>
      <c r="H1614">
        <v>1</v>
      </c>
      <c r="I1614">
        <v>0</v>
      </c>
      <c r="J1614">
        <v>1</v>
      </c>
      <c r="K1614" s="1">
        <v>41667</v>
      </c>
      <c r="L1614">
        <v>20</v>
      </c>
      <c r="M1614" t="str">
        <f t="shared" si="76"/>
        <v>Active</v>
      </c>
      <c r="N1614">
        <v>0</v>
      </c>
      <c r="O1614">
        <v>172</v>
      </c>
      <c r="P1614">
        <v>3</v>
      </c>
      <c r="Q1614">
        <v>115</v>
      </c>
      <c r="R1614">
        <v>16</v>
      </c>
      <c r="S1614">
        <v>0</v>
      </c>
      <c r="T1614">
        <v>18</v>
      </c>
      <c r="U1614">
        <v>324</v>
      </c>
      <c r="V1614">
        <v>5</v>
      </c>
      <c r="W1614">
        <v>6</v>
      </c>
      <c r="X1614">
        <v>1</v>
      </c>
      <c r="Y1614">
        <v>5</v>
      </c>
      <c r="Z1614">
        <v>12</v>
      </c>
      <c r="AA1614">
        <v>8</v>
      </c>
      <c r="AB1614" t="str">
        <f t="shared" si="77"/>
        <v>Below average customer</v>
      </c>
    </row>
    <row r="1615" spans="1:28" x14ac:dyDescent="0.35">
      <c r="A1615">
        <v>2634</v>
      </c>
      <c r="B1615">
        <v>1979</v>
      </c>
      <c r="C1615" t="s">
        <v>31</v>
      </c>
      <c r="D1615" t="s">
        <v>34</v>
      </c>
      <c r="E1615" t="s">
        <v>27</v>
      </c>
      <c r="F1615">
        <v>16653</v>
      </c>
      <c r="G1615" t="str">
        <f t="shared" si="75"/>
        <v>Low</v>
      </c>
      <c r="H1615">
        <v>1</v>
      </c>
      <c r="I1615">
        <v>0</v>
      </c>
      <c r="J1615">
        <v>1</v>
      </c>
      <c r="K1615" s="1">
        <v>41747</v>
      </c>
      <c r="L1615">
        <v>10</v>
      </c>
      <c r="M1615" t="str">
        <f t="shared" si="76"/>
        <v>Active</v>
      </c>
      <c r="N1615">
        <v>0</v>
      </c>
      <c r="O1615">
        <v>5</v>
      </c>
      <c r="P1615">
        <v>7</v>
      </c>
      <c r="Q1615">
        <v>31</v>
      </c>
      <c r="R1615">
        <v>15</v>
      </c>
      <c r="S1615">
        <v>4</v>
      </c>
      <c r="T1615">
        <v>7</v>
      </c>
      <c r="U1615">
        <v>69</v>
      </c>
      <c r="V1615">
        <v>3</v>
      </c>
      <c r="W1615">
        <v>2</v>
      </c>
      <c r="X1615">
        <v>1</v>
      </c>
      <c r="Y1615">
        <v>3</v>
      </c>
      <c r="Z1615">
        <v>6</v>
      </c>
      <c r="AA1615">
        <v>6</v>
      </c>
      <c r="AB1615" t="str">
        <f t="shared" si="77"/>
        <v>Below average customer</v>
      </c>
    </row>
    <row r="1616" spans="1:28" x14ac:dyDescent="0.35">
      <c r="A1616">
        <v>10905</v>
      </c>
      <c r="B1616">
        <v>1955</v>
      </c>
      <c r="C1616" t="s">
        <v>25</v>
      </c>
      <c r="D1616" t="s">
        <v>26</v>
      </c>
      <c r="E1616" t="s">
        <v>29</v>
      </c>
      <c r="F1616">
        <v>42586</v>
      </c>
      <c r="G1616" t="str">
        <f t="shared" si="75"/>
        <v>Mid-low</v>
      </c>
      <c r="H1616">
        <v>1</v>
      </c>
      <c r="I1616">
        <v>1</v>
      </c>
      <c r="J1616">
        <v>2</v>
      </c>
      <c r="K1616" s="1">
        <v>41211</v>
      </c>
      <c r="L1616">
        <v>7</v>
      </c>
      <c r="M1616" t="str">
        <f t="shared" si="76"/>
        <v>Active</v>
      </c>
      <c r="N1616">
        <v>0</v>
      </c>
      <c r="O1616">
        <v>194</v>
      </c>
      <c r="P1616">
        <v>2</v>
      </c>
      <c r="Q1616">
        <v>56</v>
      </c>
      <c r="R1616">
        <v>0</v>
      </c>
      <c r="S1616">
        <v>0</v>
      </c>
      <c r="T1616">
        <v>0</v>
      </c>
      <c r="U1616">
        <v>252</v>
      </c>
      <c r="V1616">
        <v>5</v>
      </c>
      <c r="W1616">
        <v>4</v>
      </c>
      <c r="X1616">
        <v>1</v>
      </c>
      <c r="Y1616">
        <v>6</v>
      </c>
      <c r="Z1616">
        <v>11</v>
      </c>
      <c r="AA1616">
        <v>8</v>
      </c>
      <c r="AB1616" t="str">
        <f t="shared" si="77"/>
        <v>Below average customer</v>
      </c>
    </row>
    <row r="1617" spans="1:28" x14ac:dyDescent="0.35">
      <c r="A1617">
        <v>1744</v>
      </c>
      <c r="B1617">
        <v>1965</v>
      </c>
      <c r="C1617" t="s">
        <v>28</v>
      </c>
      <c r="D1617" t="s">
        <v>37</v>
      </c>
      <c r="E1617" t="s">
        <v>27</v>
      </c>
      <c r="F1617">
        <v>23529</v>
      </c>
      <c r="G1617" t="str">
        <f t="shared" si="75"/>
        <v>Low</v>
      </c>
      <c r="H1617">
        <v>0</v>
      </c>
      <c r="I1617">
        <v>1</v>
      </c>
      <c r="J1617">
        <v>1</v>
      </c>
      <c r="K1617" s="1">
        <v>41281</v>
      </c>
      <c r="L1617">
        <v>67</v>
      </c>
      <c r="M1617" t="str">
        <f t="shared" si="76"/>
        <v>Inactive</v>
      </c>
      <c r="N1617">
        <v>0</v>
      </c>
      <c r="O1617">
        <v>9</v>
      </c>
      <c r="P1617">
        <v>7</v>
      </c>
      <c r="Q1617">
        <v>13</v>
      </c>
      <c r="R1617">
        <v>3</v>
      </c>
      <c r="S1617">
        <v>2</v>
      </c>
      <c r="T1617">
        <v>20</v>
      </c>
      <c r="U1617">
        <v>54</v>
      </c>
      <c r="V1617">
        <v>1</v>
      </c>
      <c r="W1617">
        <v>1</v>
      </c>
      <c r="X1617">
        <v>1</v>
      </c>
      <c r="Y1617">
        <v>2</v>
      </c>
      <c r="Z1617">
        <v>4</v>
      </c>
      <c r="AA1617">
        <v>6</v>
      </c>
      <c r="AB1617" t="str">
        <f t="shared" si="77"/>
        <v>Below average customer</v>
      </c>
    </row>
    <row r="1618" spans="1:28" x14ac:dyDescent="0.35">
      <c r="A1618">
        <v>3828</v>
      </c>
      <c r="B1618">
        <v>1951</v>
      </c>
      <c r="C1618" t="s">
        <v>36</v>
      </c>
      <c r="D1618" t="s">
        <v>26</v>
      </c>
      <c r="E1618" t="s">
        <v>33</v>
      </c>
      <c r="F1618">
        <v>71107</v>
      </c>
      <c r="G1618" t="str">
        <f t="shared" si="75"/>
        <v>High</v>
      </c>
      <c r="H1618">
        <v>0</v>
      </c>
      <c r="I1618">
        <v>1</v>
      </c>
      <c r="J1618">
        <v>1</v>
      </c>
      <c r="K1618" s="1">
        <v>41322</v>
      </c>
      <c r="L1618">
        <v>61</v>
      </c>
      <c r="M1618" t="str">
        <f t="shared" si="76"/>
        <v>Inactive</v>
      </c>
      <c r="N1618">
        <v>0</v>
      </c>
      <c r="O1618">
        <v>533</v>
      </c>
      <c r="P1618">
        <v>10</v>
      </c>
      <c r="Q1618">
        <v>217</v>
      </c>
      <c r="R1618">
        <v>198</v>
      </c>
      <c r="S1618">
        <v>174</v>
      </c>
      <c r="T1618">
        <v>195</v>
      </c>
      <c r="U1618">
        <v>1327</v>
      </c>
      <c r="V1618">
        <v>2</v>
      </c>
      <c r="W1618">
        <v>7</v>
      </c>
      <c r="X1618">
        <v>6</v>
      </c>
      <c r="Y1618">
        <v>13</v>
      </c>
      <c r="Z1618">
        <v>26</v>
      </c>
      <c r="AA1618">
        <v>4</v>
      </c>
      <c r="AB1618" t="str">
        <f t="shared" si="77"/>
        <v>Below average customer</v>
      </c>
    </row>
    <row r="1619" spans="1:28" x14ac:dyDescent="0.35">
      <c r="A1619">
        <v>8605</v>
      </c>
      <c r="B1619">
        <v>1964</v>
      </c>
      <c r="C1619" t="s">
        <v>28</v>
      </c>
      <c r="D1619" t="s">
        <v>32</v>
      </c>
      <c r="E1619" t="s">
        <v>29</v>
      </c>
      <c r="F1619">
        <v>46910</v>
      </c>
      <c r="G1619" t="str">
        <f t="shared" si="75"/>
        <v>Mid-low</v>
      </c>
      <c r="H1619">
        <v>1</v>
      </c>
      <c r="I1619">
        <v>1</v>
      </c>
      <c r="J1619">
        <v>2</v>
      </c>
      <c r="K1619" s="1">
        <v>41721</v>
      </c>
      <c r="L1619">
        <v>36</v>
      </c>
      <c r="M1619" t="str">
        <f t="shared" si="76"/>
        <v>Active</v>
      </c>
      <c r="N1619">
        <v>0</v>
      </c>
      <c r="O1619">
        <v>48</v>
      </c>
      <c r="P1619">
        <v>0</v>
      </c>
      <c r="Q1619">
        <v>14</v>
      </c>
      <c r="R1619">
        <v>0</v>
      </c>
      <c r="S1619">
        <v>0</v>
      </c>
      <c r="T1619">
        <v>6</v>
      </c>
      <c r="U1619">
        <v>68</v>
      </c>
      <c r="V1619">
        <v>2</v>
      </c>
      <c r="W1619">
        <v>2</v>
      </c>
      <c r="X1619">
        <v>0</v>
      </c>
      <c r="Y1619">
        <v>3</v>
      </c>
      <c r="Z1619">
        <v>5</v>
      </c>
      <c r="AA1619">
        <v>6</v>
      </c>
      <c r="AB1619" t="str">
        <f t="shared" si="77"/>
        <v>Below average customer</v>
      </c>
    </row>
    <row r="1620" spans="1:28" x14ac:dyDescent="0.35">
      <c r="A1620">
        <v>4351</v>
      </c>
      <c r="B1620">
        <v>1955</v>
      </c>
      <c r="C1620" t="s">
        <v>25</v>
      </c>
      <c r="D1620" t="s">
        <v>26</v>
      </c>
      <c r="E1620" t="s">
        <v>35</v>
      </c>
      <c r="F1620">
        <v>37244</v>
      </c>
      <c r="G1620" t="str">
        <f t="shared" si="75"/>
        <v>Mid-low</v>
      </c>
      <c r="H1620">
        <v>1</v>
      </c>
      <c r="I1620">
        <v>1</v>
      </c>
      <c r="J1620">
        <v>2</v>
      </c>
      <c r="K1620" s="1">
        <v>41391</v>
      </c>
      <c r="L1620">
        <v>90</v>
      </c>
      <c r="M1620" t="str">
        <f t="shared" si="76"/>
        <v>Inactive</v>
      </c>
      <c r="N1620">
        <v>0</v>
      </c>
      <c r="O1620">
        <v>18</v>
      </c>
      <c r="P1620">
        <v>2</v>
      </c>
      <c r="Q1620">
        <v>10</v>
      </c>
      <c r="R1620">
        <v>0</v>
      </c>
      <c r="S1620">
        <v>0</v>
      </c>
      <c r="T1620">
        <v>25</v>
      </c>
      <c r="U1620">
        <v>55</v>
      </c>
      <c r="V1620">
        <v>1</v>
      </c>
      <c r="W1620">
        <v>1</v>
      </c>
      <c r="X1620">
        <v>1</v>
      </c>
      <c r="Y1620">
        <v>2</v>
      </c>
      <c r="Z1620">
        <v>4</v>
      </c>
      <c r="AA1620">
        <v>7</v>
      </c>
      <c r="AB1620" t="str">
        <f t="shared" si="77"/>
        <v>Below average customer</v>
      </c>
    </row>
    <row r="1621" spans="1:28" x14ac:dyDescent="0.35">
      <c r="A1621">
        <v>10129</v>
      </c>
      <c r="B1621">
        <v>1966</v>
      </c>
      <c r="C1621" t="s">
        <v>28</v>
      </c>
      <c r="D1621" t="s">
        <v>26</v>
      </c>
      <c r="E1621" t="s">
        <v>29</v>
      </c>
      <c r="F1621">
        <v>82427</v>
      </c>
      <c r="G1621" t="str">
        <f t="shared" si="75"/>
        <v>High</v>
      </c>
      <c r="H1621">
        <v>0</v>
      </c>
      <c r="I1621">
        <v>0</v>
      </c>
      <c r="J1621">
        <v>0</v>
      </c>
      <c r="K1621" s="1">
        <v>41710</v>
      </c>
      <c r="L1621">
        <v>35</v>
      </c>
      <c r="M1621" t="str">
        <f t="shared" si="76"/>
        <v>Active</v>
      </c>
      <c r="N1621">
        <v>0</v>
      </c>
      <c r="O1621">
        <v>482</v>
      </c>
      <c r="P1621">
        <v>147</v>
      </c>
      <c r="Q1621">
        <v>509</v>
      </c>
      <c r="R1621">
        <v>104</v>
      </c>
      <c r="S1621">
        <v>107</v>
      </c>
      <c r="T1621">
        <v>107</v>
      </c>
      <c r="U1621">
        <v>1456</v>
      </c>
      <c r="V1621">
        <v>1</v>
      </c>
      <c r="W1621">
        <v>3</v>
      </c>
      <c r="X1621">
        <v>5</v>
      </c>
      <c r="Y1621">
        <v>12</v>
      </c>
      <c r="Z1621">
        <v>20</v>
      </c>
      <c r="AA1621">
        <v>1</v>
      </c>
      <c r="AB1621" t="str">
        <f t="shared" si="77"/>
        <v>Above average customer</v>
      </c>
    </row>
    <row r="1622" spans="1:28" x14ac:dyDescent="0.35">
      <c r="A1622">
        <v>2499</v>
      </c>
      <c r="B1622">
        <v>1958</v>
      </c>
      <c r="C1622" t="s">
        <v>25</v>
      </c>
      <c r="D1622" t="s">
        <v>34</v>
      </c>
      <c r="E1622" t="s">
        <v>27</v>
      </c>
      <c r="F1622">
        <v>75342</v>
      </c>
      <c r="G1622" t="str">
        <f t="shared" si="75"/>
        <v>High</v>
      </c>
      <c r="H1622">
        <v>0</v>
      </c>
      <c r="I1622">
        <v>1</v>
      </c>
      <c r="J1622">
        <v>1</v>
      </c>
      <c r="K1622" s="1">
        <v>41400</v>
      </c>
      <c r="L1622">
        <v>38</v>
      </c>
      <c r="M1622" t="str">
        <f t="shared" si="76"/>
        <v>Active</v>
      </c>
      <c r="N1622">
        <v>0</v>
      </c>
      <c r="O1622">
        <v>204</v>
      </c>
      <c r="P1622">
        <v>97</v>
      </c>
      <c r="Q1622">
        <v>97</v>
      </c>
      <c r="R1622">
        <v>21</v>
      </c>
      <c r="S1622">
        <v>118</v>
      </c>
      <c r="T1622">
        <v>26</v>
      </c>
      <c r="U1622">
        <v>563</v>
      </c>
      <c r="V1622">
        <v>1</v>
      </c>
      <c r="W1622">
        <v>5</v>
      </c>
      <c r="X1622">
        <v>2</v>
      </c>
      <c r="Y1622">
        <v>10</v>
      </c>
      <c r="Z1622">
        <v>17</v>
      </c>
      <c r="AA1622">
        <v>4</v>
      </c>
      <c r="AB1622" t="str">
        <f t="shared" si="77"/>
        <v>Below average customer</v>
      </c>
    </row>
    <row r="1623" spans="1:28" x14ac:dyDescent="0.35">
      <c r="A1623">
        <v>10092</v>
      </c>
      <c r="B1623">
        <v>1954</v>
      </c>
      <c r="C1623" t="s">
        <v>25</v>
      </c>
      <c r="D1623" t="s">
        <v>26</v>
      </c>
      <c r="E1623" t="s">
        <v>35</v>
      </c>
      <c r="F1623">
        <v>70044</v>
      </c>
      <c r="G1623" t="str">
        <f t="shared" si="75"/>
        <v>High</v>
      </c>
      <c r="H1623">
        <v>0</v>
      </c>
      <c r="I1623">
        <v>1</v>
      </c>
      <c r="J1623">
        <v>1</v>
      </c>
      <c r="K1623" s="1">
        <v>41323</v>
      </c>
      <c r="L1623">
        <v>46</v>
      </c>
      <c r="M1623" t="str">
        <f t="shared" si="76"/>
        <v>Active</v>
      </c>
      <c r="N1623">
        <v>0</v>
      </c>
      <c r="O1623">
        <v>1073</v>
      </c>
      <c r="P1623">
        <v>0</v>
      </c>
      <c r="Q1623">
        <v>250</v>
      </c>
      <c r="R1623">
        <v>153</v>
      </c>
      <c r="S1623">
        <v>14</v>
      </c>
      <c r="T1623">
        <v>14</v>
      </c>
      <c r="U1623">
        <v>1504</v>
      </c>
      <c r="V1623">
        <v>4</v>
      </c>
      <c r="W1623">
        <v>7</v>
      </c>
      <c r="X1623">
        <v>10</v>
      </c>
      <c r="Y1623">
        <v>5</v>
      </c>
      <c r="Z1623">
        <v>22</v>
      </c>
      <c r="AA1623">
        <v>5</v>
      </c>
      <c r="AB1623" t="str">
        <f t="shared" si="77"/>
        <v>Above average customer</v>
      </c>
    </row>
    <row r="1624" spans="1:28" x14ac:dyDescent="0.35">
      <c r="A1624">
        <v>5796</v>
      </c>
      <c r="B1624">
        <v>1963</v>
      </c>
      <c r="C1624" t="s">
        <v>28</v>
      </c>
      <c r="D1624" t="s">
        <v>26</v>
      </c>
      <c r="E1624" t="s">
        <v>33</v>
      </c>
      <c r="F1624">
        <v>77437</v>
      </c>
      <c r="G1624" t="str">
        <f t="shared" si="75"/>
        <v>High</v>
      </c>
      <c r="H1624">
        <v>0</v>
      </c>
      <c r="I1624">
        <v>0</v>
      </c>
      <c r="J1624">
        <v>0</v>
      </c>
      <c r="K1624" s="1">
        <v>41604</v>
      </c>
      <c r="L1624">
        <v>70</v>
      </c>
      <c r="M1624" t="str">
        <f t="shared" si="76"/>
        <v>Inactive</v>
      </c>
      <c r="N1624">
        <v>0</v>
      </c>
      <c r="O1624">
        <v>560</v>
      </c>
      <c r="P1624">
        <v>21</v>
      </c>
      <c r="Q1624">
        <v>442</v>
      </c>
      <c r="R1624">
        <v>29</v>
      </c>
      <c r="S1624">
        <v>44</v>
      </c>
      <c r="T1624">
        <v>29</v>
      </c>
      <c r="U1624">
        <v>1125</v>
      </c>
      <c r="V1624">
        <v>1</v>
      </c>
      <c r="W1624">
        <v>4</v>
      </c>
      <c r="X1624">
        <v>5</v>
      </c>
      <c r="Y1624">
        <v>13</v>
      </c>
      <c r="Z1624">
        <v>22</v>
      </c>
      <c r="AA1624">
        <v>1</v>
      </c>
      <c r="AB1624" t="str">
        <f t="shared" si="77"/>
        <v>Below average customer</v>
      </c>
    </row>
    <row r="1625" spans="1:28" x14ac:dyDescent="0.35">
      <c r="A1625">
        <v>10556</v>
      </c>
      <c r="B1625">
        <v>1959</v>
      </c>
      <c r="C1625" t="s">
        <v>25</v>
      </c>
      <c r="D1625" t="s">
        <v>26</v>
      </c>
      <c r="E1625" t="s">
        <v>33</v>
      </c>
      <c r="F1625">
        <v>54984</v>
      </c>
      <c r="G1625" t="str">
        <f t="shared" si="75"/>
        <v>Mid-high</v>
      </c>
      <c r="H1625">
        <v>0</v>
      </c>
      <c r="I1625">
        <v>1</v>
      </c>
      <c r="J1625">
        <v>1</v>
      </c>
      <c r="K1625" s="1">
        <v>41783</v>
      </c>
      <c r="L1625">
        <v>51</v>
      </c>
      <c r="M1625" t="str">
        <f t="shared" si="76"/>
        <v>Inactive</v>
      </c>
      <c r="N1625">
        <v>0</v>
      </c>
      <c r="O1625">
        <v>173</v>
      </c>
      <c r="P1625">
        <v>13</v>
      </c>
      <c r="Q1625">
        <v>131</v>
      </c>
      <c r="R1625">
        <v>32</v>
      </c>
      <c r="S1625">
        <v>3</v>
      </c>
      <c r="T1625">
        <v>6</v>
      </c>
      <c r="U1625">
        <v>358</v>
      </c>
      <c r="V1625">
        <v>4</v>
      </c>
      <c r="W1625">
        <v>6</v>
      </c>
      <c r="X1625">
        <v>1</v>
      </c>
      <c r="Y1625">
        <v>6</v>
      </c>
      <c r="Z1625">
        <v>13</v>
      </c>
      <c r="AA1625">
        <v>7</v>
      </c>
      <c r="AB1625" t="str">
        <f t="shared" si="77"/>
        <v>Below average customer</v>
      </c>
    </row>
    <row r="1626" spans="1:28" x14ac:dyDescent="0.35">
      <c r="A1626">
        <v>1064</v>
      </c>
      <c r="B1626">
        <v>1971</v>
      </c>
      <c r="C1626" t="s">
        <v>28</v>
      </c>
      <c r="D1626" t="s">
        <v>32</v>
      </c>
      <c r="E1626" t="s">
        <v>33</v>
      </c>
      <c r="F1626">
        <v>42403</v>
      </c>
      <c r="G1626" t="str">
        <f t="shared" si="75"/>
        <v>Mid-low</v>
      </c>
      <c r="H1626">
        <v>1</v>
      </c>
      <c r="I1626">
        <v>0</v>
      </c>
      <c r="J1626">
        <v>1</v>
      </c>
      <c r="K1626" s="1">
        <v>41619</v>
      </c>
      <c r="L1626">
        <v>18</v>
      </c>
      <c r="M1626" t="str">
        <f t="shared" si="76"/>
        <v>Active</v>
      </c>
      <c r="N1626">
        <v>0</v>
      </c>
      <c r="O1626">
        <v>22</v>
      </c>
      <c r="P1626">
        <v>1</v>
      </c>
      <c r="Q1626">
        <v>11</v>
      </c>
      <c r="R1626">
        <v>0</v>
      </c>
      <c r="S1626">
        <v>5</v>
      </c>
      <c r="T1626">
        <v>3</v>
      </c>
      <c r="U1626">
        <v>42</v>
      </c>
      <c r="V1626">
        <v>1</v>
      </c>
      <c r="W1626">
        <v>1</v>
      </c>
      <c r="X1626">
        <v>0</v>
      </c>
      <c r="Y1626">
        <v>3</v>
      </c>
      <c r="Z1626">
        <v>4</v>
      </c>
      <c r="AA1626">
        <v>8</v>
      </c>
      <c r="AB1626" t="str">
        <f t="shared" si="77"/>
        <v>Below average customer</v>
      </c>
    </row>
    <row r="1627" spans="1:28" x14ac:dyDescent="0.35">
      <c r="A1627">
        <v>48</v>
      </c>
      <c r="B1627">
        <v>1964</v>
      </c>
      <c r="C1627" t="s">
        <v>28</v>
      </c>
      <c r="D1627" t="s">
        <v>26</v>
      </c>
      <c r="E1627" t="s">
        <v>29</v>
      </c>
      <c r="F1627">
        <v>55761</v>
      </c>
      <c r="G1627" t="str">
        <f t="shared" si="75"/>
        <v>Mid-high</v>
      </c>
      <c r="H1627">
        <v>0</v>
      </c>
      <c r="I1627">
        <v>1</v>
      </c>
      <c r="J1627">
        <v>1</v>
      </c>
      <c r="K1627" s="1">
        <v>41753</v>
      </c>
      <c r="L1627">
        <v>97</v>
      </c>
      <c r="M1627" t="str">
        <f t="shared" si="76"/>
        <v>Inactive</v>
      </c>
      <c r="N1627">
        <v>0</v>
      </c>
      <c r="O1627">
        <v>136</v>
      </c>
      <c r="P1627">
        <v>1</v>
      </c>
      <c r="Q1627">
        <v>12</v>
      </c>
      <c r="R1627">
        <v>0</v>
      </c>
      <c r="S1627">
        <v>3</v>
      </c>
      <c r="T1627">
        <v>32</v>
      </c>
      <c r="U1627">
        <v>184</v>
      </c>
      <c r="V1627">
        <v>2</v>
      </c>
      <c r="W1627">
        <v>4</v>
      </c>
      <c r="X1627">
        <v>1</v>
      </c>
      <c r="Y1627">
        <v>3</v>
      </c>
      <c r="Z1627">
        <v>8</v>
      </c>
      <c r="AA1627">
        <v>6</v>
      </c>
      <c r="AB1627" t="str">
        <f t="shared" si="77"/>
        <v>Below average customer</v>
      </c>
    </row>
    <row r="1628" spans="1:28" x14ac:dyDescent="0.35">
      <c r="A1628">
        <v>7610</v>
      </c>
      <c r="B1628">
        <v>1983</v>
      </c>
      <c r="C1628" t="s">
        <v>30</v>
      </c>
      <c r="D1628" t="s">
        <v>26</v>
      </c>
      <c r="E1628" t="s">
        <v>29</v>
      </c>
      <c r="F1628">
        <v>37292</v>
      </c>
      <c r="G1628" t="str">
        <f t="shared" si="75"/>
        <v>Mid-low</v>
      </c>
      <c r="H1628">
        <v>1</v>
      </c>
      <c r="I1628">
        <v>0</v>
      </c>
      <c r="J1628">
        <v>1</v>
      </c>
      <c r="K1628" s="1">
        <v>41382</v>
      </c>
      <c r="L1628">
        <v>32</v>
      </c>
      <c r="M1628" t="str">
        <f t="shared" si="76"/>
        <v>Active</v>
      </c>
      <c r="N1628">
        <v>0</v>
      </c>
      <c r="O1628">
        <v>275</v>
      </c>
      <c r="P1628">
        <v>0</v>
      </c>
      <c r="Q1628">
        <v>86</v>
      </c>
      <c r="R1628">
        <v>10</v>
      </c>
      <c r="S1628">
        <v>23</v>
      </c>
      <c r="T1628">
        <v>66</v>
      </c>
      <c r="U1628">
        <v>460</v>
      </c>
      <c r="V1628">
        <v>5</v>
      </c>
      <c r="W1628">
        <v>6</v>
      </c>
      <c r="X1628">
        <v>3</v>
      </c>
      <c r="Y1628">
        <v>5</v>
      </c>
      <c r="Z1628">
        <v>14</v>
      </c>
      <c r="AA1628">
        <v>8</v>
      </c>
      <c r="AB1628" t="str">
        <f t="shared" si="77"/>
        <v>Below average customer</v>
      </c>
    </row>
    <row r="1629" spans="1:28" x14ac:dyDescent="0.35">
      <c r="A1629">
        <v>263</v>
      </c>
      <c r="B1629">
        <v>1945</v>
      </c>
      <c r="C1629" t="s">
        <v>36</v>
      </c>
      <c r="D1629" t="s">
        <v>32</v>
      </c>
      <c r="E1629" t="s">
        <v>27</v>
      </c>
      <c r="F1629">
        <v>45576</v>
      </c>
      <c r="G1629" t="str">
        <f t="shared" si="75"/>
        <v>Mid-low</v>
      </c>
      <c r="H1629">
        <v>0</v>
      </c>
      <c r="I1629">
        <v>0</v>
      </c>
      <c r="J1629">
        <v>0</v>
      </c>
      <c r="K1629" s="1">
        <v>41787</v>
      </c>
      <c r="L1629">
        <v>9</v>
      </c>
      <c r="M1629" t="str">
        <f t="shared" si="76"/>
        <v>Active</v>
      </c>
      <c r="N1629">
        <v>0</v>
      </c>
      <c r="O1629">
        <v>56</v>
      </c>
      <c r="P1629">
        <v>19</v>
      </c>
      <c r="Q1629">
        <v>29</v>
      </c>
      <c r="R1629">
        <v>2</v>
      </c>
      <c r="S1629">
        <v>14</v>
      </c>
      <c r="T1629">
        <v>25</v>
      </c>
      <c r="U1629">
        <v>145</v>
      </c>
      <c r="V1629">
        <v>1</v>
      </c>
      <c r="W1629">
        <v>3</v>
      </c>
      <c r="X1629">
        <v>1</v>
      </c>
      <c r="Y1629">
        <v>3</v>
      </c>
      <c r="Z1629">
        <v>7</v>
      </c>
      <c r="AA1629">
        <v>8</v>
      </c>
      <c r="AB1629" t="str">
        <f t="shared" si="77"/>
        <v>Below average customer</v>
      </c>
    </row>
    <row r="1630" spans="1:28" x14ac:dyDescent="0.35">
      <c r="A1630">
        <v>10814</v>
      </c>
      <c r="B1630">
        <v>1947</v>
      </c>
      <c r="C1630" t="s">
        <v>36</v>
      </c>
      <c r="D1630" t="s">
        <v>26</v>
      </c>
      <c r="E1630" t="s">
        <v>29</v>
      </c>
      <c r="F1630">
        <v>70321</v>
      </c>
      <c r="G1630" t="str">
        <f t="shared" si="75"/>
        <v>High</v>
      </c>
      <c r="H1630">
        <v>0</v>
      </c>
      <c r="I1630">
        <v>0</v>
      </c>
      <c r="J1630">
        <v>0</v>
      </c>
      <c r="K1630" s="1">
        <v>41290</v>
      </c>
      <c r="L1630">
        <v>6</v>
      </c>
      <c r="M1630" t="str">
        <f t="shared" si="76"/>
        <v>Active</v>
      </c>
      <c r="N1630">
        <v>0</v>
      </c>
      <c r="O1630">
        <v>303</v>
      </c>
      <c r="P1630">
        <v>23</v>
      </c>
      <c r="Q1630">
        <v>751</v>
      </c>
      <c r="R1630">
        <v>82</v>
      </c>
      <c r="S1630">
        <v>26</v>
      </c>
      <c r="T1630">
        <v>191</v>
      </c>
      <c r="U1630">
        <v>1376</v>
      </c>
      <c r="V1630">
        <v>1</v>
      </c>
      <c r="W1630">
        <v>6</v>
      </c>
      <c r="X1630">
        <v>5</v>
      </c>
      <c r="Y1630">
        <v>13</v>
      </c>
      <c r="Z1630">
        <v>24</v>
      </c>
      <c r="AA1630">
        <v>4</v>
      </c>
      <c r="AB1630" t="str">
        <f t="shared" si="77"/>
        <v>Above average customer</v>
      </c>
    </row>
    <row r="1631" spans="1:28" x14ac:dyDescent="0.35">
      <c r="A1631">
        <v>9710</v>
      </c>
      <c r="B1631">
        <v>1969</v>
      </c>
      <c r="C1631" t="s">
        <v>28</v>
      </c>
      <c r="D1631" t="s">
        <v>32</v>
      </c>
      <c r="E1631" t="s">
        <v>35</v>
      </c>
      <c r="F1631">
        <v>58086</v>
      </c>
      <c r="G1631" t="str">
        <f t="shared" si="75"/>
        <v>Mid-high</v>
      </c>
      <c r="H1631">
        <v>0</v>
      </c>
      <c r="I1631">
        <v>1</v>
      </c>
      <c r="J1631">
        <v>1</v>
      </c>
      <c r="K1631" s="1">
        <v>41294</v>
      </c>
      <c r="L1631">
        <v>80</v>
      </c>
      <c r="M1631" t="str">
        <f t="shared" si="76"/>
        <v>Inactive</v>
      </c>
      <c r="N1631">
        <v>0</v>
      </c>
      <c r="O1631">
        <v>708</v>
      </c>
      <c r="P1631">
        <v>7</v>
      </c>
      <c r="Q1631">
        <v>62</v>
      </c>
      <c r="R1631">
        <v>0</v>
      </c>
      <c r="S1631">
        <v>0</v>
      </c>
      <c r="T1631">
        <v>15</v>
      </c>
      <c r="U1631">
        <v>792</v>
      </c>
      <c r="V1631">
        <v>2</v>
      </c>
      <c r="W1631">
        <v>11</v>
      </c>
      <c r="X1631">
        <v>3</v>
      </c>
      <c r="Y1631">
        <v>7</v>
      </c>
      <c r="Z1631">
        <v>21</v>
      </c>
      <c r="AA1631">
        <v>8</v>
      </c>
      <c r="AB1631" t="str">
        <f t="shared" si="77"/>
        <v>Below average customer</v>
      </c>
    </row>
    <row r="1632" spans="1:28" x14ac:dyDescent="0.35">
      <c r="A1632">
        <v>9292</v>
      </c>
      <c r="B1632">
        <v>1952</v>
      </c>
      <c r="C1632" t="s">
        <v>36</v>
      </c>
      <c r="D1632" t="s">
        <v>26</v>
      </c>
      <c r="E1632" t="s">
        <v>33</v>
      </c>
      <c r="F1632">
        <v>81795</v>
      </c>
      <c r="G1632" t="str">
        <f t="shared" si="75"/>
        <v>High</v>
      </c>
      <c r="H1632">
        <v>0</v>
      </c>
      <c r="I1632">
        <v>0</v>
      </c>
      <c r="J1632">
        <v>0</v>
      </c>
      <c r="K1632" s="1">
        <v>41208</v>
      </c>
      <c r="L1632">
        <v>74</v>
      </c>
      <c r="M1632" t="str">
        <f t="shared" si="76"/>
        <v>Inactive</v>
      </c>
      <c r="N1632">
        <v>0</v>
      </c>
      <c r="O1632">
        <v>324</v>
      </c>
      <c r="P1632">
        <v>132</v>
      </c>
      <c r="Q1632">
        <v>693</v>
      </c>
      <c r="R1632">
        <v>27</v>
      </c>
      <c r="S1632">
        <v>118</v>
      </c>
      <c r="T1632">
        <v>88</v>
      </c>
      <c r="U1632">
        <v>1382</v>
      </c>
      <c r="V1632">
        <v>1</v>
      </c>
      <c r="W1632">
        <v>4</v>
      </c>
      <c r="X1632">
        <v>11</v>
      </c>
      <c r="Y1632">
        <v>7</v>
      </c>
      <c r="Z1632">
        <v>22</v>
      </c>
      <c r="AA1632">
        <v>2</v>
      </c>
      <c r="AB1632" t="str">
        <f t="shared" si="77"/>
        <v>Below average customer</v>
      </c>
    </row>
    <row r="1633" spans="1:28" x14ac:dyDescent="0.35">
      <c r="A1633">
        <v>10250</v>
      </c>
      <c r="B1633">
        <v>1947</v>
      </c>
      <c r="C1633" t="s">
        <v>36</v>
      </c>
      <c r="D1633" t="s">
        <v>37</v>
      </c>
      <c r="E1633" t="s">
        <v>29</v>
      </c>
      <c r="F1633">
        <v>28389</v>
      </c>
      <c r="G1633" t="str">
        <f t="shared" si="75"/>
        <v>Low</v>
      </c>
      <c r="H1633">
        <v>0</v>
      </c>
      <c r="I1633">
        <v>0</v>
      </c>
      <c r="J1633">
        <v>0</v>
      </c>
      <c r="K1633" s="1">
        <v>41233</v>
      </c>
      <c r="L1633">
        <v>49</v>
      </c>
      <c r="M1633" t="str">
        <f t="shared" si="76"/>
        <v>Inactive</v>
      </c>
      <c r="N1633">
        <v>0</v>
      </c>
      <c r="O1633">
        <v>1</v>
      </c>
      <c r="P1633">
        <v>5</v>
      </c>
      <c r="Q1633">
        <v>3</v>
      </c>
      <c r="R1633">
        <v>7</v>
      </c>
      <c r="S1633">
        <v>4</v>
      </c>
      <c r="T1633">
        <v>8</v>
      </c>
      <c r="U1633">
        <v>28</v>
      </c>
      <c r="V1633">
        <v>1</v>
      </c>
      <c r="W1633">
        <v>1</v>
      </c>
      <c r="X1633">
        <v>0</v>
      </c>
      <c r="Y1633">
        <v>2</v>
      </c>
      <c r="Z1633">
        <v>3</v>
      </c>
      <c r="AA1633">
        <v>7</v>
      </c>
      <c r="AB1633" t="str">
        <f t="shared" si="77"/>
        <v>Below average customer</v>
      </c>
    </row>
    <row r="1634" spans="1:28" x14ac:dyDescent="0.35">
      <c r="A1634">
        <v>5847</v>
      </c>
      <c r="B1634">
        <v>1969</v>
      </c>
      <c r="C1634" t="s">
        <v>28</v>
      </c>
      <c r="D1634" t="s">
        <v>26</v>
      </c>
      <c r="E1634" t="s">
        <v>35</v>
      </c>
      <c r="F1634">
        <v>69901</v>
      </c>
      <c r="G1634" t="str">
        <f t="shared" si="75"/>
        <v>High</v>
      </c>
      <c r="H1634">
        <v>0</v>
      </c>
      <c r="I1634">
        <v>1</v>
      </c>
      <c r="J1634">
        <v>1</v>
      </c>
      <c r="K1634" s="1">
        <v>41423</v>
      </c>
      <c r="L1634">
        <v>95</v>
      </c>
      <c r="M1634" t="str">
        <f t="shared" si="76"/>
        <v>Inactive</v>
      </c>
      <c r="N1634">
        <v>0</v>
      </c>
      <c r="O1634">
        <v>312</v>
      </c>
      <c r="P1634">
        <v>21</v>
      </c>
      <c r="Q1634">
        <v>206</v>
      </c>
      <c r="R1634">
        <v>102</v>
      </c>
      <c r="S1634">
        <v>92</v>
      </c>
      <c r="T1634">
        <v>149</v>
      </c>
      <c r="U1634">
        <v>882</v>
      </c>
      <c r="V1634">
        <v>3</v>
      </c>
      <c r="W1634">
        <v>7</v>
      </c>
      <c r="X1634">
        <v>3</v>
      </c>
      <c r="Y1634">
        <v>10</v>
      </c>
      <c r="Z1634">
        <v>20</v>
      </c>
      <c r="AA1634">
        <v>5</v>
      </c>
      <c r="AB1634" t="str">
        <f t="shared" si="77"/>
        <v>Below average customer</v>
      </c>
    </row>
    <row r="1635" spans="1:28" x14ac:dyDescent="0.35">
      <c r="A1635">
        <v>737</v>
      </c>
      <c r="B1635">
        <v>1949</v>
      </c>
      <c r="C1635" t="s">
        <v>36</v>
      </c>
      <c r="D1635" t="s">
        <v>32</v>
      </c>
      <c r="E1635" t="s">
        <v>33</v>
      </c>
      <c r="F1635">
        <v>80360</v>
      </c>
      <c r="G1635" t="str">
        <f t="shared" si="75"/>
        <v>High</v>
      </c>
      <c r="H1635">
        <v>0</v>
      </c>
      <c r="I1635">
        <v>0</v>
      </c>
      <c r="J1635">
        <v>0</v>
      </c>
      <c r="K1635" s="1">
        <v>41336</v>
      </c>
      <c r="L1635">
        <v>56</v>
      </c>
      <c r="M1635" t="str">
        <f t="shared" si="76"/>
        <v>Inactive</v>
      </c>
      <c r="N1635">
        <v>0</v>
      </c>
      <c r="O1635">
        <v>1493</v>
      </c>
      <c r="P1635">
        <v>86</v>
      </c>
      <c r="Q1635">
        <v>454</v>
      </c>
      <c r="R1635">
        <v>112</v>
      </c>
      <c r="S1635">
        <v>43</v>
      </c>
      <c r="T1635">
        <v>43</v>
      </c>
      <c r="U1635">
        <v>2231</v>
      </c>
      <c r="V1635">
        <v>2</v>
      </c>
      <c r="W1635">
        <v>4</v>
      </c>
      <c r="X1635">
        <v>4</v>
      </c>
      <c r="Y1635">
        <v>5</v>
      </c>
      <c r="Z1635">
        <v>13</v>
      </c>
      <c r="AA1635">
        <v>2</v>
      </c>
      <c r="AB1635" t="str">
        <f t="shared" si="77"/>
        <v>Below average customer</v>
      </c>
    </row>
    <row r="1636" spans="1:28" x14ac:dyDescent="0.35">
      <c r="A1636">
        <v>3571</v>
      </c>
      <c r="B1636">
        <v>1961</v>
      </c>
      <c r="C1636" t="s">
        <v>25</v>
      </c>
      <c r="D1636" t="s">
        <v>32</v>
      </c>
      <c r="E1636" t="s">
        <v>29</v>
      </c>
      <c r="F1636">
        <v>63342</v>
      </c>
      <c r="G1636" t="str">
        <f t="shared" si="75"/>
        <v>Mid-high</v>
      </c>
      <c r="H1636">
        <v>0</v>
      </c>
      <c r="I1636">
        <v>1</v>
      </c>
      <c r="J1636">
        <v>1</v>
      </c>
      <c r="K1636" s="1">
        <v>41198</v>
      </c>
      <c r="L1636">
        <v>48</v>
      </c>
      <c r="M1636" t="str">
        <f t="shared" si="76"/>
        <v>Active</v>
      </c>
      <c r="N1636">
        <v>0</v>
      </c>
      <c r="O1636">
        <v>918</v>
      </c>
      <c r="P1636">
        <v>21</v>
      </c>
      <c r="Q1636">
        <v>118</v>
      </c>
      <c r="R1636">
        <v>13</v>
      </c>
      <c r="S1636">
        <v>10</v>
      </c>
      <c r="T1636">
        <v>21</v>
      </c>
      <c r="U1636">
        <v>1101</v>
      </c>
      <c r="V1636">
        <v>3</v>
      </c>
      <c r="W1636">
        <v>8</v>
      </c>
      <c r="X1636">
        <v>3</v>
      </c>
      <c r="Y1636">
        <v>5</v>
      </c>
      <c r="Z1636">
        <v>16</v>
      </c>
      <c r="AA1636">
        <v>6</v>
      </c>
      <c r="AB1636" t="str">
        <f t="shared" si="77"/>
        <v>Above average customer</v>
      </c>
    </row>
    <row r="1637" spans="1:28" x14ac:dyDescent="0.35">
      <c r="A1637">
        <v>3878</v>
      </c>
      <c r="B1637">
        <v>1980</v>
      </c>
      <c r="C1637" t="s">
        <v>31</v>
      </c>
      <c r="D1637" t="s">
        <v>34</v>
      </c>
      <c r="E1637" t="s">
        <v>27</v>
      </c>
      <c r="F1637">
        <v>31859</v>
      </c>
      <c r="G1637" t="str">
        <f t="shared" si="75"/>
        <v>Low</v>
      </c>
      <c r="H1637">
        <v>1</v>
      </c>
      <c r="I1637">
        <v>0</v>
      </c>
      <c r="J1637">
        <v>1</v>
      </c>
      <c r="K1637" s="1">
        <v>41697</v>
      </c>
      <c r="L1637">
        <v>3</v>
      </c>
      <c r="M1637" t="str">
        <f t="shared" si="76"/>
        <v>Active</v>
      </c>
      <c r="N1637">
        <v>0</v>
      </c>
      <c r="O1637">
        <v>3</v>
      </c>
      <c r="P1637">
        <v>4</v>
      </c>
      <c r="Q1637">
        <v>7</v>
      </c>
      <c r="R1637">
        <v>15</v>
      </c>
      <c r="S1637">
        <v>8</v>
      </c>
      <c r="T1637">
        <v>11</v>
      </c>
      <c r="U1637">
        <v>48</v>
      </c>
      <c r="V1637">
        <v>1</v>
      </c>
      <c r="W1637">
        <v>1</v>
      </c>
      <c r="X1637">
        <v>0</v>
      </c>
      <c r="Y1637">
        <v>3</v>
      </c>
      <c r="Z1637">
        <v>4</v>
      </c>
      <c r="AA1637">
        <v>7</v>
      </c>
      <c r="AB1637" t="str">
        <f t="shared" si="77"/>
        <v>Below average customer</v>
      </c>
    </row>
    <row r="1638" spans="1:28" x14ac:dyDescent="0.35">
      <c r="A1638">
        <v>5092</v>
      </c>
      <c r="B1638">
        <v>1949</v>
      </c>
      <c r="C1638" t="s">
        <v>36</v>
      </c>
      <c r="D1638" t="s">
        <v>32</v>
      </c>
      <c r="E1638" t="s">
        <v>38</v>
      </c>
      <c r="F1638">
        <v>51569</v>
      </c>
      <c r="G1638" t="str">
        <f t="shared" si="75"/>
        <v>Mid-high</v>
      </c>
      <c r="H1638">
        <v>0</v>
      </c>
      <c r="I1638">
        <v>1</v>
      </c>
      <c r="J1638">
        <v>1</v>
      </c>
      <c r="K1638" s="1">
        <v>41317</v>
      </c>
      <c r="L1638">
        <v>39</v>
      </c>
      <c r="M1638" t="str">
        <f t="shared" si="76"/>
        <v>Active</v>
      </c>
      <c r="N1638">
        <v>0</v>
      </c>
      <c r="O1638">
        <v>380</v>
      </c>
      <c r="P1638">
        <v>0</v>
      </c>
      <c r="Q1638">
        <v>47</v>
      </c>
      <c r="R1638">
        <v>6</v>
      </c>
      <c r="S1638">
        <v>0</v>
      </c>
      <c r="T1638">
        <v>34</v>
      </c>
      <c r="U1638">
        <v>467</v>
      </c>
      <c r="V1638">
        <v>4</v>
      </c>
      <c r="W1638">
        <v>7</v>
      </c>
      <c r="X1638">
        <v>1</v>
      </c>
      <c r="Y1638">
        <v>7</v>
      </c>
      <c r="Z1638">
        <v>15</v>
      </c>
      <c r="AA1638">
        <v>8</v>
      </c>
      <c r="AB1638" t="str">
        <f t="shared" si="77"/>
        <v>Below average customer</v>
      </c>
    </row>
    <row r="1639" spans="1:28" x14ac:dyDescent="0.35">
      <c r="A1639">
        <v>5394</v>
      </c>
      <c r="B1639">
        <v>1979</v>
      </c>
      <c r="C1639" t="s">
        <v>31</v>
      </c>
      <c r="D1639" t="s">
        <v>37</v>
      </c>
      <c r="E1639" t="s">
        <v>27</v>
      </c>
      <c r="F1639">
        <v>16014</v>
      </c>
      <c r="G1639" t="str">
        <f t="shared" si="75"/>
        <v>Low</v>
      </c>
      <c r="H1639">
        <v>1</v>
      </c>
      <c r="I1639">
        <v>1</v>
      </c>
      <c r="J1639">
        <v>2</v>
      </c>
      <c r="K1639" s="1">
        <v>41350</v>
      </c>
      <c r="L1639">
        <v>42</v>
      </c>
      <c r="M1639" t="str">
        <f t="shared" si="76"/>
        <v>Active</v>
      </c>
      <c r="N1639">
        <v>0</v>
      </c>
      <c r="O1639">
        <v>3</v>
      </c>
      <c r="P1639">
        <v>9</v>
      </c>
      <c r="Q1639">
        <v>4</v>
      </c>
      <c r="R1639">
        <v>7</v>
      </c>
      <c r="S1639">
        <v>8</v>
      </c>
      <c r="T1639">
        <v>7</v>
      </c>
      <c r="U1639">
        <v>38</v>
      </c>
      <c r="V1639">
        <v>4</v>
      </c>
      <c r="W1639">
        <v>1</v>
      </c>
      <c r="X1639">
        <v>1</v>
      </c>
      <c r="Y1639">
        <v>4</v>
      </c>
      <c r="Z1639">
        <v>6</v>
      </c>
      <c r="AA1639">
        <v>3</v>
      </c>
      <c r="AB1639" t="str">
        <f t="shared" si="77"/>
        <v>Below average customer</v>
      </c>
    </row>
    <row r="1640" spans="1:28" x14ac:dyDescent="0.35">
      <c r="A1640">
        <v>3798</v>
      </c>
      <c r="B1640">
        <v>1968</v>
      </c>
      <c r="C1640" t="s">
        <v>28</v>
      </c>
      <c r="D1640" t="s">
        <v>26</v>
      </c>
      <c r="E1640" t="s">
        <v>33</v>
      </c>
      <c r="F1640">
        <v>41120</v>
      </c>
      <c r="G1640" t="str">
        <f t="shared" si="75"/>
        <v>Mid-low</v>
      </c>
      <c r="H1640">
        <v>1</v>
      </c>
      <c r="I1640">
        <v>1</v>
      </c>
      <c r="J1640">
        <v>2</v>
      </c>
      <c r="K1640" s="1">
        <v>41584</v>
      </c>
      <c r="L1640">
        <v>80</v>
      </c>
      <c r="M1640" t="str">
        <f t="shared" si="76"/>
        <v>Inactive</v>
      </c>
      <c r="N1640">
        <v>0</v>
      </c>
      <c r="O1640">
        <v>24</v>
      </c>
      <c r="P1640">
        <v>2</v>
      </c>
      <c r="Q1640">
        <v>23</v>
      </c>
      <c r="R1640">
        <v>0</v>
      </c>
      <c r="S1640">
        <v>8</v>
      </c>
      <c r="T1640">
        <v>24</v>
      </c>
      <c r="U1640">
        <v>81</v>
      </c>
      <c r="V1640">
        <v>3</v>
      </c>
      <c r="W1640">
        <v>2</v>
      </c>
      <c r="X1640">
        <v>1</v>
      </c>
      <c r="Y1640">
        <v>3</v>
      </c>
      <c r="Z1640">
        <v>6</v>
      </c>
      <c r="AA1640">
        <v>6</v>
      </c>
      <c r="AB1640" t="str">
        <f t="shared" si="77"/>
        <v>Below average customer</v>
      </c>
    </row>
    <row r="1641" spans="1:28" x14ac:dyDescent="0.35">
      <c r="A1641">
        <v>3524</v>
      </c>
      <c r="B1641">
        <v>1971</v>
      </c>
      <c r="C1641" t="s">
        <v>28</v>
      </c>
      <c r="D1641" t="s">
        <v>34</v>
      </c>
      <c r="E1641" t="s">
        <v>27</v>
      </c>
      <c r="F1641">
        <v>39763</v>
      </c>
      <c r="G1641" t="str">
        <f t="shared" si="75"/>
        <v>Mid-low</v>
      </c>
      <c r="H1641">
        <v>1</v>
      </c>
      <c r="I1641">
        <v>0</v>
      </c>
      <c r="J1641">
        <v>1</v>
      </c>
      <c r="K1641" s="1">
        <v>41490</v>
      </c>
      <c r="L1641">
        <v>9</v>
      </c>
      <c r="M1641" t="str">
        <f t="shared" si="76"/>
        <v>Active</v>
      </c>
      <c r="N1641">
        <v>0</v>
      </c>
      <c r="O1641">
        <v>80</v>
      </c>
      <c r="P1641">
        <v>1</v>
      </c>
      <c r="Q1641">
        <v>60</v>
      </c>
      <c r="R1641">
        <v>4</v>
      </c>
      <c r="S1641">
        <v>6</v>
      </c>
      <c r="T1641">
        <v>16</v>
      </c>
      <c r="U1641">
        <v>167</v>
      </c>
      <c r="V1641">
        <v>2</v>
      </c>
      <c r="W1641">
        <v>5</v>
      </c>
      <c r="X1641">
        <v>1</v>
      </c>
      <c r="Y1641">
        <v>2</v>
      </c>
      <c r="Z1641">
        <v>8</v>
      </c>
      <c r="AA1641">
        <v>9</v>
      </c>
      <c r="AB1641" t="str">
        <f t="shared" si="77"/>
        <v>Below average customer</v>
      </c>
    </row>
    <row r="1642" spans="1:28" x14ac:dyDescent="0.35">
      <c r="A1642">
        <v>5247</v>
      </c>
      <c r="B1642">
        <v>1955</v>
      </c>
      <c r="C1642" t="s">
        <v>25</v>
      </c>
      <c r="D1642" t="s">
        <v>32</v>
      </c>
      <c r="E1642" t="s">
        <v>33</v>
      </c>
      <c r="F1642">
        <v>38725</v>
      </c>
      <c r="G1642" t="str">
        <f t="shared" si="75"/>
        <v>Mid-low</v>
      </c>
      <c r="H1642">
        <v>1</v>
      </c>
      <c r="I1642">
        <v>1</v>
      </c>
      <c r="J1642">
        <v>2</v>
      </c>
      <c r="K1642" s="1">
        <v>41769</v>
      </c>
      <c r="L1642">
        <v>52</v>
      </c>
      <c r="M1642" t="str">
        <f t="shared" si="76"/>
        <v>Inactive</v>
      </c>
      <c r="N1642">
        <v>0</v>
      </c>
      <c r="O1642">
        <v>31</v>
      </c>
      <c r="P1642">
        <v>0</v>
      </c>
      <c r="Q1642">
        <v>6</v>
      </c>
      <c r="R1642">
        <v>2</v>
      </c>
      <c r="S1642">
        <v>1</v>
      </c>
      <c r="T1642">
        <v>5</v>
      </c>
      <c r="U1642">
        <v>45</v>
      </c>
      <c r="V1642">
        <v>2</v>
      </c>
      <c r="W1642">
        <v>1</v>
      </c>
      <c r="X1642">
        <v>0</v>
      </c>
      <c r="Y1642">
        <v>4</v>
      </c>
      <c r="Z1642">
        <v>5</v>
      </c>
      <c r="AA1642">
        <v>4</v>
      </c>
      <c r="AB1642" t="str">
        <f t="shared" si="77"/>
        <v>Below average customer</v>
      </c>
    </row>
    <row r="1643" spans="1:28" x14ac:dyDescent="0.35">
      <c r="A1643">
        <v>5883</v>
      </c>
      <c r="B1643">
        <v>1972</v>
      </c>
      <c r="C1643" t="s">
        <v>28</v>
      </c>
      <c r="D1643" t="s">
        <v>26</v>
      </c>
      <c r="E1643" t="s">
        <v>33</v>
      </c>
      <c r="F1643">
        <v>77981</v>
      </c>
      <c r="G1643" t="str">
        <f t="shared" si="75"/>
        <v>High</v>
      </c>
      <c r="H1643">
        <v>1</v>
      </c>
      <c r="I1643">
        <v>0</v>
      </c>
      <c r="J1643">
        <v>1</v>
      </c>
      <c r="K1643" s="1">
        <v>41420</v>
      </c>
      <c r="L1643">
        <v>78</v>
      </c>
      <c r="M1643" t="str">
        <f t="shared" si="76"/>
        <v>Inactive</v>
      </c>
      <c r="N1643">
        <v>0</v>
      </c>
      <c r="O1643">
        <v>138</v>
      </c>
      <c r="P1643">
        <v>120</v>
      </c>
      <c r="Q1643">
        <v>204</v>
      </c>
      <c r="R1643">
        <v>16</v>
      </c>
      <c r="S1643">
        <v>126</v>
      </c>
      <c r="T1643">
        <v>60</v>
      </c>
      <c r="U1643">
        <v>664</v>
      </c>
      <c r="V1643">
        <v>3</v>
      </c>
      <c r="W1643">
        <v>7</v>
      </c>
      <c r="X1643">
        <v>4</v>
      </c>
      <c r="Y1643">
        <v>7</v>
      </c>
      <c r="Z1643">
        <v>18</v>
      </c>
      <c r="AA1643">
        <v>5</v>
      </c>
      <c r="AB1643" t="str">
        <f t="shared" si="77"/>
        <v>Below average customer</v>
      </c>
    </row>
    <row r="1644" spans="1:28" x14ac:dyDescent="0.35">
      <c r="A1644">
        <v>2118</v>
      </c>
      <c r="B1644">
        <v>1964</v>
      </c>
      <c r="C1644" t="s">
        <v>28</v>
      </c>
      <c r="D1644" t="s">
        <v>34</v>
      </c>
      <c r="E1644" t="s">
        <v>33</v>
      </c>
      <c r="F1644">
        <v>62905</v>
      </c>
      <c r="G1644" t="str">
        <f t="shared" si="75"/>
        <v>Mid-high</v>
      </c>
      <c r="H1644">
        <v>0</v>
      </c>
      <c r="I1644">
        <v>1</v>
      </c>
      <c r="J1644">
        <v>1</v>
      </c>
      <c r="K1644" s="1">
        <v>41527</v>
      </c>
      <c r="L1644">
        <v>68</v>
      </c>
      <c r="M1644" t="str">
        <f t="shared" si="76"/>
        <v>Inactive</v>
      </c>
      <c r="N1644">
        <v>0</v>
      </c>
      <c r="O1644">
        <v>166</v>
      </c>
      <c r="P1644">
        <v>75</v>
      </c>
      <c r="Q1644">
        <v>96</v>
      </c>
      <c r="R1644">
        <v>119</v>
      </c>
      <c r="S1644">
        <v>107</v>
      </c>
      <c r="T1644">
        <v>59</v>
      </c>
      <c r="U1644">
        <v>622</v>
      </c>
      <c r="V1644">
        <v>3</v>
      </c>
      <c r="W1644">
        <v>7</v>
      </c>
      <c r="X1644">
        <v>2</v>
      </c>
      <c r="Y1644">
        <v>8</v>
      </c>
      <c r="Z1644">
        <v>17</v>
      </c>
      <c r="AA1644">
        <v>4</v>
      </c>
      <c r="AB1644" t="str">
        <f t="shared" si="77"/>
        <v>Below average customer</v>
      </c>
    </row>
    <row r="1645" spans="1:28" x14ac:dyDescent="0.35">
      <c r="A1645">
        <v>8812</v>
      </c>
      <c r="B1645">
        <v>1979</v>
      </c>
      <c r="C1645" t="s">
        <v>31</v>
      </c>
      <c r="D1645" t="s">
        <v>34</v>
      </c>
      <c r="E1645" t="s">
        <v>35</v>
      </c>
      <c r="F1645">
        <v>13533</v>
      </c>
      <c r="G1645" t="str">
        <f t="shared" si="75"/>
        <v>Low</v>
      </c>
      <c r="H1645">
        <v>1</v>
      </c>
      <c r="I1645">
        <v>0</v>
      </c>
      <c r="J1645">
        <v>1</v>
      </c>
      <c r="K1645" s="1">
        <v>41343</v>
      </c>
      <c r="L1645">
        <v>45</v>
      </c>
      <c r="M1645" t="str">
        <f t="shared" si="76"/>
        <v>Active</v>
      </c>
      <c r="N1645">
        <v>0</v>
      </c>
      <c r="O1645">
        <v>12</v>
      </c>
      <c r="P1645">
        <v>3</v>
      </c>
      <c r="Q1645">
        <v>8</v>
      </c>
      <c r="R1645">
        <v>8</v>
      </c>
      <c r="S1645">
        <v>0</v>
      </c>
      <c r="T1645">
        <v>17</v>
      </c>
      <c r="U1645">
        <v>48</v>
      </c>
      <c r="V1645">
        <v>2</v>
      </c>
      <c r="W1645">
        <v>2</v>
      </c>
      <c r="X1645">
        <v>0</v>
      </c>
      <c r="Y1645">
        <v>3</v>
      </c>
      <c r="Z1645">
        <v>5</v>
      </c>
      <c r="AA1645">
        <v>7</v>
      </c>
      <c r="AB1645" t="str">
        <f t="shared" si="77"/>
        <v>Below average customer</v>
      </c>
    </row>
    <row r="1646" spans="1:28" x14ac:dyDescent="0.35">
      <c r="A1646">
        <v>6616</v>
      </c>
      <c r="B1646">
        <v>1975</v>
      </c>
      <c r="C1646" t="s">
        <v>31</v>
      </c>
      <c r="D1646" t="s">
        <v>26</v>
      </c>
      <c r="E1646" t="s">
        <v>29</v>
      </c>
      <c r="F1646">
        <v>59481</v>
      </c>
      <c r="G1646" t="str">
        <f t="shared" si="75"/>
        <v>Mid-high</v>
      </c>
      <c r="H1646">
        <v>0</v>
      </c>
      <c r="I1646">
        <v>1</v>
      </c>
      <c r="J1646">
        <v>1</v>
      </c>
      <c r="K1646" s="1">
        <v>41570</v>
      </c>
      <c r="L1646">
        <v>47</v>
      </c>
      <c r="M1646" t="str">
        <f t="shared" si="76"/>
        <v>Active</v>
      </c>
      <c r="N1646">
        <v>0</v>
      </c>
      <c r="O1646">
        <v>178</v>
      </c>
      <c r="P1646">
        <v>3</v>
      </c>
      <c r="Q1646">
        <v>85</v>
      </c>
      <c r="R1646">
        <v>71</v>
      </c>
      <c r="S1646">
        <v>66</v>
      </c>
      <c r="T1646">
        <v>58</v>
      </c>
      <c r="U1646">
        <v>461</v>
      </c>
      <c r="V1646">
        <v>2</v>
      </c>
      <c r="W1646">
        <v>3</v>
      </c>
      <c r="X1646">
        <v>3</v>
      </c>
      <c r="Y1646">
        <v>8</v>
      </c>
      <c r="Z1646">
        <v>14</v>
      </c>
      <c r="AA1646">
        <v>2</v>
      </c>
      <c r="AB1646" t="str">
        <f t="shared" si="77"/>
        <v>Below average customer</v>
      </c>
    </row>
    <row r="1647" spans="1:28" x14ac:dyDescent="0.35">
      <c r="A1647">
        <v>2797</v>
      </c>
      <c r="B1647">
        <v>1977</v>
      </c>
      <c r="C1647" t="s">
        <v>31</v>
      </c>
      <c r="D1647" t="s">
        <v>26</v>
      </c>
      <c r="E1647" t="s">
        <v>33</v>
      </c>
      <c r="F1647">
        <v>72117</v>
      </c>
      <c r="G1647" t="str">
        <f t="shared" si="75"/>
        <v>High</v>
      </c>
      <c r="H1647">
        <v>0</v>
      </c>
      <c r="I1647">
        <v>1</v>
      </c>
      <c r="J1647">
        <v>1</v>
      </c>
      <c r="K1647" s="1">
        <v>41506</v>
      </c>
      <c r="L1647">
        <v>34</v>
      </c>
      <c r="M1647" t="str">
        <f t="shared" si="76"/>
        <v>Active</v>
      </c>
      <c r="N1647">
        <v>0</v>
      </c>
      <c r="O1647">
        <v>707</v>
      </c>
      <c r="P1647">
        <v>20</v>
      </c>
      <c r="Q1647">
        <v>171</v>
      </c>
      <c r="R1647">
        <v>65</v>
      </c>
      <c r="S1647">
        <v>60</v>
      </c>
      <c r="T1647">
        <v>50</v>
      </c>
      <c r="U1647">
        <v>1073</v>
      </c>
      <c r="V1647">
        <v>1</v>
      </c>
      <c r="W1647">
        <v>9</v>
      </c>
      <c r="X1647">
        <v>7</v>
      </c>
      <c r="Y1647">
        <v>9</v>
      </c>
      <c r="Z1647">
        <v>25</v>
      </c>
      <c r="AA1647">
        <v>5</v>
      </c>
      <c r="AB1647" t="str">
        <f t="shared" si="77"/>
        <v>Above average customer</v>
      </c>
    </row>
    <row r="1648" spans="1:28" x14ac:dyDescent="0.35">
      <c r="A1648">
        <v>4328</v>
      </c>
      <c r="B1648">
        <v>1986</v>
      </c>
      <c r="C1648" t="s">
        <v>30</v>
      </c>
      <c r="D1648" t="s">
        <v>34</v>
      </c>
      <c r="E1648" t="s">
        <v>33</v>
      </c>
      <c r="F1648">
        <v>21955</v>
      </c>
      <c r="G1648" t="str">
        <f t="shared" si="75"/>
        <v>Low</v>
      </c>
      <c r="H1648">
        <v>1</v>
      </c>
      <c r="I1648">
        <v>0</v>
      </c>
      <c r="J1648">
        <v>1</v>
      </c>
      <c r="K1648" s="1">
        <v>41524</v>
      </c>
      <c r="L1648">
        <v>81</v>
      </c>
      <c r="M1648" t="str">
        <f t="shared" si="76"/>
        <v>Inactive</v>
      </c>
      <c r="N1648">
        <v>0</v>
      </c>
      <c r="O1648">
        <v>5</v>
      </c>
      <c r="P1648">
        <v>1</v>
      </c>
      <c r="Q1648">
        <v>7</v>
      </c>
      <c r="R1648">
        <v>17</v>
      </c>
      <c r="S1648">
        <v>14</v>
      </c>
      <c r="T1648">
        <v>11</v>
      </c>
      <c r="U1648">
        <v>55</v>
      </c>
      <c r="V1648">
        <v>2</v>
      </c>
      <c r="W1648">
        <v>2</v>
      </c>
      <c r="X1648">
        <v>1</v>
      </c>
      <c r="Y1648">
        <v>3</v>
      </c>
      <c r="Z1648">
        <v>6</v>
      </c>
      <c r="AA1648">
        <v>6</v>
      </c>
      <c r="AB1648" t="str">
        <f t="shared" si="77"/>
        <v>Below average customer</v>
      </c>
    </row>
    <row r="1649" spans="1:28" x14ac:dyDescent="0.35">
      <c r="A1649">
        <v>9167</v>
      </c>
      <c r="B1649">
        <v>1956</v>
      </c>
      <c r="C1649" t="s">
        <v>25</v>
      </c>
      <c r="D1649" t="s">
        <v>26</v>
      </c>
      <c r="E1649" t="s">
        <v>33</v>
      </c>
      <c r="F1649">
        <v>67131</v>
      </c>
      <c r="G1649" t="str">
        <f t="shared" si="75"/>
        <v>Mid-high</v>
      </c>
      <c r="H1649">
        <v>0</v>
      </c>
      <c r="I1649">
        <v>1</v>
      </c>
      <c r="J1649">
        <v>1</v>
      </c>
      <c r="K1649" s="1">
        <v>41359</v>
      </c>
      <c r="L1649">
        <v>72</v>
      </c>
      <c r="M1649" t="str">
        <f t="shared" si="76"/>
        <v>Inactive</v>
      </c>
      <c r="N1649">
        <v>0</v>
      </c>
      <c r="O1649">
        <v>465</v>
      </c>
      <c r="P1649">
        <v>71</v>
      </c>
      <c r="Q1649">
        <v>250</v>
      </c>
      <c r="R1649">
        <v>93</v>
      </c>
      <c r="S1649">
        <v>35</v>
      </c>
      <c r="T1649">
        <v>62</v>
      </c>
      <c r="U1649">
        <v>976</v>
      </c>
      <c r="V1649">
        <v>3</v>
      </c>
      <c r="W1649">
        <v>9</v>
      </c>
      <c r="X1649">
        <v>2</v>
      </c>
      <c r="Y1649">
        <v>12</v>
      </c>
      <c r="Z1649">
        <v>23</v>
      </c>
      <c r="AA1649">
        <v>6</v>
      </c>
      <c r="AB1649" t="str">
        <f t="shared" si="77"/>
        <v>Below average customer</v>
      </c>
    </row>
    <row r="1650" spans="1:28" x14ac:dyDescent="0.35">
      <c r="A1650">
        <v>10560</v>
      </c>
      <c r="B1650">
        <v>1980</v>
      </c>
      <c r="C1650" t="s">
        <v>31</v>
      </c>
      <c r="D1650" t="s">
        <v>32</v>
      </c>
      <c r="E1650" t="s">
        <v>27</v>
      </c>
      <c r="F1650">
        <v>36802</v>
      </c>
      <c r="G1650" t="str">
        <f t="shared" si="75"/>
        <v>Mid-low</v>
      </c>
      <c r="H1650">
        <v>1</v>
      </c>
      <c r="I1650">
        <v>0</v>
      </c>
      <c r="J1650">
        <v>1</v>
      </c>
      <c r="K1650" s="1">
        <v>41806</v>
      </c>
      <c r="L1650">
        <v>23</v>
      </c>
      <c r="M1650" t="str">
        <f t="shared" si="76"/>
        <v>Active</v>
      </c>
      <c r="N1650">
        <v>0</v>
      </c>
      <c r="O1650">
        <v>16</v>
      </c>
      <c r="P1650">
        <v>1</v>
      </c>
      <c r="Q1650">
        <v>2</v>
      </c>
      <c r="R1650">
        <v>0</v>
      </c>
      <c r="S1650">
        <v>0</v>
      </c>
      <c r="T1650">
        <v>1</v>
      </c>
      <c r="U1650">
        <v>20</v>
      </c>
      <c r="V1650">
        <v>1</v>
      </c>
      <c r="W1650">
        <v>1</v>
      </c>
      <c r="X1650">
        <v>0</v>
      </c>
      <c r="Y1650">
        <v>3</v>
      </c>
      <c r="Z1650">
        <v>4</v>
      </c>
      <c r="AA1650">
        <v>5</v>
      </c>
      <c r="AB1650" t="str">
        <f t="shared" si="77"/>
        <v>Below average customer</v>
      </c>
    </row>
    <row r="1651" spans="1:28" x14ac:dyDescent="0.35">
      <c r="A1651">
        <v>5534</v>
      </c>
      <c r="B1651">
        <v>1975</v>
      </c>
      <c r="C1651" t="s">
        <v>31</v>
      </c>
      <c r="D1651" t="s">
        <v>34</v>
      </c>
      <c r="E1651" t="s">
        <v>33</v>
      </c>
      <c r="F1651">
        <v>47808</v>
      </c>
      <c r="G1651" t="str">
        <f t="shared" si="75"/>
        <v>Mid-low</v>
      </c>
      <c r="H1651">
        <v>0</v>
      </c>
      <c r="I1651">
        <v>1</v>
      </c>
      <c r="J1651">
        <v>1</v>
      </c>
      <c r="K1651" s="1">
        <v>41567</v>
      </c>
      <c r="L1651">
        <v>30</v>
      </c>
      <c r="M1651" t="str">
        <f t="shared" si="76"/>
        <v>Active</v>
      </c>
      <c r="N1651">
        <v>0</v>
      </c>
      <c r="O1651">
        <v>123</v>
      </c>
      <c r="P1651">
        <v>1</v>
      </c>
      <c r="Q1651">
        <v>26</v>
      </c>
      <c r="R1651">
        <v>2</v>
      </c>
      <c r="S1651">
        <v>0</v>
      </c>
      <c r="T1651">
        <v>72</v>
      </c>
      <c r="U1651">
        <v>224</v>
      </c>
      <c r="V1651">
        <v>2</v>
      </c>
      <c r="W1651">
        <v>3</v>
      </c>
      <c r="X1651">
        <v>2</v>
      </c>
      <c r="Y1651">
        <v>3</v>
      </c>
      <c r="Z1651">
        <v>8</v>
      </c>
      <c r="AA1651">
        <v>7</v>
      </c>
      <c r="AB1651" t="str">
        <f t="shared" si="77"/>
        <v>Below average customer</v>
      </c>
    </row>
    <row r="1652" spans="1:28" x14ac:dyDescent="0.35">
      <c r="A1652">
        <v>5093</v>
      </c>
      <c r="B1652">
        <v>1974</v>
      </c>
      <c r="C1652" t="s">
        <v>31</v>
      </c>
      <c r="D1652" t="s">
        <v>32</v>
      </c>
      <c r="E1652" t="s">
        <v>35</v>
      </c>
      <c r="F1652">
        <v>25509</v>
      </c>
      <c r="G1652" t="str">
        <f t="shared" si="75"/>
        <v>Low</v>
      </c>
      <c r="H1652">
        <v>1</v>
      </c>
      <c r="I1652">
        <v>0</v>
      </c>
      <c r="J1652">
        <v>1</v>
      </c>
      <c r="K1652" s="1">
        <v>41170</v>
      </c>
      <c r="L1652">
        <v>15</v>
      </c>
      <c r="M1652" t="str">
        <f t="shared" si="76"/>
        <v>Active</v>
      </c>
      <c r="N1652">
        <v>0</v>
      </c>
      <c r="O1652">
        <v>40</v>
      </c>
      <c r="P1652">
        <v>3</v>
      </c>
      <c r="Q1652">
        <v>30</v>
      </c>
      <c r="R1652">
        <v>10</v>
      </c>
      <c r="S1652">
        <v>7</v>
      </c>
      <c r="T1652">
        <v>11</v>
      </c>
      <c r="U1652">
        <v>101</v>
      </c>
      <c r="V1652">
        <v>3</v>
      </c>
      <c r="W1652">
        <v>3</v>
      </c>
      <c r="X1652">
        <v>0</v>
      </c>
      <c r="Y1652">
        <v>3</v>
      </c>
      <c r="Z1652">
        <v>6</v>
      </c>
      <c r="AA1652">
        <v>9</v>
      </c>
      <c r="AB1652" t="str">
        <f t="shared" si="77"/>
        <v>Below average customer</v>
      </c>
    </row>
    <row r="1653" spans="1:28" x14ac:dyDescent="0.35">
      <c r="A1653">
        <v>8584</v>
      </c>
      <c r="B1653">
        <v>1952</v>
      </c>
      <c r="C1653" t="s">
        <v>36</v>
      </c>
      <c r="D1653" t="s">
        <v>32</v>
      </c>
      <c r="E1653" t="s">
        <v>29</v>
      </c>
      <c r="F1653">
        <v>85431</v>
      </c>
      <c r="G1653" t="str">
        <f t="shared" si="75"/>
        <v>High</v>
      </c>
      <c r="H1653">
        <v>0</v>
      </c>
      <c r="I1653">
        <v>0</v>
      </c>
      <c r="J1653">
        <v>0</v>
      </c>
      <c r="K1653" s="1">
        <v>41433</v>
      </c>
      <c r="L1653">
        <v>54</v>
      </c>
      <c r="M1653" t="str">
        <f t="shared" si="76"/>
        <v>Inactive</v>
      </c>
      <c r="N1653">
        <v>0</v>
      </c>
      <c r="O1653">
        <v>376</v>
      </c>
      <c r="P1653">
        <v>53</v>
      </c>
      <c r="Q1653">
        <v>462</v>
      </c>
      <c r="R1653">
        <v>168</v>
      </c>
      <c r="S1653">
        <v>53</v>
      </c>
      <c r="T1653">
        <v>53</v>
      </c>
      <c r="U1653">
        <v>1165</v>
      </c>
      <c r="V1653">
        <v>1</v>
      </c>
      <c r="W1653">
        <v>2</v>
      </c>
      <c r="X1653">
        <v>7</v>
      </c>
      <c r="Y1653">
        <v>7</v>
      </c>
      <c r="Z1653">
        <v>16</v>
      </c>
      <c r="AA1653">
        <v>0</v>
      </c>
      <c r="AB1653" t="str">
        <f t="shared" si="77"/>
        <v>Below average customer</v>
      </c>
    </row>
    <row r="1654" spans="1:28" x14ac:dyDescent="0.35">
      <c r="A1654">
        <v>2694</v>
      </c>
      <c r="B1654">
        <v>1967</v>
      </c>
      <c r="C1654" t="s">
        <v>28</v>
      </c>
      <c r="D1654" t="s">
        <v>26</v>
      </c>
      <c r="E1654" t="s">
        <v>33</v>
      </c>
      <c r="F1654">
        <v>42664</v>
      </c>
      <c r="G1654" t="str">
        <f t="shared" si="75"/>
        <v>Mid-low</v>
      </c>
      <c r="H1654">
        <v>0</v>
      </c>
      <c r="I1654">
        <v>1</v>
      </c>
      <c r="J1654">
        <v>1</v>
      </c>
      <c r="K1654" s="1">
        <v>41716</v>
      </c>
      <c r="L1654">
        <v>44</v>
      </c>
      <c r="M1654" t="str">
        <f t="shared" si="76"/>
        <v>Active</v>
      </c>
      <c r="N1654">
        <v>0</v>
      </c>
      <c r="O1654">
        <v>21</v>
      </c>
      <c r="P1654">
        <v>0</v>
      </c>
      <c r="Q1654">
        <v>3</v>
      </c>
      <c r="R1654">
        <v>0</v>
      </c>
      <c r="S1654">
        <v>0</v>
      </c>
      <c r="T1654">
        <v>0</v>
      </c>
      <c r="U1654">
        <v>24</v>
      </c>
      <c r="V1654">
        <v>1</v>
      </c>
      <c r="W1654">
        <v>1</v>
      </c>
      <c r="X1654">
        <v>0</v>
      </c>
      <c r="Y1654">
        <v>3</v>
      </c>
      <c r="Z1654">
        <v>4</v>
      </c>
      <c r="AA1654">
        <v>6</v>
      </c>
      <c r="AB1654" t="str">
        <f t="shared" si="77"/>
        <v>Below average customer</v>
      </c>
    </row>
    <row r="1655" spans="1:28" x14ac:dyDescent="0.35">
      <c r="A1655">
        <v>164</v>
      </c>
      <c r="B1655">
        <v>1977</v>
      </c>
      <c r="C1655" t="s">
        <v>31</v>
      </c>
      <c r="D1655" t="s">
        <v>32</v>
      </c>
      <c r="E1655" t="s">
        <v>33</v>
      </c>
      <c r="F1655">
        <v>28973</v>
      </c>
      <c r="G1655" t="str">
        <f t="shared" si="75"/>
        <v>Low</v>
      </c>
      <c r="H1655">
        <v>0</v>
      </c>
      <c r="I1655">
        <v>0</v>
      </c>
      <c r="J1655">
        <v>0</v>
      </c>
      <c r="K1655" s="1">
        <v>41195</v>
      </c>
      <c r="L1655">
        <v>59</v>
      </c>
      <c r="M1655" t="str">
        <f t="shared" si="76"/>
        <v>Inactive</v>
      </c>
      <c r="N1655">
        <v>0</v>
      </c>
      <c r="O1655">
        <v>206</v>
      </c>
      <c r="P1655">
        <v>0</v>
      </c>
      <c r="Q1655">
        <v>46</v>
      </c>
      <c r="R1655">
        <v>3</v>
      </c>
      <c r="S1655">
        <v>2</v>
      </c>
      <c r="T1655">
        <v>12</v>
      </c>
      <c r="U1655">
        <v>269</v>
      </c>
      <c r="V1655">
        <v>2</v>
      </c>
      <c r="W1655">
        <v>5</v>
      </c>
      <c r="X1655">
        <v>1</v>
      </c>
      <c r="Y1655">
        <v>5</v>
      </c>
      <c r="Z1655">
        <v>11</v>
      </c>
      <c r="AA1655">
        <v>8</v>
      </c>
      <c r="AB1655" t="str">
        <f t="shared" si="77"/>
        <v>Below average customer</v>
      </c>
    </row>
    <row r="1656" spans="1:28" x14ac:dyDescent="0.35">
      <c r="A1656">
        <v>10477</v>
      </c>
      <c r="B1656">
        <v>1973</v>
      </c>
      <c r="C1656" t="s">
        <v>31</v>
      </c>
      <c r="D1656" t="s">
        <v>32</v>
      </c>
      <c r="E1656" t="s">
        <v>29</v>
      </c>
      <c r="F1656">
        <v>39435</v>
      </c>
      <c r="G1656" t="str">
        <f t="shared" si="75"/>
        <v>Mid-low</v>
      </c>
      <c r="H1656">
        <v>1</v>
      </c>
      <c r="I1656">
        <v>0</v>
      </c>
      <c r="J1656">
        <v>1</v>
      </c>
      <c r="K1656" s="1">
        <v>41492</v>
      </c>
      <c r="L1656">
        <v>16</v>
      </c>
      <c r="M1656" t="str">
        <f t="shared" si="76"/>
        <v>Active</v>
      </c>
      <c r="N1656">
        <v>0</v>
      </c>
      <c r="O1656">
        <v>71</v>
      </c>
      <c r="P1656">
        <v>0</v>
      </c>
      <c r="Q1656">
        <v>18</v>
      </c>
      <c r="R1656">
        <v>0</v>
      </c>
      <c r="S1656">
        <v>0</v>
      </c>
      <c r="T1656">
        <v>13</v>
      </c>
      <c r="U1656">
        <v>102</v>
      </c>
      <c r="V1656">
        <v>1</v>
      </c>
      <c r="W1656">
        <v>3</v>
      </c>
      <c r="X1656">
        <v>1</v>
      </c>
      <c r="Y1656">
        <v>2</v>
      </c>
      <c r="Z1656">
        <v>6</v>
      </c>
      <c r="AA1656">
        <v>7</v>
      </c>
      <c r="AB1656" t="str">
        <f t="shared" si="77"/>
        <v>Below average customer</v>
      </c>
    </row>
    <row r="1657" spans="1:28" x14ac:dyDescent="0.35">
      <c r="A1657">
        <v>2681</v>
      </c>
      <c r="B1657">
        <v>1984</v>
      </c>
      <c r="C1657" t="s">
        <v>30</v>
      </c>
      <c r="D1657" t="s">
        <v>34</v>
      </c>
      <c r="E1657" t="s">
        <v>33</v>
      </c>
      <c r="F1657">
        <v>65370</v>
      </c>
      <c r="G1657" t="str">
        <f t="shared" si="75"/>
        <v>Mid-high</v>
      </c>
      <c r="H1657">
        <v>0</v>
      </c>
      <c r="I1657">
        <v>0</v>
      </c>
      <c r="J1657">
        <v>0</v>
      </c>
      <c r="K1657" s="1">
        <v>41487</v>
      </c>
      <c r="L1657">
        <v>1</v>
      </c>
      <c r="M1657" t="str">
        <f t="shared" si="76"/>
        <v>Active</v>
      </c>
      <c r="N1657">
        <v>0</v>
      </c>
      <c r="O1657">
        <v>71</v>
      </c>
      <c r="P1657">
        <v>22</v>
      </c>
      <c r="Q1657">
        <v>112</v>
      </c>
      <c r="R1657">
        <v>138</v>
      </c>
      <c r="S1657">
        <v>89</v>
      </c>
      <c r="T1657">
        <v>29</v>
      </c>
      <c r="U1657">
        <v>461</v>
      </c>
      <c r="V1657">
        <v>1</v>
      </c>
      <c r="W1657">
        <v>2</v>
      </c>
      <c r="X1657">
        <v>3</v>
      </c>
      <c r="Y1657">
        <v>13</v>
      </c>
      <c r="Z1657">
        <v>18</v>
      </c>
      <c r="AA1657">
        <v>1</v>
      </c>
      <c r="AB1657" t="str">
        <f t="shared" si="77"/>
        <v>Below average customer</v>
      </c>
    </row>
    <row r="1658" spans="1:28" x14ac:dyDescent="0.35">
      <c r="A1658">
        <v>5150</v>
      </c>
      <c r="B1658">
        <v>1979</v>
      </c>
      <c r="C1658" t="s">
        <v>31</v>
      </c>
      <c r="D1658" t="s">
        <v>37</v>
      </c>
      <c r="E1658" t="s">
        <v>27</v>
      </c>
      <c r="F1658">
        <v>20194</v>
      </c>
      <c r="G1658" t="str">
        <f t="shared" si="75"/>
        <v>Low</v>
      </c>
      <c r="H1658">
        <v>1</v>
      </c>
      <c r="I1658">
        <v>0</v>
      </c>
      <c r="J1658">
        <v>1</v>
      </c>
      <c r="K1658" s="1">
        <v>41260</v>
      </c>
      <c r="L1658">
        <v>64</v>
      </c>
      <c r="M1658" t="str">
        <f t="shared" si="76"/>
        <v>Inactive</v>
      </c>
      <c r="N1658">
        <v>0</v>
      </c>
      <c r="O1658">
        <v>0</v>
      </c>
      <c r="P1658">
        <v>4</v>
      </c>
      <c r="Q1658">
        <v>7</v>
      </c>
      <c r="R1658">
        <v>11</v>
      </c>
      <c r="S1658">
        <v>10</v>
      </c>
      <c r="T1658">
        <v>15</v>
      </c>
      <c r="U1658">
        <v>47</v>
      </c>
      <c r="V1658">
        <v>2</v>
      </c>
      <c r="W1658">
        <v>2</v>
      </c>
      <c r="X1658">
        <v>0</v>
      </c>
      <c r="Y1658">
        <v>3</v>
      </c>
      <c r="Z1658">
        <v>5</v>
      </c>
      <c r="AA1658">
        <v>6</v>
      </c>
      <c r="AB1658" t="str">
        <f t="shared" si="77"/>
        <v>Below average customer</v>
      </c>
    </row>
    <row r="1659" spans="1:28" x14ac:dyDescent="0.35">
      <c r="A1659">
        <v>5283</v>
      </c>
      <c r="B1659">
        <v>1976</v>
      </c>
      <c r="C1659" t="s">
        <v>31</v>
      </c>
      <c r="D1659" t="s">
        <v>32</v>
      </c>
      <c r="E1659" t="s">
        <v>27</v>
      </c>
      <c r="F1659">
        <v>42473</v>
      </c>
      <c r="G1659" t="str">
        <f t="shared" si="75"/>
        <v>Mid-low</v>
      </c>
      <c r="H1659">
        <v>1</v>
      </c>
      <c r="I1659">
        <v>1</v>
      </c>
      <c r="J1659">
        <v>2</v>
      </c>
      <c r="K1659" s="1">
        <v>41687</v>
      </c>
      <c r="L1659">
        <v>72</v>
      </c>
      <c r="M1659" t="str">
        <f t="shared" si="76"/>
        <v>Inactive</v>
      </c>
      <c r="N1659">
        <v>0</v>
      </c>
      <c r="O1659">
        <v>93</v>
      </c>
      <c r="P1659">
        <v>1</v>
      </c>
      <c r="Q1659">
        <v>21</v>
      </c>
      <c r="R1659">
        <v>0</v>
      </c>
      <c r="S1659">
        <v>4</v>
      </c>
      <c r="T1659">
        <v>25</v>
      </c>
      <c r="U1659">
        <v>144</v>
      </c>
      <c r="V1659">
        <v>3</v>
      </c>
      <c r="W1659">
        <v>2</v>
      </c>
      <c r="X1659">
        <v>1</v>
      </c>
      <c r="Y1659">
        <v>4</v>
      </c>
      <c r="Z1659">
        <v>7</v>
      </c>
      <c r="AA1659">
        <v>5</v>
      </c>
      <c r="AB1659" t="str">
        <f t="shared" si="77"/>
        <v>Below average customer</v>
      </c>
    </row>
    <row r="1660" spans="1:28" x14ac:dyDescent="0.35">
      <c r="A1660">
        <v>9645</v>
      </c>
      <c r="B1660">
        <v>1968</v>
      </c>
      <c r="C1660" t="s">
        <v>28</v>
      </c>
      <c r="D1660" t="s">
        <v>26</v>
      </c>
      <c r="E1660" t="s">
        <v>33</v>
      </c>
      <c r="F1660">
        <v>64590</v>
      </c>
      <c r="G1660" t="str">
        <f t="shared" si="75"/>
        <v>Mid-high</v>
      </c>
      <c r="H1660">
        <v>0</v>
      </c>
      <c r="I1660">
        <v>0</v>
      </c>
      <c r="J1660">
        <v>0</v>
      </c>
      <c r="K1660" s="1">
        <v>41196</v>
      </c>
      <c r="L1660">
        <v>98</v>
      </c>
      <c r="M1660" t="str">
        <f t="shared" si="76"/>
        <v>Inactive</v>
      </c>
      <c r="N1660">
        <v>0</v>
      </c>
      <c r="O1660">
        <v>920</v>
      </c>
      <c r="P1660">
        <v>138</v>
      </c>
      <c r="Q1660">
        <v>168</v>
      </c>
      <c r="R1660">
        <v>36</v>
      </c>
      <c r="S1660">
        <v>46</v>
      </c>
      <c r="T1660">
        <v>30</v>
      </c>
      <c r="U1660">
        <v>1338</v>
      </c>
      <c r="V1660">
        <v>1</v>
      </c>
      <c r="W1660">
        <v>9</v>
      </c>
      <c r="X1660">
        <v>4</v>
      </c>
      <c r="Y1660">
        <v>10</v>
      </c>
      <c r="Z1660">
        <v>23</v>
      </c>
      <c r="AA1660">
        <v>6</v>
      </c>
      <c r="AB1660" t="str">
        <f t="shared" si="77"/>
        <v>Below average customer</v>
      </c>
    </row>
    <row r="1661" spans="1:28" x14ac:dyDescent="0.35">
      <c r="A1661">
        <v>10678</v>
      </c>
      <c r="B1661">
        <v>1959</v>
      </c>
      <c r="C1661" t="s">
        <v>25</v>
      </c>
      <c r="D1661" t="s">
        <v>26</v>
      </c>
      <c r="E1661" t="s">
        <v>29</v>
      </c>
      <c r="F1661">
        <v>71232</v>
      </c>
      <c r="G1661" t="str">
        <f t="shared" si="75"/>
        <v>High</v>
      </c>
      <c r="H1661">
        <v>0</v>
      </c>
      <c r="I1661">
        <v>1</v>
      </c>
      <c r="J1661">
        <v>1</v>
      </c>
      <c r="K1661" s="1">
        <v>41606</v>
      </c>
      <c r="L1661">
        <v>91</v>
      </c>
      <c r="M1661" t="str">
        <f t="shared" si="76"/>
        <v>Inactive</v>
      </c>
      <c r="N1661">
        <v>0</v>
      </c>
      <c r="O1661">
        <v>653</v>
      </c>
      <c r="P1661">
        <v>17</v>
      </c>
      <c r="Q1661">
        <v>170</v>
      </c>
      <c r="R1661">
        <v>34</v>
      </c>
      <c r="S1661">
        <v>26</v>
      </c>
      <c r="T1661">
        <v>17</v>
      </c>
      <c r="U1661">
        <v>917</v>
      </c>
      <c r="V1661">
        <v>2</v>
      </c>
      <c r="W1661">
        <v>11</v>
      </c>
      <c r="X1661">
        <v>2</v>
      </c>
      <c r="Y1661">
        <v>10</v>
      </c>
      <c r="Z1661">
        <v>23</v>
      </c>
      <c r="AA1661">
        <v>7</v>
      </c>
      <c r="AB1661" t="str">
        <f t="shared" si="77"/>
        <v>Below average customer</v>
      </c>
    </row>
    <row r="1662" spans="1:28" x14ac:dyDescent="0.35">
      <c r="A1662">
        <v>7261</v>
      </c>
      <c r="B1662">
        <v>1971</v>
      </c>
      <c r="C1662" t="s">
        <v>28</v>
      </c>
      <c r="D1662" t="s">
        <v>26</v>
      </c>
      <c r="E1662" t="s">
        <v>29</v>
      </c>
      <c r="F1662">
        <v>34600</v>
      </c>
      <c r="G1662" t="str">
        <f t="shared" si="75"/>
        <v>Low</v>
      </c>
      <c r="H1662">
        <v>1</v>
      </c>
      <c r="I1662">
        <v>1</v>
      </c>
      <c r="J1662">
        <v>2</v>
      </c>
      <c r="K1662" s="1">
        <v>41275</v>
      </c>
      <c r="L1662">
        <v>8</v>
      </c>
      <c r="M1662" t="str">
        <f t="shared" si="76"/>
        <v>Active</v>
      </c>
      <c r="N1662">
        <v>0</v>
      </c>
      <c r="O1662">
        <v>199</v>
      </c>
      <c r="P1662">
        <v>33</v>
      </c>
      <c r="Q1662">
        <v>60</v>
      </c>
      <c r="R1662">
        <v>8</v>
      </c>
      <c r="S1662">
        <v>3</v>
      </c>
      <c r="T1662">
        <v>15</v>
      </c>
      <c r="U1662">
        <v>318</v>
      </c>
      <c r="V1662">
        <v>5</v>
      </c>
      <c r="W1662">
        <v>5</v>
      </c>
      <c r="X1662">
        <v>2</v>
      </c>
      <c r="Y1662">
        <v>5</v>
      </c>
      <c r="Z1662">
        <v>12</v>
      </c>
      <c r="AA1662">
        <v>8</v>
      </c>
      <c r="AB1662" t="str">
        <f t="shared" si="77"/>
        <v>Below average customer</v>
      </c>
    </row>
    <row r="1663" spans="1:28" x14ac:dyDescent="0.35">
      <c r="A1663">
        <v>9648</v>
      </c>
      <c r="B1663">
        <v>1967</v>
      </c>
      <c r="C1663" t="s">
        <v>28</v>
      </c>
      <c r="D1663" t="s">
        <v>26</v>
      </c>
      <c r="E1663" t="s">
        <v>27</v>
      </c>
      <c r="F1663">
        <v>46904</v>
      </c>
      <c r="G1663" t="str">
        <f t="shared" si="75"/>
        <v>Mid-low</v>
      </c>
      <c r="H1663">
        <v>1</v>
      </c>
      <c r="I1663">
        <v>1</v>
      </c>
      <c r="J1663">
        <v>2</v>
      </c>
      <c r="K1663" s="1">
        <v>41216</v>
      </c>
      <c r="L1663">
        <v>20</v>
      </c>
      <c r="M1663" t="str">
        <f t="shared" si="76"/>
        <v>Active</v>
      </c>
      <c r="N1663">
        <v>0</v>
      </c>
      <c r="O1663">
        <v>153</v>
      </c>
      <c r="P1663">
        <v>4</v>
      </c>
      <c r="Q1663">
        <v>56</v>
      </c>
      <c r="R1663">
        <v>0</v>
      </c>
      <c r="S1663">
        <v>9</v>
      </c>
      <c r="T1663">
        <v>31</v>
      </c>
      <c r="U1663">
        <v>253</v>
      </c>
      <c r="V1663">
        <v>4</v>
      </c>
      <c r="W1663">
        <v>5</v>
      </c>
      <c r="X1663">
        <v>1</v>
      </c>
      <c r="Y1663">
        <v>4</v>
      </c>
      <c r="Z1663">
        <v>10</v>
      </c>
      <c r="AA1663">
        <v>8</v>
      </c>
      <c r="AB1663" t="str">
        <f t="shared" si="77"/>
        <v>Below average customer</v>
      </c>
    </row>
    <row r="1664" spans="1:28" x14ac:dyDescent="0.35">
      <c r="A1664">
        <v>2870</v>
      </c>
      <c r="B1664">
        <v>1973</v>
      </c>
      <c r="C1664" t="s">
        <v>31</v>
      </c>
      <c r="D1664" t="s">
        <v>26</v>
      </c>
      <c r="E1664" t="s">
        <v>33</v>
      </c>
      <c r="F1664">
        <v>49094</v>
      </c>
      <c r="G1664" t="str">
        <f t="shared" si="75"/>
        <v>Mid-low</v>
      </c>
      <c r="H1664">
        <v>0</v>
      </c>
      <c r="I1664">
        <v>1</v>
      </c>
      <c r="J1664">
        <v>1</v>
      </c>
      <c r="K1664" s="1">
        <v>41173</v>
      </c>
      <c r="L1664">
        <v>6</v>
      </c>
      <c r="M1664" t="str">
        <f t="shared" si="76"/>
        <v>Active</v>
      </c>
      <c r="N1664">
        <v>0</v>
      </c>
      <c r="O1664">
        <v>376</v>
      </c>
      <c r="P1664">
        <v>0</v>
      </c>
      <c r="Q1664">
        <v>38</v>
      </c>
      <c r="R1664">
        <v>11</v>
      </c>
      <c r="S1664">
        <v>8</v>
      </c>
      <c r="T1664">
        <v>69</v>
      </c>
      <c r="U1664">
        <v>502</v>
      </c>
      <c r="V1664">
        <v>5</v>
      </c>
      <c r="W1664">
        <v>6</v>
      </c>
      <c r="X1664">
        <v>3</v>
      </c>
      <c r="Y1664">
        <v>6</v>
      </c>
      <c r="Z1664">
        <v>15</v>
      </c>
      <c r="AA1664">
        <v>6</v>
      </c>
      <c r="AB1664" t="str">
        <f t="shared" si="77"/>
        <v>Below average customer</v>
      </c>
    </row>
    <row r="1665" spans="1:28" x14ac:dyDescent="0.35">
      <c r="A1665">
        <v>8008</v>
      </c>
      <c r="B1665">
        <v>1983</v>
      </c>
      <c r="C1665" t="s">
        <v>30</v>
      </c>
      <c r="D1665" t="s">
        <v>26</v>
      </c>
      <c r="E1665" t="s">
        <v>29</v>
      </c>
      <c r="F1665">
        <v>36075</v>
      </c>
      <c r="G1665" t="str">
        <f t="shared" si="75"/>
        <v>Mid-low</v>
      </c>
      <c r="H1665">
        <v>1</v>
      </c>
      <c r="I1665">
        <v>0</v>
      </c>
      <c r="J1665">
        <v>1</v>
      </c>
      <c r="K1665" s="1">
        <v>41617</v>
      </c>
      <c r="L1665">
        <v>54</v>
      </c>
      <c r="M1665" t="str">
        <f t="shared" si="76"/>
        <v>Inactive</v>
      </c>
      <c r="N1665">
        <v>0</v>
      </c>
      <c r="O1665">
        <v>46</v>
      </c>
      <c r="P1665">
        <v>0</v>
      </c>
      <c r="Q1665">
        <v>30</v>
      </c>
      <c r="R1665">
        <v>12</v>
      </c>
      <c r="S1665">
        <v>1</v>
      </c>
      <c r="T1665">
        <v>30</v>
      </c>
      <c r="U1665">
        <v>119</v>
      </c>
      <c r="V1665">
        <v>1</v>
      </c>
      <c r="W1665">
        <v>2</v>
      </c>
      <c r="X1665">
        <v>0</v>
      </c>
      <c r="Y1665">
        <v>4</v>
      </c>
      <c r="Z1665">
        <v>6</v>
      </c>
      <c r="AA1665">
        <v>6</v>
      </c>
      <c r="AB1665" t="str">
        <f t="shared" si="77"/>
        <v>Below average customer</v>
      </c>
    </row>
    <row r="1666" spans="1:28" x14ac:dyDescent="0.35">
      <c r="A1666">
        <v>1513</v>
      </c>
      <c r="B1666">
        <v>1979</v>
      </c>
      <c r="C1666" t="s">
        <v>31</v>
      </c>
      <c r="D1666" t="s">
        <v>34</v>
      </c>
      <c r="E1666" t="s">
        <v>29</v>
      </c>
      <c r="F1666">
        <v>60839</v>
      </c>
      <c r="G1666" t="str">
        <f t="shared" ref="G1666:G1729" si="78">IF(F1666&lt;=_xlfn.PERCENTILE.INC($F$2:$F$2056,0.25),"Low",IF(F1666&lt;=_xlfn.PERCENTILE.INC($F$2:$F$2056,0.5),"Mid-low",IF(F1666&lt;=_xlfn.PERCENTILE.INC($F$2:$F$2056,0.75),"Mid-high","High")))</f>
        <v>Mid-high</v>
      </c>
      <c r="H1666">
        <v>1</v>
      </c>
      <c r="I1666">
        <v>1</v>
      </c>
      <c r="J1666">
        <v>2</v>
      </c>
      <c r="K1666" s="1">
        <v>41149</v>
      </c>
      <c r="L1666">
        <v>72</v>
      </c>
      <c r="M1666" t="str">
        <f t="shared" ref="M1666:M1729" si="79">IF(L1666&gt;AVERAGE($L$2:$L$2056),"Inactive","Active")</f>
        <v>Inactive</v>
      </c>
      <c r="N1666">
        <v>0</v>
      </c>
      <c r="O1666">
        <v>600</v>
      </c>
      <c r="P1666">
        <v>21</v>
      </c>
      <c r="Q1666">
        <v>128</v>
      </c>
      <c r="R1666">
        <v>223</v>
      </c>
      <c r="S1666">
        <v>150</v>
      </c>
      <c r="T1666">
        <v>128</v>
      </c>
      <c r="U1666">
        <v>1250</v>
      </c>
      <c r="V1666">
        <v>13</v>
      </c>
      <c r="W1666">
        <v>2</v>
      </c>
      <c r="X1666">
        <v>2</v>
      </c>
      <c r="Y1666">
        <v>12</v>
      </c>
      <c r="Z1666">
        <v>16</v>
      </c>
      <c r="AA1666">
        <v>8</v>
      </c>
      <c r="AB1666" t="str">
        <f t="shared" ref="AB1666:AB1729" si="80">IF(AND(Z1666&gt;AVERAGE($Z$2:$Z$2056),U1666&gt;AVERAGE($U$2:$U$2056),N1666=0,L1666&lt;AVERAGE($L$2:$L$2056),F1666&gt;AVERAGE($F$2:$F$2240)),"Above average customer","Below average customer")</f>
        <v>Below average customer</v>
      </c>
    </row>
    <row r="1667" spans="1:28" x14ac:dyDescent="0.35">
      <c r="A1667">
        <v>7960</v>
      </c>
      <c r="B1667">
        <v>1962</v>
      </c>
      <c r="C1667" t="s">
        <v>25</v>
      </c>
      <c r="D1667" t="s">
        <v>34</v>
      </c>
      <c r="E1667" t="s">
        <v>29</v>
      </c>
      <c r="F1667">
        <v>82122</v>
      </c>
      <c r="G1667" t="str">
        <f t="shared" si="78"/>
        <v>High</v>
      </c>
      <c r="H1667">
        <v>0</v>
      </c>
      <c r="I1667">
        <v>0</v>
      </c>
      <c r="J1667">
        <v>0</v>
      </c>
      <c r="K1667" s="1">
        <v>41501</v>
      </c>
      <c r="L1667">
        <v>89</v>
      </c>
      <c r="M1667" t="str">
        <f t="shared" si="79"/>
        <v>Inactive</v>
      </c>
      <c r="N1667">
        <v>0</v>
      </c>
      <c r="O1667">
        <v>734</v>
      </c>
      <c r="P1667">
        <v>22</v>
      </c>
      <c r="Q1667">
        <v>350</v>
      </c>
      <c r="R1667">
        <v>151</v>
      </c>
      <c r="S1667">
        <v>25</v>
      </c>
      <c r="T1667">
        <v>100</v>
      </c>
      <c r="U1667">
        <v>1382</v>
      </c>
      <c r="V1667">
        <v>1</v>
      </c>
      <c r="W1667">
        <v>3</v>
      </c>
      <c r="X1667">
        <v>9</v>
      </c>
      <c r="Y1667">
        <v>13</v>
      </c>
      <c r="Z1667">
        <v>25</v>
      </c>
      <c r="AA1667">
        <v>1</v>
      </c>
      <c r="AB1667" t="str">
        <f t="shared" si="80"/>
        <v>Below average customer</v>
      </c>
    </row>
    <row r="1668" spans="1:28" x14ac:dyDescent="0.35">
      <c r="A1668">
        <v>9905</v>
      </c>
      <c r="B1668">
        <v>1952</v>
      </c>
      <c r="C1668" t="s">
        <v>36</v>
      </c>
      <c r="D1668" t="s">
        <v>26</v>
      </c>
      <c r="E1668" t="s">
        <v>29</v>
      </c>
      <c r="F1668">
        <v>34074</v>
      </c>
      <c r="G1668" t="str">
        <f t="shared" si="78"/>
        <v>Low</v>
      </c>
      <c r="H1668">
        <v>1</v>
      </c>
      <c r="I1668">
        <v>1</v>
      </c>
      <c r="J1668">
        <v>2</v>
      </c>
      <c r="K1668" s="1">
        <v>41468</v>
      </c>
      <c r="L1668">
        <v>69</v>
      </c>
      <c r="M1668" t="str">
        <f t="shared" si="79"/>
        <v>Inactive</v>
      </c>
      <c r="N1668">
        <v>0</v>
      </c>
      <c r="O1668">
        <v>135</v>
      </c>
      <c r="P1668">
        <v>1</v>
      </c>
      <c r="Q1668">
        <v>41</v>
      </c>
      <c r="R1668">
        <v>10</v>
      </c>
      <c r="S1668">
        <v>1</v>
      </c>
      <c r="T1668">
        <v>67</v>
      </c>
      <c r="U1668">
        <v>255</v>
      </c>
      <c r="V1668">
        <v>5</v>
      </c>
      <c r="W1668">
        <v>3</v>
      </c>
      <c r="X1668">
        <v>3</v>
      </c>
      <c r="Y1668">
        <v>3</v>
      </c>
      <c r="Z1668">
        <v>9</v>
      </c>
      <c r="AA1668">
        <v>6</v>
      </c>
      <c r="AB1668" t="str">
        <f t="shared" si="80"/>
        <v>Below average customer</v>
      </c>
    </row>
    <row r="1669" spans="1:28" x14ac:dyDescent="0.35">
      <c r="A1669">
        <v>10691</v>
      </c>
      <c r="B1669">
        <v>1960</v>
      </c>
      <c r="C1669" t="s">
        <v>25</v>
      </c>
      <c r="D1669" t="s">
        <v>34</v>
      </c>
      <c r="E1669" t="s">
        <v>33</v>
      </c>
      <c r="F1669">
        <v>28520</v>
      </c>
      <c r="G1669" t="str">
        <f t="shared" si="78"/>
        <v>Low</v>
      </c>
      <c r="H1669">
        <v>1</v>
      </c>
      <c r="I1669">
        <v>1</v>
      </c>
      <c r="J1669">
        <v>2</v>
      </c>
      <c r="K1669" s="1">
        <v>41439</v>
      </c>
      <c r="L1669">
        <v>55</v>
      </c>
      <c r="M1669" t="str">
        <f t="shared" si="79"/>
        <v>Inactive</v>
      </c>
      <c r="N1669">
        <v>0</v>
      </c>
      <c r="O1669">
        <v>11</v>
      </c>
      <c r="P1669">
        <v>0</v>
      </c>
      <c r="Q1669">
        <v>10</v>
      </c>
      <c r="R1669">
        <v>0</v>
      </c>
      <c r="S1669">
        <v>2</v>
      </c>
      <c r="T1669">
        <v>20</v>
      </c>
      <c r="U1669">
        <v>43</v>
      </c>
      <c r="V1669">
        <v>1</v>
      </c>
      <c r="W1669">
        <v>1</v>
      </c>
      <c r="X1669">
        <v>1</v>
      </c>
      <c r="Y1669">
        <v>2</v>
      </c>
      <c r="Z1669">
        <v>4</v>
      </c>
      <c r="AA1669">
        <v>6</v>
      </c>
      <c r="AB1669" t="str">
        <f t="shared" si="80"/>
        <v>Below average customer</v>
      </c>
    </row>
    <row r="1670" spans="1:28" x14ac:dyDescent="0.35">
      <c r="A1670">
        <v>7002</v>
      </c>
      <c r="B1670">
        <v>1955</v>
      </c>
      <c r="C1670" t="s">
        <v>25</v>
      </c>
      <c r="D1670" t="s">
        <v>26</v>
      </c>
      <c r="E1670" t="s">
        <v>27</v>
      </c>
      <c r="F1670">
        <v>62535</v>
      </c>
      <c r="G1670" t="str">
        <f t="shared" si="78"/>
        <v>Mid-high</v>
      </c>
      <c r="H1670">
        <v>0</v>
      </c>
      <c r="I1670">
        <v>1</v>
      </c>
      <c r="J1670">
        <v>1</v>
      </c>
      <c r="K1670" s="1">
        <v>41550</v>
      </c>
      <c r="L1670">
        <v>13</v>
      </c>
      <c r="M1670" t="str">
        <f t="shared" si="79"/>
        <v>Active</v>
      </c>
      <c r="N1670">
        <v>0</v>
      </c>
      <c r="O1670">
        <v>163</v>
      </c>
      <c r="P1670">
        <v>48</v>
      </c>
      <c r="Q1670">
        <v>90</v>
      </c>
      <c r="R1670">
        <v>0</v>
      </c>
      <c r="S1670">
        <v>45</v>
      </c>
      <c r="T1670">
        <v>52</v>
      </c>
      <c r="U1670">
        <v>398</v>
      </c>
      <c r="V1670">
        <v>1</v>
      </c>
      <c r="W1670">
        <v>3</v>
      </c>
      <c r="X1670">
        <v>2</v>
      </c>
      <c r="Y1670">
        <v>8</v>
      </c>
      <c r="Z1670">
        <v>13</v>
      </c>
      <c r="AA1670">
        <v>3</v>
      </c>
      <c r="AB1670" t="str">
        <f t="shared" si="80"/>
        <v>Below average customer</v>
      </c>
    </row>
    <row r="1671" spans="1:28" x14ac:dyDescent="0.35">
      <c r="A1671">
        <v>2952</v>
      </c>
      <c r="B1671">
        <v>1977</v>
      </c>
      <c r="C1671" t="s">
        <v>31</v>
      </c>
      <c r="D1671" t="s">
        <v>34</v>
      </c>
      <c r="E1671" t="s">
        <v>27</v>
      </c>
      <c r="F1671">
        <v>36273</v>
      </c>
      <c r="G1671" t="str">
        <f t="shared" si="78"/>
        <v>Mid-low</v>
      </c>
      <c r="H1671">
        <v>1</v>
      </c>
      <c r="I1671">
        <v>0</v>
      </c>
      <c r="J1671">
        <v>1</v>
      </c>
      <c r="K1671" s="1">
        <v>41745</v>
      </c>
      <c r="L1671">
        <v>80</v>
      </c>
      <c r="M1671" t="str">
        <f t="shared" si="79"/>
        <v>Inactive</v>
      </c>
      <c r="N1671">
        <v>0</v>
      </c>
      <c r="O1671">
        <v>29</v>
      </c>
      <c r="P1671">
        <v>3</v>
      </c>
      <c r="Q1671">
        <v>30</v>
      </c>
      <c r="R1671">
        <v>3</v>
      </c>
      <c r="S1671">
        <v>2</v>
      </c>
      <c r="T1671">
        <v>9</v>
      </c>
      <c r="U1671">
        <v>76</v>
      </c>
      <c r="V1671">
        <v>2</v>
      </c>
      <c r="W1671">
        <v>3</v>
      </c>
      <c r="X1671">
        <v>0</v>
      </c>
      <c r="Y1671">
        <v>3</v>
      </c>
      <c r="Z1671">
        <v>6</v>
      </c>
      <c r="AA1671">
        <v>6</v>
      </c>
      <c r="AB1671" t="str">
        <f t="shared" si="80"/>
        <v>Below average customer</v>
      </c>
    </row>
    <row r="1672" spans="1:28" x14ac:dyDescent="0.35">
      <c r="A1672">
        <v>8439</v>
      </c>
      <c r="B1672">
        <v>1964</v>
      </c>
      <c r="C1672" t="s">
        <v>28</v>
      </c>
      <c r="D1672" t="s">
        <v>26</v>
      </c>
      <c r="E1672" t="s">
        <v>29</v>
      </c>
      <c r="F1672">
        <v>63404</v>
      </c>
      <c r="G1672" t="str">
        <f t="shared" si="78"/>
        <v>Mid-high</v>
      </c>
      <c r="H1672">
        <v>0</v>
      </c>
      <c r="I1672">
        <v>2</v>
      </c>
      <c r="J1672">
        <v>2</v>
      </c>
      <c r="K1672" s="1">
        <v>41796</v>
      </c>
      <c r="L1672">
        <v>97</v>
      </c>
      <c r="M1672" t="str">
        <f t="shared" si="79"/>
        <v>Inactive</v>
      </c>
      <c r="N1672">
        <v>0</v>
      </c>
      <c r="O1672">
        <v>734</v>
      </c>
      <c r="P1672">
        <v>26</v>
      </c>
      <c r="Q1672">
        <v>70</v>
      </c>
      <c r="R1672">
        <v>11</v>
      </c>
      <c r="S1672">
        <v>44</v>
      </c>
      <c r="T1672">
        <v>17</v>
      </c>
      <c r="U1672">
        <v>902</v>
      </c>
      <c r="V1672">
        <v>2</v>
      </c>
      <c r="W1672">
        <v>6</v>
      </c>
      <c r="X1672">
        <v>3</v>
      </c>
      <c r="Y1672">
        <v>4</v>
      </c>
      <c r="Z1672">
        <v>13</v>
      </c>
      <c r="AA1672">
        <v>4</v>
      </c>
      <c r="AB1672" t="str">
        <f t="shared" si="80"/>
        <v>Below average customer</v>
      </c>
    </row>
    <row r="1673" spans="1:28" x14ac:dyDescent="0.35">
      <c r="A1673">
        <v>2831</v>
      </c>
      <c r="B1673">
        <v>1976</v>
      </c>
      <c r="C1673" t="s">
        <v>31</v>
      </c>
      <c r="D1673" t="s">
        <v>26</v>
      </c>
      <c r="E1673" t="s">
        <v>29</v>
      </c>
      <c r="F1673">
        <v>78416</v>
      </c>
      <c r="G1673" t="str">
        <f t="shared" si="78"/>
        <v>High</v>
      </c>
      <c r="H1673">
        <v>0</v>
      </c>
      <c r="I1673">
        <v>1</v>
      </c>
      <c r="J1673">
        <v>1</v>
      </c>
      <c r="K1673" s="1">
        <v>41817</v>
      </c>
      <c r="L1673">
        <v>99</v>
      </c>
      <c r="M1673" t="str">
        <f t="shared" si="79"/>
        <v>Inactive</v>
      </c>
      <c r="N1673">
        <v>0</v>
      </c>
      <c r="O1673">
        <v>453</v>
      </c>
      <c r="P1673">
        <v>38</v>
      </c>
      <c r="Q1673">
        <v>279</v>
      </c>
      <c r="R1673">
        <v>188</v>
      </c>
      <c r="S1673">
        <v>38</v>
      </c>
      <c r="T1673">
        <v>183</v>
      </c>
      <c r="U1673">
        <v>1179</v>
      </c>
      <c r="V1673">
        <v>2</v>
      </c>
      <c r="W1673">
        <v>7</v>
      </c>
      <c r="X1673">
        <v>7</v>
      </c>
      <c r="Y1673">
        <v>10</v>
      </c>
      <c r="Z1673">
        <v>24</v>
      </c>
      <c r="AA1673">
        <v>3</v>
      </c>
      <c r="AB1673" t="str">
        <f t="shared" si="80"/>
        <v>Below average customer</v>
      </c>
    </row>
    <row r="1674" spans="1:28" x14ac:dyDescent="0.35">
      <c r="A1674">
        <v>6977</v>
      </c>
      <c r="B1674">
        <v>1974</v>
      </c>
      <c r="C1674" t="s">
        <v>31</v>
      </c>
      <c r="D1674" t="s">
        <v>26</v>
      </c>
      <c r="E1674" t="s">
        <v>29</v>
      </c>
      <c r="F1674">
        <v>75702</v>
      </c>
      <c r="G1674" t="str">
        <f t="shared" si="78"/>
        <v>High</v>
      </c>
      <c r="H1674">
        <v>0</v>
      </c>
      <c r="I1674">
        <v>1</v>
      </c>
      <c r="J1674">
        <v>1</v>
      </c>
      <c r="K1674" s="1">
        <v>41196</v>
      </c>
      <c r="L1674">
        <v>87</v>
      </c>
      <c r="M1674" t="str">
        <f t="shared" si="79"/>
        <v>Inactive</v>
      </c>
      <c r="N1674">
        <v>0</v>
      </c>
      <c r="O1674">
        <v>1073</v>
      </c>
      <c r="P1674">
        <v>0</v>
      </c>
      <c r="Q1674">
        <v>629</v>
      </c>
      <c r="R1674">
        <v>145</v>
      </c>
      <c r="S1674">
        <v>37</v>
      </c>
      <c r="T1674">
        <v>37</v>
      </c>
      <c r="U1674">
        <v>1921</v>
      </c>
      <c r="V1674">
        <v>1</v>
      </c>
      <c r="W1674">
        <v>10</v>
      </c>
      <c r="X1674">
        <v>5</v>
      </c>
      <c r="Y1674">
        <v>13</v>
      </c>
      <c r="Z1674">
        <v>28</v>
      </c>
      <c r="AA1674">
        <v>6</v>
      </c>
      <c r="AB1674" t="str">
        <f t="shared" si="80"/>
        <v>Below average customer</v>
      </c>
    </row>
    <row r="1675" spans="1:28" x14ac:dyDescent="0.35">
      <c r="A1675">
        <v>6289</v>
      </c>
      <c r="B1675">
        <v>1951</v>
      </c>
      <c r="C1675" t="s">
        <v>36</v>
      </c>
      <c r="D1675" t="s">
        <v>34</v>
      </c>
      <c r="E1675" t="s">
        <v>29</v>
      </c>
      <c r="F1675">
        <v>59385</v>
      </c>
      <c r="G1675" t="str">
        <f t="shared" si="78"/>
        <v>Mid-high</v>
      </c>
      <c r="H1675">
        <v>1</v>
      </c>
      <c r="I1675">
        <v>1</v>
      </c>
      <c r="J1675">
        <v>2</v>
      </c>
      <c r="K1675" s="1">
        <v>41392</v>
      </c>
      <c r="L1675">
        <v>85</v>
      </c>
      <c r="M1675" t="str">
        <f t="shared" si="79"/>
        <v>Inactive</v>
      </c>
      <c r="N1675">
        <v>0</v>
      </c>
      <c r="O1675">
        <v>135</v>
      </c>
      <c r="P1675">
        <v>0</v>
      </c>
      <c r="Q1675">
        <v>10</v>
      </c>
      <c r="R1675">
        <v>0</v>
      </c>
      <c r="S1675">
        <v>4</v>
      </c>
      <c r="T1675">
        <v>36</v>
      </c>
      <c r="U1675">
        <v>185</v>
      </c>
      <c r="V1675">
        <v>2</v>
      </c>
      <c r="W1675">
        <v>3</v>
      </c>
      <c r="X1675">
        <v>1</v>
      </c>
      <c r="Y1675">
        <v>4</v>
      </c>
      <c r="Z1675">
        <v>8</v>
      </c>
      <c r="AA1675">
        <v>5</v>
      </c>
      <c r="AB1675" t="str">
        <f t="shared" si="80"/>
        <v>Below average customer</v>
      </c>
    </row>
    <row r="1676" spans="1:28" x14ac:dyDescent="0.35">
      <c r="A1676">
        <v>8397</v>
      </c>
      <c r="B1676">
        <v>1951</v>
      </c>
      <c r="C1676" t="s">
        <v>36</v>
      </c>
      <c r="D1676" t="s">
        <v>26</v>
      </c>
      <c r="E1676" t="s">
        <v>33</v>
      </c>
      <c r="F1676">
        <v>44689</v>
      </c>
      <c r="G1676" t="str">
        <f t="shared" si="78"/>
        <v>Mid-low</v>
      </c>
      <c r="H1676">
        <v>1</v>
      </c>
      <c r="I1676">
        <v>1</v>
      </c>
      <c r="J1676">
        <v>2</v>
      </c>
      <c r="K1676" s="1">
        <v>41649</v>
      </c>
      <c r="L1676">
        <v>82</v>
      </c>
      <c r="M1676" t="str">
        <f t="shared" si="79"/>
        <v>Inactive</v>
      </c>
      <c r="N1676">
        <v>0</v>
      </c>
      <c r="O1676">
        <v>18</v>
      </c>
      <c r="P1676">
        <v>0</v>
      </c>
      <c r="Q1676">
        <v>5</v>
      </c>
      <c r="R1676">
        <v>0</v>
      </c>
      <c r="S1676">
        <v>0</v>
      </c>
      <c r="T1676">
        <v>11</v>
      </c>
      <c r="U1676">
        <v>34</v>
      </c>
      <c r="V1676">
        <v>2</v>
      </c>
      <c r="W1676">
        <v>1</v>
      </c>
      <c r="X1676">
        <v>1</v>
      </c>
      <c r="Y1676">
        <v>2</v>
      </c>
      <c r="Z1676">
        <v>4</v>
      </c>
      <c r="AA1676">
        <v>7</v>
      </c>
      <c r="AB1676" t="str">
        <f t="shared" si="80"/>
        <v>Below average customer</v>
      </c>
    </row>
    <row r="1677" spans="1:28" x14ac:dyDescent="0.35">
      <c r="A1677">
        <v>6237</v>
      </c>
      <c r="B1677">
        <v>1966</v>
      </c>
      <c r="C1677" t="s">
        <v>28</v>
      </c>
      <c r="D1677" t="s">
        <v>32</v>
      </c>
      <c r="E1677" t="s">
        <v>27</v>
      </c>
      <c r="F1677">
        <v>7144</v>
      </c>
      <c r="G1677" t="str">
        <f t="shared" si="78"/>
        <v>Low</v>
      </c>
      <c r="H1677">
        <v>0</v>
      </c>
      <c r="I1677">
        <v>2</v>
      </c>
      <c r="J1677">
        <v>2</v>
      </c>
      <c r="K1677" s="1">
        <v>41615</v>
      </c>
      <c r="L1677">
        <v>92</v>
      </c>
      <c r="M1677" t="str">
        <f t="shared" si="79"/>
        <v>Inactive</v>
      </c>
      <c r="N1677">
        <v>0</v>
      </c>
      <c r="O1677">
        <v>81</v>
      </c>
      <c r="P1677">
        <v>4</v>
      </c>
      <c r="Q1677">
        <v>33</v>
      </c>
      <c r="R1677">
        <v>5</v>
      </c>
      <c r="S1677">
        <v>2</v>
      </c>
      <c r="T1677">
        <v>291</v>
      </c>
      <c r="U1677">
        <v>416</v>
      </c>
      <c r="V1677">
        <v>0</v>
      </c>
      <c r="W1677">
        <v>23</v>
      </c>
      <c r="X1677">
        <v>1</v>
      </c>
      <c r="Y1677">
        <v>1</v>
      </c>
      <c r="Z1677">
        <v>25</v>
      </c>
      <c r="AA1677">
        <v>0</v>
      </c>
      <c r="AB1677" t="str">
        <f t="shared" si="80"/>
        <v>Below average customer</v>
      </c>
    </row>
    <row r="1678" spans="1:28" x14ac:dyDescent="0.35">
      <c r="A1678">
        <v>1619</v>
      </c>
      <c r="B1678">
        <v>1956</v>
      </c>
      <c r="C1678" t="s">
        <v>25</v>
      </c>
      <c r="D1678" t="s">
        <v>26</v>
      </c>
      <c r="E1678" t="s">
        <v>33</v>
      </c>
      <c r="F1678">
        <v>90369</v>
      </c>
      <c r="G1678" t="str">
        <f t="shared" si="78"/>
        <v>High</v>
      </c>
      <c r="H1678">
        <v>0</v>
      </c>
      <c r="I1678">
        <v>0</v>
      </c>
      <c r="J1678">
        <v>0</v>
      </c>
      <c r="K1678" s="1">
        <v>41757</v>
      </c>
      <c r="L1678">
        <v>2</v>
      </c>
      <c r="M1678" t="str">
        <f t="shared" si="79"/>
        <v>Active</v>
      </c>
      <c r="N1678">
        <v>0</v>
      </c>
      <c r="O1678">
        <v>292</v>
      </c>
      <c r="P1678">
        <v>51</v>
      </c>
      <c r="Q1678">
        <v>981</v>
      </c>
      <c r="R1678">
        <v>224</v>
      </c>
      <c r="S1678">
        <v>23</v>
      </c>
      <c r="T1678">
        <v>17</v>
      </c>
      <c r="U1678">
        <v>1588</v>
      </c>
      <c r="V1678">
        <v>1</v>
      </c>
      <c r="W1678">
        <v>4</v>
      </c>
      <c r="X1678">
        <v>6</v>
      </c>
      <c r="Y1678">
        <v>6</v>
      </c>
      <c r="Z1678">
        <v>16</v>
      </c>
      <c r="AA1678">
        <v>1</v>
      </c>
      <c r="AB1678" t="str">
        <f t="shared" si="80"/>
        <v>Above average customer</v>
      </c>
    </row>
    <row r="1679" spans="1:28" x14ac:dyDescent="0.35">
      <c r="A1679">
        <v>1990</v>
      </c>
      <c r="B1679">
        <v>1974</v>
      </c>
      <c r="C1679" t="s">
        <v>31</v>
      </c>
      <c r="D1679" t="s">
        <v>32</v>
      </c>
      <c r="E1679" t="s">
        <v>27</v>
      </c>
      <c r="F1679">
        <v>63159</v>
      </c>
      <c r="G1679" t="str">
        <f t="shared" si="78"/>
        <v>Mid-high</v>
      </c>
      <c r="H1679">
        <v>0</v>
      </c>
      <c r="I1679">
        <v>0</v>
      </c>
      <c r="J1679">
        <v>0</v>
      </c>
      <c r="K1679" s="1">
        <v>41218</v>
      </c>
      <c r="L1679">
        <v>74</v>
      </c>
      <c r="M1679" t="str">
        <f t="shared" si="79"/>
        <v>Inactive</v>
      </c>
      <c r="N1679">
        <v>0</v>
      </c>
      <c r="O1679">
        <v>965</v>
      </c>
      <c r="P1679">
        <v>34</v>
      </c>
      <c r="Q1679">
        <v>586</v>
      </c>
      <c r="R1679">
        <v>89</v>
      </c>
      <c r="S1679">
        <v>86</v>
      </c>
      <c r="T1679">
        <v>37</v>
      </c>
      <c r="U1679">
        <v>1797</v>
      </c>
      <c r="V1679">
        <v>1</v>
      </c>
      <c r="W1679">
        <v>3</v>
      </c>
      <c r="X1679">
        <v>5</v>
      </c>
      <c r="Y1679">
        <v>8</v>
      </c>
      <c r="Z1679">
        <v>16</v>
      </c>
      <c r="AA1679">
        <v>3</v>
      </c>
      <c r="AB1679" t="str">
        <f t="shared" si="80"/>
        <v>Below average customer</v>
      </c>
    </row>
    <row r="1680" spans="1:28" x14ac:dyDescent="0.35">
      <c r="A1680">
        <v>269</v>
      </c>
      <c r="B1680">
        <v>1963</v>
      </c>
      <c r="C1680" t="s">
        <v>28</v>
      </c>
      <c r="D1680" t="s">
        <v>32</v>
      </c>
      <c r="E1680" t="s">
        <v>27</v>
      </c>
      <c r="F1680">
        <v>46757</v>
      </c>
      <c r="G1680" t="str">
        <f t="shared" si="78"/>
        <v>Mid-low</v>
      </c>
      <c r="H1680">
        <v>0</v>
      </c>
      <c r="I1680">
        <v>1</v>
      </c>
      <c r="J1680">
        <v>1</v>
      </c>
      <c r="K1680" s="1">
        <v>41229</v>
      </c>
      <c r="L1680">
        <v>71</v>
      </c>
      <c r="M1680" t="str">
        <f t="shared" si="79"/>
        <v>Inactive</v>
      </c>
      <c r="N1680">
        <v>0</v>
      </c>
      <c r="O1680">
        <v>777</v>
      </c>
      <c r="P1680">
        <v>30</v>
      </c>
      <c r="Q1680">
        <v>163</v>
      </c>
      <c r="R1680">
        <v>0</v>
      </c>
      <c r="S1680">
        <v>51</v>
      </c>
      <c r="T1680">
        <v>122</v>
      </c>
      <c r="U1680">
        <v>1143</v>
      </c>
      <c r="V1680">
        <v>6</v>
      </c>
      <c r="W1680">
        <v>4</v>
      </c>
      <c r="X1680">
        <v>4</v>
      </c>
      <c r="Y1680">
        <v>7</v>
      </c>
      <c r="Z1680">
        <v>15</v>
      </c>
      <c r="AA1680">
        <v>9</v>
      </c>
      <c r="AB1680" t="str">
        <f t="shared" si="80"/>
        <v>Below average customer</v>
      </c>
    </row>
    <row r="1681" spans="1:28" x14ac:dyDescent="0.35">
      <c r="A1681">
        <v>8093</v>
      </c>
      <c r="B1681">
        <v>1969</v>
      </c>
      <c r="C1681" t="s">
        <v>28</v>
      </c>
      <c r="D1681" t="s">
        <v>34</v>
      </c>
      <c r="E1681" t="s">
        <v>33</v>
      </c>
      <c r="F1681">
        <v>79734</v>
      </c>
      <c r="G1681" t="str">
        <f t="shared" si="78"/>
        <v>High</v>
      </c>
      <c r="H1681">
        <v>0</v>
      </c>
      <c r="I1681">
        <v>0</v>
      </c>
      <c r="J1681">
        <v>0</v>
      </c>
      <c r="K1681" s="1">
        <v>41818</v>
      </c>
      <c r="L1681">
        <v>72</v>
      </c>
      <c r="M1681" t="str">
        <f t="shared" si="79"/>
        <v>Inactive</v>
      </c>
      <c r="N1681">
        <v>0</v>
      </c>
      <c r="O1681">
        <v>572</v>
      </c>
      <c r="P1681">
        <v>8</v>
      </c>
      <c r="Q1681">
        <v>232</v>
      </c>
      <c r="R1681">
        <v>23</v>
      </c>
      <c r="S1681">
        <v>62</v>
      </c>
      <c r="T1681">
        <v>17</v>
      </c>
      <c r="U1681">
        <v>914</v>
      </c>
      <c r="V1681">
        <v>1</v>
      </c>
      <c r="W1681">
        <v>4</v>
      </c>
      <c r="X1681">
        <v>3</v>
      </c>
      <c r="Y1681">
        <v>6</v>
      </c>
      <c r="Z1681">
        <v>13</v>
      </c>
      <c r="AA1681">
        <v>1</v>
      </c>
      <c r="AB1681" t="str">
        <f t="shared" si="80"/>
        <v>Below average customer</v>
      </c>
    </row>
    <row r="1682" spans="1:28" x14ac:dyDescent="0.35">
      <c r="A1682">
        <v>10513</v>
      </c>
      <c r="B1682">
        <v>1992</v>
      </c>
      <c r="C1682" t="s">
        <v>30</v>
      </c>
      <c r="D1682" t="s">
        <v>26</v>
      </c>
      <c r="E1682" t="s">
        <v>29</v>
      </c>
      <c r="F1682">
        <v>63207</v>
      </c>
      <c r="G1682" t="str">
        <f t="shared" si="78"/>
        <v>Mid-high</v>
      </c>
      <c r="H1682">
        <v>0</v>
      </c>
      <c r="I1682">
        <v>0</v>
      </c>
      <c r="J1682">
        <v>0</v>
      </c>
      <c r="K1682" s="1">
        <v>41294</v>
      </c>
      <c r="L1682">
        <v>68</v>
      </c>
      <c r="M1682" t="str">
        <f t="shared" si="79"/>
        <v>Inactive</v>
      </c>
      <c r="N1682">
        <v>0</v>
      </c>
      <c r="O1682">
        <v>438</v>
      </c>
      <c r="P1682">
        <v>169</v>
      </c>
      <c r="Q1682">
        <v>565</v>
      </c>
      <c r="R1682">
        <v>91</v>
      </c>
      <c r="S1682">
        <v>169</v>
      </c>
      <c r="T1682">
        <v>70</v>
      </c>
      <c r="U1682">
        <v>1502</v>
      </c>
      <c r="V1682">
        <v>1</v>
      </c>
      <c r="W1682">
        <v>2</v>
      </c>
      <c r="X1682">
        <v>3</v>
      </c>
      <c r="Y1682">
        <v>6</v>
      </c>
      <c r="Z1682">
        <v>11</v>
      </c>
      <c r="AA1682">
        <v>7</v>
      </c>
      <c r="AB1682" t="str">
        <f t="shared" si="80"/>
        <v>Below average customer</v>
      </c>
    </row>
    <row r="1683" spans="1:28" x14ac:dyDescent="0.35">
      <c r="A1683">
        <v>10177</v>
      </c>
      <c r="B1683">
        <v>1954</v>
      </c>
      <c r="C1683" t="s">
        <v>25</v>
      </c>
      <c r="D1683" t="s">
        <v>26</v>
      </c>
      <c r="E1683" t="s">
        <v>35</v>
      </c>
      <c r="F1683">
        <v>72071</v>
      </c>
      <c r="G1683" t="str">
        <f t="shared" si="78"/>
        <v>High</v>
      </c>
      <c r="H1683">
        <v>0</v>
      </c>
      <c r="I1683">
        <v>1</v>
      </c>
      <c r="J1683">
        <v>1</v>
      </c>
      <c r="K1683" s="1">
        <v>41319</v>
      </c>
      <c r="L1683">
        <v>4</v>
      </c>
      <c r="M1683" t="str">
        <f t="shared" si="79"/>
        <v>Active</v>
      </c>
      <c r="N1683">
        <v>0</v>
      </c>
      <c r="O1683">
        <v>531</v>
      </c>
      <c r="P1683">
        <v>69</v>
      </c>
      <c r="Q1683">
        <v>300</v>
      </c>
      <c r="R1683">
        <v>150</v>
      </c>
      <c r="S1683">
        <v>138</v>
      </c>
      <c r="T1683">
        <v>150</v>
      </c>
      <c r="U1683">
        <v>1338</v>
      </c>
      <c r="V1683">
        <v>3</v>
      </c>
      <c r="W1683">
        <v>5</v>
      </c>
      <c r="X1683">
        <v>4</v>
      </c>
      <c r="Y1683">
        <v>8</v>
      </c>
      <c r="Z1683">
        <v>17</v>
      </c>
      <c r="AA1683">
        <v>2</v>
      </c>
      <c r="AB1683" t="str">
        <f t="shared" si="80"/>
        <v>Above average customer</v>
      </c>
    </row>
    <row r="1684" spans="1:28" x14ac:dyDescent="0.35">
      <c r="A1684">
        <v>2549</v>
      </c>
      <c r="B1684">
        <v>1983</v>
      </c>
      <c r="C1684" t="s">
        <v>30</v>
      </c>
      <c r="D1684" t="s">
        <v>32</v>
      </c>
      <c r="E1684" t="s">
        <v>29</v>
      </c>
      <c r="F1684">
        <v>21840</v>
      </c>
      <c r="G1684" t="str">
        <f t="shared" si="78"/>
        <v>Low</v>
      </c>
      <c r="H1684">
        <v>1</v>
      </c>
      <c r="I1684">
        <v>0</v>
      </c>
      <c r="J1684">
        <v>1</v>
      </c>
      <c r="K1684" s="1">
        <v>41476</v>
      </c>
      <c r="L1684">
        <v>80</v>
      </c>
      <c r="M1684" t="str">
        <f t="shared" si="79"/>
        <v>Inactive</v>
      </c>
      <c r="N1684">
        <v>0</v>
      </c>
      <c r="O1684">
        <v>17</v>
      </c>
      <c r="P1684">
        <v>0</v>
      </c>
      <c r="Q1684">
        <v>9</v>
      </c>
      <c r="R1684">
        <v>0</v>
      </c>
      <c r="S1684">
        <v>0</v>
      </c>
      <c r="T1684">
        <v>1</v>
      </c>
      <c r="U1684">
        <v>27</v>
      </c>
      <c r="V1684">
        <v>1</v>
      </c>
      <c r="W1684">
        <v>1</v>
      </c>
      <c r="X1684">
        <v>0</v>
      </c>
      <c r="Y1684">
        <v>3</v>
      </c>
      <c r="Z1684">
        <v>4</v>
      </c>
      <c r="AA1684">
        <v>9</v>
      </c>
      <c r="AB1684" t="str">
        <f t="shared" si="80"/>
        <v>Below average customer</v>
      </c>
    </row>
    <row r="1685" spans="1:28" x14ac:dyDescent="0.35">
      <c r="A1685">
        <v>5782</v>
      </c>
      <c r="B1685">
        <v>1982</v>
      </c>
      <c r="C1685" t="s">
        <v>31</v>
      </c>
      <c r="D1685" t="s">
        <v>34</v>
      </c>
      <c r="E1685" t="s">
        <v>29</v>
      </c>
      <c r="F1685">
        <v>58582</v>
      </c>
      <c r="G1685" t="str">
        <f t="shared" si="78"/>
        <v>Mid-high</v>
      </c>
      <c r="H1685">
        <v>0</v>
      </c>
      <c r="I1685">
        <v>1</v>
      </c>
      <c r="J1685">
        <v>1</v>
      </c>
      <c r="K1685" s="1">
        <v>41545</v>
      </c>
      <c r="L1685">
        <v>15</v>
      </c>
      <c r="M1685" t="str">
        <f t="shared" si="79"/>
        <v>Active</v>
      </c>
      <c r="N1685">
        <v>0</v>
      </c>
      <c r="O1685">
        <v>402</v>
      </c>
      <c r="P1685">
        <v>35</v>
      </c>
      <c r="Q1685">
        <v>106</v>
      </c>
      <c r="R1685">
        <v>101</v>
      </c>
      <c r="S1685">
        <v>77</v>
      </c>
      <c r="T1685">
        <v>42</v>
      </c>
      <c r="U1685">
        <v>763</v>
      </c>
      <c r="V1685">
        <v>2</v>
      </c>
      <c r="W1685">
        <v>9</v>
      </c>
      <c r="X1685">
        <v>2</v>
      </c>
      <c r="Y1685">
        <v>9</v>
      </c>
      <c r="Z1685">
        <v>20</v>
      </c>
      <c r="AA1685">
        <v>5</v>
      </c>
      <c r="AB1685" t="str">
        <f t="shared" si="80"/>
        <v>Above average customer</v>
      </c>
    </row>
    <row r="1686" spans="1:28" x14ac:dyDescent="0.35">
      <c r="A1686">
        <v>10057</v>
      </c>
      <c r="B1686">
        <v>1951</v>
      </c>
      <c r="C1686" t="s">
        <v>36</v>
      </c>
      <c r="D1686" t="s">
        <v>26</v>
      </c>
      <c r="E1686" t="s">
        <v>27</v>
      </c>
      <c r="F1686">
        <v>72282</v>
      </c>
      <c r="G1686" t="str">
        <f t="shared" si="78"/>
        <v>High</v>
      </c>
      <c r="H1686">
        <v>0</v>
      </c>
      <c r="I1686">
        <v>0</v>
      </c>
      <c r="J1686">
        <v>0</v>
      </c>
      <c r="K1686" s="1">
        <v>41474</v>
      </c>
      <c r="L1686">
        <v>70</v>
      </c>
      <c r="M1686" t="str">
        <f t="shared" si="79"/>
        <v>Inactive</v>
      </c>
      <c r="N1686">
        <v>0</v>
      </c>
      <c r="O1686">
        <v>503</v>
      </c>
      <c r="P1686">
        <v>27</v>
      </c>
      <c r="Q1686">
        <v>419</v>
      </c>
      <c r="R1686">
        <v>90</v>
      </c>
      <c r="S1686">
        <v>139</v>
      </c>
      <c r="T1686">
        <v>153</v>
      </c>
      <c r="U1686">
        <v>1331</v>
      </c>
      <c r="V1686">
        <v>1</v>
      </c>
      <c r="W1686">
        <v>5</v>
      </c>
      <c r="X1686">
        <v>7</v>
      </c>
      <c r="Y1686">
        <v>9</v>
      </c>
      <c r="Z1686">
        <v>21</v>
      </c>
      <c r="AA1686">
        <v>7</v>
      </c>
      <c r="AB1686" t="str">
        <f t="shared" si="80"/>
        <v>Below average customer</v>
      </c>
    </row>
    <row r="1687" spans="1:28" x14ac:dyDescent="0.35">
      <c r="A1687">
        <v>10307</v>
      </c>
      <c r="B1687">
        <v>1956</v>
      </c>
      <c r="C1687" t="s">
        <v>25</v>
      </c>
      <c r="D1687" t="s">
        <v>26</v>
      </c>
      <c r="E1687" t="s">
        <v>33</v>
      </c>
      <c r="F1687">
        <v>50387</v>
      </c>
      <c r="G1687" t="str">
        <f t="shared" si="78"/>
        <v>Mid-low</v>
      </c>
      <c r="H1687">
        <v>0</v>
      </c>
      <c r="I1687">
        <v>2</v>
      </c>
      <c r="J1687">
        <v>2</v>
      </c>
      <c r="K1687" s="1">
        <v>41517</v>
      </c>
      <c r="L1687">
        <v>91</v>
      </c>
      <c r="M1687" t="str">
        <f t="shared" si="79"/>
        <v>Inactive</v>
      </c>
      <c r="N1687">
        <v>0</v>
      </c>
      <c r="O1687">
        <v>369</v>
      </c>
      <c r="P1687">
        <v>9</v>
      </c>
      <c r="Q1687">
        <v>87</v>
      </c>
      <c r="R1687">
        <v>12</v>
      </c>
      <c r="S1687">
        <v>14</v>
      </c>
      <c r="T1687">
        <v>34</v>
      </c>
      <c r="U1687">
        <v>525</v>
      </c>
      <c r="V1687">
        <v>3</v>
      </c>
      <c r="W1687">
        <v>6</v>
      </c>
      <c r="X1687">
        <v>2</v>
      </c>
      <c r="Y1687">
        <v>8</v>
      </c>
      <c r="Z1687">
        <v>16</v>
      </c>
      <c r="AA1687">
        <v>5</v>
      </c>
      <c r="AB1687" t="str">
        <f t="shared" si="80"/>
        <v>Below average customer</v>
      </c>
    </row>
    <row r="1688" spans="1:28" x14ac:dyDescent="0.35">
      <c r="A1688">
        <v>8566</v>
      </c>
      <c r="B1688">
        <v>1961</v>
      </c>
      <c r="C1688" t="s">
        <v>25</v>
      </c>
      <c r="D1688" t="s">
        <v>32</v>
      </c>
      <c r="E1688" t="s">
        <v>29</v>
      </c>
      <c r="F1688">
        <v>32583</v>
      </c>
      <c r="G1688" t="str">
        <f t="shared" si="78"/>
        <v>Low</v>
      </c>
      <c r="H1688">
        <v>1</v>
      </c>
      <c r="I1688">
        <v>1</v>
      </c>
      <c r="J1688">
        <v>2</v>
      </c>
      <c r="K1688" s="1">
        <v>41805</v>
      </c>
      <c r="L1688">
        <v>10</v>
      </c>
      <c r="M1688" t="str">
        <f t="shared" si="79"/>
        <v>Active</v>
      </c>
      <c r="N1688">
        <v>0</v>
      </c>
      <c r="O1688">
        <v>5</v>
      </c>
      <c r="P1688">
        <v>0</v>
      </c>
      <c r="Q1688">
        <v>3</v>
      </c>
      <c r="R1688">
        <v>0</v>
      </c>
      <c r="S1688">
        <v>0</v>
      </c>
      <c r="T1688">
        <v>1</v>
      </c>
      <c r="U1688">
        <v>9</v>
      </c>
      <c r="V1688">
        <v>1</v>
      </c>
      <c r="W1688">
        <v>1</v>
      </c>
      <c r="X1688">
        <v>0</v>
      </c>
      <c r="Y1688">
        <v>2</v>
      </c>
      <c r="Z1688">
        <v>3</v>
      </c>
      <c r="AA1688">
        <v>7</v>
      </c>
      <c r="AB1688" t="str">
        <f t="shared" si="80"/>
        <v>Below average customer</v>
      </c>
    </row>
    <row r="1689" spans="1:28" x14ac:dyDescent="0.35">
      <c r="A1689">
        <v>2415</v>
      </c>
      <c r="B1689">
        <v>1962</v>
      </c>
      <c r="C1689" t="s">
        <v>25</v>
      </c>
      <c r="D1689" t="s">
        <v>26</v>
      </c>
      <c r="E1689" t="s">
        <v>29</v>
      </c>
      <c r="F1689">
        <v>62568</v>
      </c>
      <c r="G1689" t="str">
        <f t="shared" si="78"/>
        <v>Mid-high</v>
      </c>
      <c r="H1689">
        <v>0</v>
      </c>
      <c r="I1689">
        <v>1</v>
      </c>
      <c r="J1689">
        <v>1</v>
      </c>
      <c r="K1689" s="1">
        <v>41736</v>
      </c>
      <c r="L1689">
        <v>99</v>
      </c>
      <c r="M1689" t="str">
        <f t="shared" si="79"/>
        <v>Inactive</v>
      </c>
      <c r="N1689">
        <v>0</v>
      </c>
      <c r="O1689">
        <v>362</v>
      </c>
      <c r="P1689">
        <v>17</v>
      </c>
      <c r="Q1689">
        <v>398</v>
      </c>
      <c r="R1689">
        <v>80</v>
      </c>
      <c r="S1689">
        <v>35</v>
      </c>
      <c r="T1689">
        <v>61</v>
      </c>
      <c r="U1689">
        <v>953</v>
      </c>
      <c r="V1689">
        <v>3</v>
      </c>
      <c r="W1689">
        <v>5</v>
      </c>
      <c r="X1689">
        <v>3</v>
      </c>
      <c r="Y1689">
        <v>5</v>
      </c>
      <c r="Z1689">
        <v>13</v>
      </c>
      <c r="AA1689">
        <v>4</v>
      </c>
      <c r="AB1689" t="str">
        <f t="shared" si="80"/>
        <v>Below average customer</v>
      </c>
    </row>
    <row r="1690" spans="1:28" x14ac:dyDescent="0.35">
      <c r="A1690">
        <v>5684</v>
      </c>
      <c r="B1690">
        <v>1971</v>
      </c>
      <c r="C1690" t="s">
        <v>28</v>
      </c>
      <c r="D1690" t="s">
        <v>34</v>
      </c>
      <c r="E1690" t="s">
        <v>35</v>
      </c>
      <c r="F1690">
        <v>44635</v>
      </c>
      <c r="G1690" t="str">
        <f t="shared" si="78"/>
        <v>Mid-low</v>
      </c>
      <c r="H1690">
        <v>1</v>
      </c>
      <c r="I1690">
        <v>1</v>
      </c>
      <c r="J1690">
        <v>2</v>
      </c>
      <c r="K1690" s="1">
        <v>41558</v>
      </c>
      <c r="L1690">
        <v>25</v>
      </c>
      <c r="M1690" t="str">
        <f t="shared" si="79"/>
        <v>Active</v>
      </c>
      <c r="N1690">
        <v>0</v>
      </c>
      <c r="O1690">
        <v>56</v>
      </c>
      <c r="P1690">
        <v>0</v>
      </c>
      <c r="Q1690">
        <v>9</v>
      </c>
      <c r="R1690">
        <v>0</v>
      </c>
      <c r="S1690">
        <v>0</v>
      </c>
      <c r="T1690">
        <v>3</v>
      </c>
      <c r="U1690">
        <v>68</v>
      </c>
      <c r="V1690">
        <v>2</v>
      </c>
      <c r="W1690">
        <v>2</v>
      </c>
      <c r="X1690">
        <v>0</v>
      </c>
      <c r="Y1690">
        <v>3</v>
      </c>
      <c r="Z1690">
        <v>5</v>
      </c>
      <c r="AA1690">
        <v>7</v>
      </c>
      <c r="AB1690" t="str">
        <f t="shared" si="80"/>
        <v>Below average customer</v>
      </c>
    </row>
    <row r="1691" spans="1:28" x14ac:dyDescent="0.35">
      <c r="A1691">
        <v>9166</v>
      </c>
      <c r="B1691">
        <v>1968</v>
      </c>
      <c r="C1691" t="s">
        <v>28</v>
      </c>
      <c r="D1691" t="s">
        <v>26</v>
      </c>
      <c r="E1691" t="s">
        <v>33</v>
      </c>
      <c r="F1691">
        <v>63967</v>
      </c>
      <c r="G1691" t="str">
        <f t="shared" si="78"/>
        <v>Mid-high</v>
      </c>
      <c r="H1691">
        <v>0</v>
      </c>
      <c r="I1691">
        <v>1</v>
      </c>
      <c r="J1691">
        <v>1</v>
      </c>
      <c r="K1691" s="1">
        <v>41495</v>
      </c>
      <c r="L1691">
        <v>57</v>
      </c>
      <c r="M1691" t="str">
        <f t="shared" si="79"/>
        <v>Inactive</v>
      </c>
      <c r="N1691">
        <v>0</v>
      </c>
      <c r="O1691">
        <v>387</v>
      </c>
      <c r="P1691">
        <v>84</v>
      </c>
      <c r="Q1691">
        <v>141</v>
      </c>
      <c r="R1691">
        <v>73</v>
      </c>
      <c r="S1691">
        <v>35</v>
      </c>
      <c r="T1691">
        <v>162</v>
      </c>
      <c r="U1691">
        <v>882</v>
      </c>
      <c r="V1691">
        <v>3</v>
      </c>
      <c r="W1691">
        <v>4</v>
      </c>
      <c r="X1691">
        <v>4</v>
      </c>
      <c r="Y1691">
        <v>12</v>
      </c>
      <c r="Z1691">
        <v>20</v>
      </c>
      <c r="AA1691">
        <v>2</v>
      </c>
      <c r="AB1691" t="str">
        <f t="shared" si="80"/>
        <v>Below average customer</v>
      </c>
    </row>
    <row r="1692" spans="1:28" x14ac:dyDescent="0.35">
      <c r="A1692">
        <v>1440</v>
      </c>
      <c r="B1692">
        <v>1978</v>
      </c>
      <c r="C1692" t="s">
        <v>31</v>
      </c>
      <c r="D1692" t="s">
        <v>34</v>
      </c>
      <c r="E1692" t="s">
        <v>29</v>
      </c>
      <c r="F1692">
        <v>52513</v>
      </c>
      <c r="G1692" t="str">
        <f t="shared" si="78"/>
        <v>Mid-high</v>
      </c>
      <c r="H1692">
        <v>0</v>
      </c>
      <c r="I1692">
        <v>0</v>
      </c>
      <c r="J1692">
        <v>0</v>
      </c>
      <c r="K1692" s="1">
        <v>41156</v>
      </c>
      <c r="L1692">
        <v>84</v>
      </c>
      <c r="M1692" t="str">
        <f t="shared" si="79"/>
        <v>Inactive</v>
      </c>
      <c r="N1692">
        <v>0</v>
      </c>
      <c r="O1692">
        <v>367</v>
      </c>
      <c r="P1692">
        <v>17</v>
      </c>
      <c r="Q1692">
        <v>241</v>
      </c>
      <c r="R1692">
        <v>104</v>
      </c>
      <c r="S1692">
        <v>188</v>
      </c>
      <c r="T1692">
        <v>232</v>
      </c>
      <c r="U1692">
        <v>1149</v>
      </c>
      <c r="V1692">
        <v>2</v>
      </c>
      <c r="W1692">
        <v>9</v>
      </c>
      <c r="X1692">
        <v>5</v>
      </c>
      <c r="Y1692">
        <v>9</v>
      </c>
      <c r="Z1692">
        <v>23</v>
      </c>
      <c r="AA1692">
        <v>7</v>
      </c>
      <c r="AB1692" t="str">
        <f t="shared" si="80"/>
        <v>Below average customer</v>
      </c>
    </row>
    <row r="1693" spans="1:28" x14ac:dyDescent="0.35">
      <c r="A1693">
        <v>78</v>
      </c>
      <c r="B1693">
        <v>1969</v>
      </c>
      <c r="C1693" t="s">
        <v>28</v>
      </c>
      <c r="D1693" t="s">
        <v>26</v>
      </c>
      <c r="E1693" t="s">
        <v>33</v>
      </c>
      <c r="F1693">
        <v>25293</v>
      </c>
      <c r="G1693" t="str">
        <f t="shared" si="78"/>
        <v>Low</v>
      </c>
      <c r="H1693">
        <v>1</v>
      </c>
      <c r="I1693">
        <v>0</v>
      </c>
      <c r="J1693">
        <v>1</v>
      </c>
      <c r="K1693" s="1">
        <v>41532</v>
      </c>
      <c r="L1693">
        <v>51</v>
      </c>
      <c r="M1693" t="str">
        <f t="shared" si="79"/>
        <v>Inactive</v>
      </c>
      <c r="N1693">
        <v>0</v>
      </c>
      <c r="O1693">
        <v>15</v>
      </c>
      <c r="P1693">
        <v>0</v>
      </c>
      <c r="Q1693">
        <v>11</v>
      </c>
      <c r="R1693">
        <v>0</v>
      </c>
      <c r="S1693">
        <v>2</v>
      </c>
      <c r="T1693">
        <v>9</v>
      </c>
      <c r="U1693">
        <v>37</v>
      </c>
      <c r="V1693">
        <v>1</v>
      </c>
      <c r="W1693">
        <v>1</v>
      </c>
      <c r="X1693">
        <v>1</v>
      </c>
      <c r="Y1693">
        <v>2</v>
      </c>
      <c r="Z1693">
        <v>4</v>
      </c>
      <c r="AA1693">
        <v>8</v>
      </c>
      <c r="AB1693" t="str">
        <f t="shared" si="80"/>
        <v>Below average customer</v>
      </c>
    </row>
    <row r="1694" spans="1:28" x14ac:dyDescent="0.35">
      <c r="A1694">
        <v>5441</v>
      </c>
      <c r="B1694">
        <v>1965</v>
      </c>
      <c r="C1694" t="s">
        <v>28</v>
      </c>
      <c r="D1694" t="s">
        <v>32</v>
      </c>
      <c r="E1694" t="s">
        <v>38</v>
      </c>
      <c r="F1694">
        <v>54111</v>
      </c>
      <c r="G1694" t="str">
        <f t="shared" si="78"/>
        <v>Mid-high</v>
      </c>
      <c r="H1694">
        <v>0</v>
      </c>
      <c r="I1694">
        <v>1</v>
      </c>
      <c r="J1694">
        <v>1</v>
      </c>
      <c r="K1694" s="1">
        <v>41511</v>
      </c>
      <c r="L1694">
        <v>97</v>
      </c>
      <c r="M1694" t="str">
        <f t="shared" si="79"/>
        <v>Inactive</v>
      </c>
      <c r="N1694">
        <v>0</v>
      </c>
      <c r="O1694">
        <v>267</v>
      </c>
      <c r="P1694">
        <v>6</v>
      </c>
      <c r="Q1694">
        <v>54</v>
      </c>
      <c r="R1694">
        <v>8</v>
      </c>
      <c r="S1694">
        <v>3</v>
      </c>
      <c r="T1694">
        <v>50</v>
      </c>
      <c r="U1694">
        <v>388</v>
      </c>
      <c r="V1694">
        <v>2</v>
      </c>
      <c r="W1694">
        <v>5</v>
      </c>
      <c r="X1694">
        <v>2</v>
      </c>
      <c r="Y1694">
        <v>6</v>
      </c>
      <c r="Z1694">
        <v>13</v>
      </c>
      <c r="AA1694">
        <v>5</v>
      </c>
      <c r="AB1694" t="str">
        <f t="shared" si="80"/>
        <v>Below average customer</v>
      </c>
    </row>
    <row r="1695" spans="1:28" x14ac:dyDescent="0.35">
      <c r="A1695">
        <v>5302</v>
      </c>
      <c r="B1695">
        <v>1986</v>
      </c>
      <c r="C1695" t="s">
        <v>30</v>
      </c>
      <c r="D1695" t="s">
        <v>26</v>
      </c>
      <c r="E1695" t="s">
        <v>29</v>
      </c>
      <c r="F1695">
        <v>78394</v>
      </c>
      <c r="G1695" t="str">
        <f t="shared" si="78"/>
        <v>High</v>
      </c>
      <c r="H1695">
        <v>0</v>
      </c>
      <c r="I1695">
        <v>0</v>
      </c>
      <c r="J1695">
        <v>0</v>
      </c>
      <c r="K1695" s="1">
        <v>41320</v>
      </c>
      <c r="L1695">
        <v>13</v>
      </c>
      <c r="M1695" t="str">
        <f t="shared" si="79"/>
        <v>Active</v>
      </c>
      <c r="N1695">
        <v>0</v>
      </c>
      <c r="O1695">
        <v>298</v>
      </c>
      <c r="P1695">
        <v>27</v>
      </c>
      <c r="Q1695">
        <v>697</v>
      </c>
      <c r="R1695">
        <v>216</v>
      </c>
      <c r="S1695">
        <v>24</v>
      </c>
      <c r="T1695">
        <v>166</v>
      </c>
      <c r="U1695">
        <v>1428</v>
      </c>
      <c r="V1695">
        <v>1</v>
      </c>
      <c r="W1695">
        <v>4</v>
      </c>
      <c r="X1695">
        <v>6</v>
      </c>
      <c r="Y1695">
        <v>5</v>
      </c>
      <c r="Z1695">
        <v>15</v>
      </c>
      <c r="AA1695">
        <v>2</v>
      </c>
      <c r="AB1695" t="str">
        <f t="shared" si="80"/>
        <v>Above average customer</v>
      </c>
    </row>
    <row r="1696" spans="1:28" x14ac:dyDescent="0.35">
      <c r="A1696">
        <v>4687</v>
      </c>
      <c r="B1696">
        <v>1958</v>
      </c>
      <c r="C1696" t="s">
        <v>25</v>
      </c>
      <c r="D1696" t="s">
        <v>34</v>
      </c>
      <c r="E1696" t="s">
        <v>33</v>
      </c>
      <c r="F1696">
        <v>80739</v>
      </c>
      <c r="G1696" t="str">
        <f t="shared" si="78"/>
        <v>High</v>
      </c>
      <c r="H1696">
        <v>0</v>
      </c>
      <c r="I1696">
        <v>0</v>
      </c>
      <c r="J1696">
        <v>0</v>
      </c>
      <c r="K1696" s="1">
        <v>41417</v>
      </c>
      <c r="L1696">
        <v>92</v>
      </c>
      <c r="M1696" t="str">
        <f t="shared" si="79"/>
        <v>Inactive</v>
      </c>
      <c r="N1696">
        <v>0</v>
      </c>
      <c r="O1696">
        <v>674</v>
      </c>
      <c r="P1696">
        <v>92</v>
      </c>
      <c r="Q1696">
        <v>736</v>
      </c>
      <c r="R1696">
        <v>39</v>
      </c>
      <c r="S1696">
        <v>0</v>
      </c>
      <c r="T1696">
        <v>92</v>
      </c>
      <c r="U1696">
        <v>1633</v>
      </c>
      <c r="V1696">
        <v>1</v>
      </c>
      <c r="W1696">
        <v>3</v>
      </c>
      <c r="X1696">
        <v>11</v>
      </c>
      <c r="Y1696">
        <v>9</v>
      </c>
      <c r="Z1696">
        <v>23</v>
      </c>
      <c r="AA1696">
        <v>1</v>
      </c>
      <c r="AB1696" t="str">
        <f t="shared" si="80"/>
        <v>Below average customer</v>
      </c>
    </row>
    <row r="1697" spans="1:28" x14ac:dyDescent="0.35">
      <c r="A1697">
        <v>1087</v>
      </c>
      <c r="B1697">
        <v>1975</v>
      </c>
      <c r="C1697" t="s">
        <v>31</v>
      </c>
      <c r="D1697" t="s">
        <v>34</v>
      </c>
      <c r="E1697" t="s">
        <v>29</v>
      </c>
      <c r="F1697">
        <v>22669</v>
      </c>
      <c r="G1697" t="str">
        <f t="shared" si="78"/>
        <v>Low</v>
      </c>
      <c r="H1697">
        <v>1</v>
      </c>
      <c r="I1697">
        <v>0</v>
      </c>
      <c r="J1697">
        <v>1</v>
      </c>
      <c r="K1697" s="1">
        <v>41416</v>
      </c>
      <c r="L1697">
        <v>30</v>
      </c>
      <c r="M1697" t="str">
        <f t="shared" si="79"/>
        <v>Active</v>
      </c>
      <c r="N1697">
        <v>0</v>
      </c>
      <c r="O1697">
        <v>16</v>
      </c>
      <c r="P1697">
        <v>14</v>
      </c>
      <c r="Q1697">
        <v>36</v>
      </c>
      <c r="R1697">
        <v>37</v>
      </c>
      <c r="S1697">
        <v>22</v>
      </c>
      <c r="T1697">
        <v>48</v>
      </c>
      <c r="U1697">
        <v>173</v>
      </c>
      <c r="V1697">
        <v>3</v>
      </c>
      <c r="W1697">
        <v>4</v>
      </c>
      <c r="X1697">
        <v>1</v>
      </c>
      <c r="Y1697">
        <v>2</v>
      </c>
      <c r="Z1697">
        <v>7</v>
      </c>
      <c r="AA1697">
        <v>9</v>
      </c>
      <c r="AB1697" t="str">
        <f t="shared" si="80"/>
        <v>Below average customer</v>
      </c>
    </row>
    <row r="1698" spans="1:28" x14ac:dyDescent="0.35">
      <c r="A1698">
        <v>6859</v>
      </c>
      <c r="B1698">
        <v>1987</v>
      </c>
      <c r="C1698" t="s">
        <v>30</v>
      </c>
      <c r="D1698" t="s">
        <v>26</v>
      </c>
      <c r="E1698" t="s">
        <v>27</v>
      </c>
      <c r="F1698">
        <v>29236</v>
      </c>
      <c r="G1698" t="str">
        <f t="shared" si="78"/>
        <v>Low</v>
      </c>
      <c r="H1698">
        <v>1</v>
      </c>
      <c r="I1698">
        <v>0</v>
      </c>
      <c r="J1698">
        <v>1</v>
      </c>
      <c r="K1698" s="1">
        <v>41555</v>
      </c>
      <c r="L1698">
        <v>30</v>
      </c>
      <c r="M1698" t="str">
        <f t="shared" si="79"/>
        <v>Active</v>
      </c>
      <c r="N1698">
        <v>0</v>
      </c>
      <c r="O1698">
        <v>37</v>
      </c>
      <c r="P1698">
        <v>4</v>
      </c>
      <c r="Q1698">
        <v>24</v>
      </c>
      <c r="R1698">
        <v>16</v>
      </c>
      <c r="S1698">
        <v>9</v>
      </c>
      <c r="T1698">
        <v>9</v>
      </c>
      <c r="U1698">
        <v>99</v>
      </c>
      <c r="V1698">
        <v>2</v>
      </c>
      <c r="W1698">
        <v>4</v>
      </c>
      <c r="X1698">
        <v>0</v>
      </c>
      <c r="Y1698">
        <v>3</v>
      </c>
      <c r="Z1698">
        <v>7</v>
      </c>
      <c r="AA1698">
        <v>9</v>
      </c>
      <c r="AB1698" t="str">
        <f t="shared" si="80"/>
        <v>Below average customer</v>
      </c>
    </row>
    <row r="1699" spans="1:28" x14ac:dyDescent="0.35">
      <c r="A1699">
        <v>9860</v>
      </c>
      <c r="B1699">
        <v>1959</v>
      </c>
      <c r="C1699" t="s">
        <v>25</v>
      </c>
      <c r="D1699" t="s">
        <v>26</v>
      </c>
      <c r="E1699" t="s">
        <v>29</v>
      </c>
      <c r="F1699">
        <v>44911</v>
      </c>
      <c r="G1699" t="str">
        <f t="shared" si="78"/>
        <v>Mid-low</v>
      </c>
      <c r="H1699">
        <v>0</v>
      </c>
      <c r="I1699">
        <v>1</v>
      </c>
      <c r="J1699">
        <v>1</v>
      </c>
      <c r="K1699" s="1">
        <v>41348</v>
      </c>
      <c r="L1699">
        <v>11</v>
      </c>
      <c r="M1699" t="str">
        <f t="shared" si="79"/>
        <v>Active</v>
      </c>
      <c r="N1699">
        <v>0</v>
      </c>
      <c r="O1699">
        <v>159</v>
      </c>
      <c r="P1699">
        <v>0</v>
      </c>
      <c r="Q1699">
        <v>22</v>
      </c>
      <c r="R1699">
        <v>2</v>
      </c>
      <c r="S1699">
        <v>1</v>
      </c>
      <c r="T1699">
        <v>31</v>
      </c>
      <c r="U1699">
        <v>215</v>
      </c>
      <c r="V1699">
        <v>3</v>
      </c>
      <c r="W1699">
        <v>4</v>
      </c>
      <c r="X1699">
        <v>1</v>
      </c>
      <c r="Y1699">
        <v>4</v>
      </c>
      <c r="Z1699">
        <v>9</v>
      </c>
      <c r="AA1699">
        <v>7</v>
      </c>
      <c r="AB1699" t="str">
        <f t="shared" si="80"/>
        <v>Below average customer</v>
      </c>
    </row>
    <row r="1700" spans="1:28" x14ac:dyDescent="0.35">
      <c r="A1700">
        <v>7129</v>
      </c>
      <c r="B1700">
        <v>1962</v>
      </c>
      <c r="C1700" t="s">
        <v>25</v>
      </c>
      <c r="D1700" t="s">
        <v>32</v>
      </c>
      <c r="E1700" t="s">
        <v>33</v>
      </c>
      <c r="F1700">
        <v>54693</v>
      </c>
      <c r="G1700" t="str">
        <f t="shared" si="78"/>
        <v>Mid-high</v>
      </c>
      <c r="H1700">
        <v>0</v>
      </c>
      <c r="I1700">
        <v>1</v>
      </c>
      <c r="J1700">
        <v>1</v>
      </c>
      <c r="K1700" s="1">
        <v>41322</v>
      </c>
      <c r="L1700">
        <v>72</v>
      </c>
      <c r="M1700" t="str">
        <f t="shared" si="79"/>
        <v>Inactive</v>
      </c>
      <c r="N1700">
        <v>0</v>
      </c>
      <c r="O1700">
        <v>686</v>
      </c>
      <c r="P1700">
        <v>17</v>
      </c>
      <c r="Q1700">
        <v>142</v>
      </c>
      <c r="R1700">
        <v>23</v>
      </c>
      <c r="S1700">
        <v>26</v>
      </c>
      <c r="T1700">
        <v>35</v>
      </c>
      <c r="U1700">
        <v>929</v>
      </c>
      <c r="V1700">
        <v>8</v>
      </c>
      <c r="W1700">
        <v>6</v>
      </c>
      <c r="X1700">
        <v>4</v>
      </c>
      <c r="Y1700">
        <v>13</v>
      </c>
      <c r="Z1700">
        <v>23</v>
      </c>
      <c r="AA1700">
        <v>6</v>
      </c>
      <c r="AB1700" t="str">
        <f t="shared" si="80"/>
        <v>Below average customer</v>
      </c>
    </row>
    <row r="1701" spans="1:28" x14ac:dyDescent="0.35">
      <c r="A1701">
        <v>5866</v>
      </c>
      <c r="B1701">
        <v>1974</v>
      </c>
      <c r="C1701" t="s">
        <v>31</v>
      </c>
      <c r="D1701" t="s">
        <v>26</v>
      </c>
      <c r="E1701" t="s">
        <v>29</v>
      </c>
      <c r="F1701">
        <v>48186</v>
      </c>
      <c r="G1701" t="str">
        <f t="shared" si="78"/>
        <v>Mid-low</v>
      </c>
      <c r="H1701">
        <v>1</v>
      </c>
      <c r="I1701">
        <v>0</v>
      </c>
      <c r="J1701">
        <v>1</v>
      </c>
      <c r="K1701" s="1">
        <v>41718</v>
      </c>
      <c r="L1701">
        <v>39</v>
      </c>
      <c r="M1701" t="str">
        <f t="shared" si="79"/>
        <v>Active</v>
      </c>
      <c r="N1701">
        <v>0</v>
      </c>
      <c r="O1701">
        <v>97</v>
      </c>
      <c r="P1701">
        <v>3</v>
      </c>
      <c r="Q1701">
        <v>66</v>
      </c>
      <c r="R1701">
        <v>12</v>
      </c>
      <c r="S1701">
        <v>7</v>
      </c>
      <c r="T1701">
        <v>34</v>
      </c>
      <c r="U1701">
        <v>219</v>
      </c>
      <c r="V1701">
        <v>3</v>
      </c>
      <c r="W1701">
        <v>4</v>
      </c>
      <c r="X1701">
        <v>1</v>
      </c>
      <c r="Y1701">
        <v>4</v>
      </c>
      <c r="Z1701">
        <v>9</v>
      </c>
      <c r="AA1701">
        <v>7</v>
      </c>
      <c r="AB1701" t="str">
        <f t="shared" si="80"/>
        <v>Below average customer</v>
      </c>
    </row>
    <row r="1702" spans="1:28" x14ac:dyDescent="0.35">
      <c r="A1702">
        <v>10521</v>
      </c>
      <c r="B1702">
        <v>1977</v>
      </c>
      <c r="C1702" t="s">
        <v>31</v>
      </c>
      <c r="D1702" t="s">
        <v>26</v>
      </c>
      <c r="E1702" t="s">
        <v>33</v>
      </c>
      <c r="F1702">
        <v>54809</v>
      </c>
      <c r="G1702" t="str">
        <f t="shared" si="78"/>
        <v>Mid-high</v>
      </c>
      <c r="H1702">
        <v>1</v>
      </c>
      <c r="I1702">
        <v>1</v>
      </c>
      <c r="J1702">
        <v>2</v>
      </c>
      <c r="K1702" s="1">
        <v>41528</v>
      </c>
      <c r="L1702">
        <v>0</v>
      </c>
      <c r="M1702" t="str">
        <f t="shared" si="79"/>
        <v>Active</v>
      </c>
      <c r="N1702">
        <v>0</v>
      </c>
      <c r="O1702">
        <v>63</v>
      </c>
      <c r="P1702">
        <v>6</v>
      </c>
      <c r="Q1702">
        <v>57</v>
      </c>
      <c r="R1702">
        <v>13</v>
      </c>
      <c r="S1702">
        <v>13</v>
      </c>
      <c r="T1702">
        <v>22</v>
      </c>
      <c r="U1702">
        <v>174</v>
      </c>
      <c r="V1702">
        <v>4</v>
      </c>
      <c r="W1702">
        <v>2</v>
      </c>
      <c r="X1702">
        <v>1</v>
      </c>
      <c r="Y1702">
        <v>5</v>
      </c>
      <c r="Z1702">
        <v>8</v>
      </c>
      <c r="AA1702">
        <v>4</v>
      </c>
      <c r="AB1702" t="str">
        <f t="shared" si="80"/>
        <v>Below average customer</v>
      </c>
    </row>
    <row r="1703" spans="1:28" x14ac:dyDescent="0.35">
      <c r="A1703">
        <v>7393</v>
      </c>
      <c r="B1703">
        <v>1978</v>
      </c>
      <c r="C1703" t="s">
        <v>31</v>
      </c>
      <c r="D1703" t="s">
        <v>26</v>
      </c>
      <c r="E1703" t="s">
        <v>29</v>
      </c>
      <c r="F1703">
        <v>41580</v>
      </c>
      <c r="G1703" t="str">
        <f t="shared" si="78"/>
        <v>Mid-low</v>
      </c>
      <c r="H1703">
        <v>1</v>
      </c>
      <c r="I1703">
        <v>1</v>
      </c>
      <c r="J1703">
        <v>2</v>
      </c>
      <c r="K1703" s="1">
        <v>41253</v>
      </c>
      <c r="L1703">
        <v>15</v>
      </c>
      <c r="M1703" t="str">
        <f t="shared" si="79"/>
        <v>Active</v>
      </c>
      <c r="N1703">
        <v>0</v>
      </c>
      <c r="O1703">
        <v>56</v>
      </c>
      <c r="P1703">
        <v>5</v>
      </c>
      <c r="Q1703">
        <v>24</v>
      </c>
      <c r="R1703">
        <v>4</v>
      </c>
      <c r="S1703">
        <v>0</v>
      </c>
      <c r="T1703">
        <v>3</v>
      </c>
      <c r="U1703">
        <v>92</v>
      </c>
      <c r="V1703">
        <v>3</v>
      </c>
      <c r="W1703">
        <v>2</v>
      </c>
      <c r="X1703">
        <v>1</v>
      </c>
      <c r="Y1703">
        <v>3</v>
      </c>
      <c r="Z1703">
        <v>6</v>
      </c>
      <c r="AA1703">
        <v>5</v>
      </c>
      <c r="AB1703" t="str">
        <f t="shared" si="80"/>
        <v>Below average customer</v>
      </c>
    </row>
    <row r="1704" spans="1:28" x14ac:dyDescent="0.35">
      <c r="A1704">
        <v>7849</v>
      </c>
      <c r="B1704">
        <v>1970</v>
      </c>
      <c r="C1704" t="s">
        <v>28</v>
      </c>
      <c r="D1704" t="s">
        <v>32</v>
      </c>
      <c r="E1704" t="s">
        <v>33</v>
      </c>
      <c r="F1704">
        <v>80336</v>
      </c>
      <c r="G1704" t="str">
        <f t="shared" si="78"/>
        <v>High</v>
      </c>
      <c r="H1704">
        <v>0</v>
      </c>
      <c r="I1704">
        <v>0</v>
      </c>
      <c r="J1704">
        <v>0</v>
      </c>
      <c r="K1704" s="1">
        <v>41526</v>
      </c>
      <c r="L1704">
        <v>12</v>
      </c>
      <c r="M1704" t="str">
        <f t="shared" si="79"/>
        <v>Active</v>
      </c>
      <c r="N1704">
        <v>0</v>
      </c>
      <c r="O1704">
        <v>209</v>
      </c>
      <c r="P1704">
        <v>19</v>
      </c>
      <c r="Q1704">
        <v>456</v>
      </c>
      <c r="R1704">
        <v>160</v>
      </c>
      <c r="S1704">
        <v>142</v>
      </c>
      <c r="T1704">
        <v>66</v>
      </c>
      <c r="U1704">
        <v>1052</v>
      </c>
      <c r="V1704">
        <v>1</v>
      </c>
      <c r="W1704">
        <v>2</v>
      </c>
      <c r="X1704">
        <v>9</v>
      </c>
      <c r="Y1704">
        <v>13</v>
      </c>
      <c r="Z1704">
        <v>24</v>
      </c>
      <c r="AA1704">
        <v>1</v>
      </c>
      <c r="AB1704" t="str">
        <f t="shared" si="80"/>
        <v>Above average customer</v>
      </c>
    </row>
    <row r="1705" spans="1:28" x14ac:dyDescent="0.35">
      <c r="A1705">
        <v>332</v>
      </c>
      <c r="B1705">
        <v>1957</v>
      </c>
      <c r="C1705" t="s">
        <v>25</v>
      </c>
      <c r="D1705" t="s">
        <v>26</v>
      </c>
      <c r="E1705" t="s">
        <v>33</v>
      </c>
      <c r="F1705">
        <v>47743</v>
      </c>
      <c r="G1705" t="str">
        <f t="shared" si="78"/>
        <v>Mid-low</v>
      </c>
      <c r="H1705">
        <v>0</v>
      </c>
      <c r="I1705">
        <v>1</v>
      </c>
      <c r="J1705">
        <v>1</v>
      </c>
      <c r="K1705" s="1">
        <v>41355</v>
      </c>
      <c r="L1705">
        <v>56</v>
      </c>
      <c r="M1705" t="str">
        <f t="shared" si="79"/>
        <v>Inactive</v>
      </c>
      <c r="N1705">
        <v>0</v>
      </c>
      <c r="O1705">
        <v>198</v>
      </c>
      <c r="P1705">
        <v>2</v>
      </c>
      <c r="Q1705">
        <v>43</v>
      </c>
      <c r="R1705">
        <v>0</v>
      </c>
      <c r="S1705">
        <v>12</v>
      </c>
      <c r="T1705">
        <v>20</v>
      </c>
      <c r="U1705">
        <v>275</v>
      </c>
      <c r="V1705">
        <v>3</v>
      </c>
      <c r="W1705">
        <v>4</v>
      </c>
      <c r="X1705">
        <v>1</v>
      </c>
      <c r="Y1705">
        <v>6</v>
      </c>
      <c r="Z1705">
        <v>11</v>
      </c>
      <c r="AA1705">
        <v>6</v>
      </c>
      <c r="AB1705" t="str">
        <f t="shared" si="80"/>
        <v>Below average customer</v>
      </c>
    </row>
    <row r="1706" spans="1:28" x14ac:dyDescent="0.35">
      <c r="A1706">
        <v>9847</v>
      </c>
      <c r="B1706">
        <v>1955</v>
      </c>
      <c r="C1706" t="s">
        <v>25</v>
      </c>
      <c r="D1706" t="s">
        <v>34</v>
      </c>
      <c r="E1706" t="s">
        <v>33</v>
      </c>
      <c r="F1706">
        <v>62972</v>
      </c>
      <c r="G1706" t="str">
        <f t="shared" si="78"/>
        <v>Mid-high</v>
      </c>
      <c r="H1706">
        <v>0</v>
      </c>
      <c r="I1706">
        <v>1</v>
      </c>
      <c r="J1706">
        <v>1</v>
      </c>
      <c r="K1706" s="1">
        <v>41124</v>
      </c>
      <c r="L1706">
        <v>39</v>
      </c>
      <c r="M1706" t="str">
        <f t="shared" si="79"/>
        <v>Active</v>
      </c>
      <c r="N1706">
        <v>0</v>
      </c>
      <c r="O1706">
        <v>313</v>
      </c>
      <c r="P1706">
        <v>15</v>
      </c>
      <c r="Q1706">
        <v>47</v>
      </c>
      <c r="R1706">
        <v>20</v>
      </c>
      <c r="S1706">
        <v>0</v>
      </c>
      <c r="T1706">
        <v>192</v>
      </c>
      <c r="U1706">
        <v>587</v>
      </c>
      <c r="V1706">
        <v>2</v>
      </c>
      <c r="W1706">
        <v>7</v>
      </c>
      <c r="X1706">
        <v>4</v>
      </c>
      <c r="Y1706">
        <v>3</v>
      </c>
      <c r="Z1706">
        <v>14</v>
      </c>
      <c r="AA1706">
        <v>6</v>
      </c>
      <c r="AB1706" t="str">
        <f t="shared" si="80"/>
        <v>Below average customer</v>
      </c>
    </row>
    <row r="1707" spans="1:28" x14ac:dyDescent="0.35">
      <c r="A1707">
        <v>531</v>
      </c>
      <c r="B1707">
        <v>1954</v>
      </c>
      <c r="C1707" t="s">
        <v>25</v>
      </c>
      <c r="D1707" t="s">
        <v>32</v>
      </c>
      <c r="E1707" t="s">
        <v>35</v>
      </c>
      <c r="F1707">
        <v>57333</v>
      </c>
      <c r="G1707" t="str">
        <f t="shared" si="78"/>
        <v>Mid-high</v>
      </c>
      <c r="H1707">
        <v>0</v>
      </c>
      <c r="I1707">
        <v>1</v>
      </c>
      <c r="J1707">
        <v>1</v>
      </c>
      <c r="K1707" s="1">
        <v>41174</v>
      </c>
      <c r="L1707">
        <v>55</v>
      </c>
      <c r="M1707" t="str">
        <f t="shared" si="79"/>
        <v>Inactive</v>
      </c>
      <c r="N1707">
        <v>0</v>
      </c>
      <c r="O1707">
        <v>941</v>
      </c>
      <c r="P1707">
        <v>14</v>
      </c>
      <c r="Q1707">
        <v>397</v>
      </c>
      <c r="R1707">
        <v>76</v>
      </c>
      <c r="S1707">
        <v>58</v>
      </c>
      <c r="T1707">
        <v>176</v>
      </c>
      <c r="U1707">
        <v>1662</v>
      </c>
      <c r="V1707">
        <v>11</v>
      </c>
      <c r="W1707">
        <v>8</v>
      </c>
      <c r="X1707">
        <v>5</v>
      </c>
      <c r="Y1707">
        <v>9</v>
      </c>
      <c r="Z1707">
        <v>22</v>
      </c>
      <c r="AA1707">
        <v>6</v>
      </c>
      <c r="AB1707" t="str">
        <f t="shared" si="80"/>
        <v>Below average customer</v>
      </c>
    </row>
    <row r="1708" spans="1:28" x14ac:dyDescent="0.35">
      <c r="A1708">
        <v>9576</v>
      </c>
      <c r="B1708">
        <v>1982</v>
      </c>
      <c r="C1708" t="s">
        <v>31</v>
      </c>
      <c r="D1708" t="s">
        <v>32</v>
      </c>
      <c r="E1708" t="s">
        <v>29</v>
      </c>
      <c r="F1708">
        <v>32313</v>
      </c>
      <c r="G1708" t="str">
        <f t="shared" si="78"/>
        <v>Low</v>
      </c>
      <c r="H1708">
        <v>1</v>
      </c>
      <c r="I1708">
        <v>0</v>
      </c>
      <c r="J1708">
        <v>1</v>
      </c>
      <c r="K1708" s="1">
        <v>41316</v>
      </c>
      <c r="L1708">
        <v>60</v>
      </c>
      <c r="M1708" t="str">
        <f t="shared" si="79"/>
        <v>Inactive</v>
      </c>
      <c r="N1708">
        <v>0</v>
      </c>
      <c r="O1708">
        <v>86</v>
      </c>
      <c r="P1708">
        <v>4</v>
      </c>
      <c r="Q1708">
        <v>56</v>
      </c>
      <c r="R1708">
        <v>2</v>
      </c>
      <c r="S1708">
        <v>4</v>
      </c>
      <c r="T1708">
        <v>7</v>
      </c>
      <c r="U1708">
        <v>159</v>
      </c>
      <c r="V1708">
        <v>3</v>
      </c>
      <c r="W1708">
        <v>4</v>
      </c>
      <c r="X1708">
        <v>0</v>
      </c>
      <c r="Y1708">
        <v>4</v>
      </c>
      <c r="Z1708">
        <v>8</v>
      </c>
      <c r="AA1708">
        <v>9</v>
      </c>
      <c r="AB1708" t="str">
        <f t="shared" si="80"/>
        <v>Below average customer</v>
      </c>
    </row>
    <row r="1709" spans="1:28" x14ac:dyDescent="0.35">
      <c r="A1709">
        <v>6906</v>
      </c>
      <c r="B1709">
        <v>1953</v>
      </c>
      <c r="C1709" t="s">
        <v>25</v>
      </c>
      <c r="D1709" t="s">
        <v>34</v>
      </c>
      <c r="E1709" t="s">
        <v>38</v>
      </c>
      <c r="F1709">
        <v>84953</v>
      </c>
      <c r="G1709" t="str">
        <f t="shared" si="78"/>
        <v>High</v>
      </c>
      <c r="H1709">
        <v>0</v>
      </c>
      <c r="I1709">
        <v>0</v>
      </c>
      <c r="J1709">
        <v>0</v>
      </c>
      <c r="K1709" s="1">
        <v>41428</v>
      </c>
      <c r="L1709">
        <v>73</v>
      </c>
      <c r="M1709" t="str">
        <f t="shared" si="79"/>
        <v>Inactive</v>
      </c>
      <c r="N1709">
        <v>0</v>
      </c>
      <c r="O1709">
        <v>167</v>
      </c>
      <c r="P1709">
        <v>48</v>
      </c>
      <c r="Q1709">
        <v>602</v>
      </c>
      <c r="R1709">
        <v>63</v>
      </c>
      <c r="S1709">
        <v>72</v>
      </c>
      <c r="T1709">
        <v>72</v>
      </c>
      <c r="U1709">
        <v>1024</v>
      </c>
      <c r="V1709">
        <v>1</v>
      </c>
      <c r="W1709">
        <v>3</v>
      </c>
      <c r="X1709">
        <v>10</v>
      </c>
      <c r="Y1709">
        <v>4</v>
      </c>
      <c r="Z1709">
        <v>17</v>
      </c>
      <c r="AA1709">
        <v>2</v>
      </c>
      <c r="AB1709" t="str">
        <f t="shared" si="80"/>
        <v>Below average customer</v>
      </c>
    </row>
    <row r="1710" spans="1:28" x14ac:dyDescent="0.35">
      <c r="A1710">
        <v>7419</v>
      </c>
      <c r="B1710">
        <v>1968</v>
      </c>
      <c r="C1710" t="s">
        <v>28</v>
      </c>
      <c r="D1710" t="s">
        <v>34</v>
      </c>
      <c r="E1710" t="s">
        <v>35</v>
      </c>
      <c r="F1710">
        <v>27071</v>
      </c>
      <c r="G1710" t="str">
        <f t="shared" si="78"/>
        <v>Low</v>
      </c>
      <c r="H1710">
        <v>1</v>
      </c>
      <c r="I1710">
        <v>0</v>
      </c>
      <c r="J1710">
        <v>1</v>
      </c>
      <c r="K1710" s="1">
        <v>41752</v>
      </c>
      <c r="L1710">
        <v>90</v>
      </c>
      <c r="M1710" t="str">
        <f t="shared" si="79"/>
        <v>Inactive</v>
      </c>
      <c r="N1710">
        <v>0</v>
      </c>
      <c r="O1710">
        <v>8</v>
      </c>
      <c r="P1710">
        <v>3</v>
      </c>
      <c r="Q1710">
        <v>19</v>
      </c>
      <c r="R1710">
        <v>0</v>
      </c>
      <c r="S1710">
        <v>2</v>
      </c>
      <c r="T1710">
        <v>3</v>
      </c>
      <c r="U1710">
        <v>35</v>
      </c>
      <c r="V1710">
        <v>2</v>
      </c>
      <c r="W1710">
        <v>2</v>
      </c>
      <c r="X1710">
        <v>0</v>
      </c>
      <c r="Y1710">
        <v>3</v>
      </c>
      <c r="Z1710">
        <v>5</v>
      </c>
      <c r="AA1710">
        <v>6</v>
      </c>
      <c r="AB1710" t="str">
        <f t="shared" si="80"/>
        <v>Below average customer</v>
      </c>
    </row>
    <row r="1711" spans="1:28" x14ac:dyDescent="0.35">
      <c r="A1711">
        <v>3170</v>
      </c>
      <c r="B1711">
        <v>1957</v>
      </c>
      <c r="C1711" t="s">
        <v>25</v>
      </c>
      <c r="D1711" t="s">
        <v>34</v>
      </c>
      <c r="E1711" t="s">
        <v>29</v>
      </c>
      <c r="F1711">
        <v>68148</v>
      </c>
      <c r="G1711" t="str">
        <f t="shared" si="78"/>
        <v>Mid-high</v>
      </c>
      <c r="H1711">
        <v>0</v>
      </c>
      <c r="I1711">
        <v>0</v>
      </c>
      <c r="J1711">
        <v>0</v>
      </c>
      <c r="K1711" s="1">
        <v>41517</v>
      </c>
      <c r="L1711">
        <v>86</v>
      </c>
      <c r="M1711" t="str">
        <f t="shared" si="79"/>
        <v>Inactive</v>
      </c>
      <c r="N1711">
        <v>0</v>
      </c>
      <c r="O1711">
        <v>389</v>
      </c>
      <c r="P1711">
        <v>66</v>
      </c>
      <c r="Q1711">
        <v>408</v>
      </c>
      <c r="R1711">
        <v>37</v>
      </c>
      <c r="S1711">
        <v>57</v>
      </c>
      <c r="T1711">
        <v>85</v>
      </c>
      <c r="U1711">
        <v>1042</v>
      </c>
      <c r="V1711">
        <v>1</v>
      </c>
      <c r="W1711">
        <v>4</v>
      </c>
      <c r="X1711">
        <v>4</v>
      </c>
      <c r="Y1711">
        <v>6</v>
      </c>
      <c r="Z1711">
        <v>14</v>
      </c>
      <c r="AA1711">
        <v>2</v>
      </c>
      <c r="AB1711" t="str">
        <f t="shared" si="80"/>
        <v>Below average customer</v>
      </c>
    </row>
    <row r="1712" spans="1:28" x14ac:dyDescent="0.35">
      <c r="A1712">
        <v>8527</v>
      </c>
      <c r="B1712">
        <v>1965</v>
      </c>
      <c r="C1712" t="s">
        <v>28</v>
      </c>
      <c r="D1712" t="s">
        <v>34</v>
      </c>
      <c r="E1712" t="s">
        <v>29</v>
      </c>
      <c r="F1712">
        <v>65735</v>
      </c>
      <c r="G1712" t="str">
        <f t="shared" si="78"/>
        <v>Mid-high</v>
      </c>
      <c r="H1712">
        <v>1</v>
      </c>
      <c r="I1712">
        <v>1</v>
      </c>
      <c r="J1712">
        <v>2</v>
      </c>
      <c r="K1712" s="1">
        <v>41615</v>
      </c>
      <c r="L1712">
        <v>37</v>
      </c>
      <c r="M1712" t="str">
        <f t="shared" si="79"/>
        <v>Active</v>
      </c>
      <c r="N1712">
        <v>0</v>
      </c>
      <c r="O1712">
        <v>239</v>
      </c>
      <c r="P1712">
        <v>7</v>
      </c>
      <c r="Q1712">
        <v>119</v>
      </c>
      <c r="R1712">
        <v>4</v>
      </c>
      <c r="S1712">
        <v>15</v>
      </c>
      <c r="T1712">
        <v>11</v>
      </c>
      <c r="U1712">
        <v>395</v>
      </c>
      <c r="V1712">
        <v>5</v>
      </c>
      <c r="W1712">
        <v>6</v>
      </c>
      <c r="X1712">
        <v>2</v>
      </c>
      <c r="Y1712">
        <v>6</v>
      </c>
      <c r="Z1712">
        <v>14</v>
      </c>
      <c r="AA1712">
        <v>7</v>
      </c>
      <c r="AB1712" t="str">
        <f t="shared" si="80"/>
        <v>Below average customer</v>
      </c>
    </row>
    <row r="1713" spans="1:28" x14ac:dyDescent="0.35">
      <c r="A1713">
        <v>7872</v>
      </c>
      <c r="B1713">
        <v>1975</v>
      </c>
      <c r="C1713" t="s">
        <v>31</v>
      </c>
      <c r="D1713" t="s">
        <v>32</v>
      </c>
      <c r="E1713" t="s">
        <v>33</v>
      </c>
      <c r="F1713">
        <v>86836</v>
      </c>
      <c r="G1713" t="str">
        <f t="shared" si="78"/>
        <v>High</v>
      </c>
      <c r="H1713">
        <v>0</v>
      </c>
      <c r="I1713">
        <v>0</v>
      </c>
      <c r="J1713">
        <v>0</v>
      </c>
      <c r="K1713" s="1">
        <v>41164</v>
      </c>
      <c r="L1713">
        <v>7</v>
      </c>
      <c r="M1713" t="str">
        <f t="shared" si="79"/>
        <v>Active</v>
      </c>
      <c r="N1713">
        <v>0</v>
      </c>
      <c r="O1713">
        <v>179</v>
      </c>
      <c r="P1713">
        <v>21</v>
      </c>
      <c r="Q1713">
        <v>273</v>
      </c>
      <c r="R1713">
        <v>0</v>
      </c>
      <c r="S1713">
        <v>21</v>
      </c>
      <c r="T1713">
        <v>63</v>
      </c>
      <c r="U1713">
        <v>557</v>
      </c>
      <c r="V1713">
        <v>1</v>
      </c>
      <c r="W1713">
        <v>6</v>
      </c>
      <c r="X1713">
        <v>10</v>
      </c>
      <c r="Y1713">
        <v>6</v>
      </c>
      <c r="Z1713">
        <v>22</v>
      </c>
      <c r="AA1713">
        <v>5</v>
      </c>
      <c r="AB1713" t="str">
        <f t="shared" si="80"/>
        <v>Below average customer</v>
      </c>
    </row>
    <row r="1714" spans="1:28" x14ac:dyDescent="0.35">
      <c r="A1714">
        <v>9931</v>
      </c>
      <c r="B1714">
        <v>1963</v>
      </c>
      <c r="C1714" t="s">
        <v>28</v>
      </c>
      <c r="D1714" t="s">
        <v>32</v>
      </c>
      <c r="E1714" t="s">
        <v>33</v>
      </c>
      <c r="F1714">
        <v>4023</v>
      </c>
      <c r="G1714" t="str">
        <f t="shared" si="78"/>
        <v>Low</v>
      </c>
      <c r="H1714">
        <v>1</v>
      </c>
      <c r="I1714">
        <v>1</v>
      </c>
      <c r="J1714">
        <v>2</v>
      </c>
      <c r="K1714" s="1">
        <v>41813</v>
      </c>
      <c r="L1714">
        <v>29</v>
      </c>
      <c r="M1714" t="str">
        <f t="shared" si="79"/>
        <v>Active</v>
      </c>
      <c r="N1714">
        <v>0</v>
      </c>
      <c r="O1714">
        <v>5</v>
      </c>
      <c r="P1714">
        <v>0</v>
      </c>
      <c r="Q1714">
        <v>1</v>
      </c>
      <c r="R1714">
        <v>1</v>
      </c>
      <c r="S1714">
        <v>1</v>
      </c>
      <c r="T1714">
        <v>1</v>
      </c>
      <c r="U1714">
        <v>9</v>
      </c>
      <c r="V1714">
        <v>15</v>
      </c>
      <c r="W1714">
        <v>0</v>
      </c>
      <c r="X1714">
        <v>0</v>
      </c>
      <c r="Y1714">
        <v>0</v>
      </c>
      <c r="Z1714">
        <v>0</v>
      </c>
      <c r="AA1714">
        <v>19</v>
      </c>
      <c r="AB1714" t="str">
        <f t="shared" si="80"/>
        <v>Below average customer</v>
      </c>
    </row>
    <row r="1715" spans="1:28" x14ac:dyDescent="0.35">
      <c r="A1715">
        <v>10595</v>
      </c>
      <c r="B1715">
        <v>1990</v>
      </c>
      <c r="C1715" t="s">
        <v>30</v>
      </c>
      <c r="D1715" t="s">
        <v>26</v>
      </c>
      <c r="E1715" t="s">
        <v>33</v>
      </c>
      <c r="F1715">
        <v>30093</v>
      </c>
      <c r="G1715" t="str">
        <f t="shared" si="78"/>
        <v>Low</v>
      </c>
      <c r="H1715">
        <v>0</v>
      </c>
      <c r="I1715">
        <v>0</v>
      </c>
      <c r="J1715">
        <v>0</v>
      </c>
      <c r="K1715" s="1">
        <v>41463</v>
      </c>
      <c r="L1715">
        <v>19</v>
      </c>
      <c r="M1715" t="str">
        <f t="shared" si="79"/>
        <v>Active</v>
      </c>
      <c r="N1715">
        <v>0</v>
      </c>
      <c r="O1715">
        <v>2</v>
      </c>
      <c r="P1715">
        <v>6</v>
      </c>
      <c r="Q1715">
        <v>28</v>
      </c>
      <c r="R1715">
        <v>13</v>
      </c>
      <c r="S1715">
        <v>4</v>
      </c>
      <c r="T1715">
        <v>16</v>
      </c>
      <c r="U1715">
        <v>69</v>
      </c>
      <c r="V1715">
        <v>1</v>
      </c>
      <c r="W1715">
        <v>2</v>
      </c>
      <c r="X1715">
        <v>0</v>
      </c>
      <c r="Y1715">
        <v>3</v>
      </c>
      <c r="Z1715">
        <v>5</v>
      </c>
      <c r="AA1715">
        <v>7</v>
      </c>
      <c r="AB1715" t="str">
        <f t="shared" si="80"/>
        <v>Below average customer</v>
      </c>
    </row>
    <row r="1716" spans="1:28" x14ac:dyDescent="0.35">
      <c r="A1716">
        <v>4609</v>
      </c>
      <c r="B1716">
        <v>1966</v>
      </c>
      <c r="C1716" t="s">
        <v>28</v>
      </c>
      <c r="D1716" t="s">
        <v>32</v>
      </c>
      <c r="E1716" t="s">
        <v>33</v>
      </c>
      <c r="F1716">
        <v>57705</v>
      </c>
      <c r="G1716" t="str">
        <f t="shared" si="78"/>
        <v>Mid-high</v>
      </c>
      <c r="H1716">
        <v>0</v>
      </c>
      <c r="I1716">
        <v>1</v>
      </c>
      <c r="J1716">
        <v>1</v>
      </c>
      <c r="K1716" s="1">
        <v>41650</v>
      </c>
      <c r="L1716">
        <v>14</v>
      </c>
      <c r="M1716" t="str">
        <f t="shared" si="79"/>
        <v>Active</v>
      </c>
      <c r="N1716">
        <v>0</v>
      </c>
      <c r="O1716">
        <v>383</v>
      </c>
      <c r="P1716">
        <v>0</v>
      </c>
      <c r="Q1716">
        <v>53</v>
      </c>
      <c r="R1716">
        <v>6</v>
      </c>
      <c r="S1716">
        <v>4</v>
      </c>
      <c r="T1716">
        <v>40</v>
      </c>
      <c r="U1716">
        <v>486</v>
      </c>
      <c r="V1716">
        <v>3</v>
      </c>
      <c r="W1716">
        <v>8</v>
      </c>
      <c r="X1716">
        <v>1</v>
      </c>
      <c r="Y1716">
        <v>6</v>
      </c>
      <c r="Z1716">
        <v>15</v>
      </c>
      <c r="AA1716">
        <v>6</v>
      </c>
      <c r="AB1716" t="str">
        <f t="shared" si="80"/>
        <v>Below average customer</v>
      </c>
    </row>
    <row r="1717" spans="1:28" x14ac:dyDescent="0.35">
      <c r="A1717">
        <v>5010</v>
      </c>
      <c r="B1717">
        <v>1988</v>
      </c>
      <c r="C1717" t="s">
        <v>30</v>
      </c>
      <c r="D1717" t="s">
        <v>26</v>
      </c>
      <c r="E1717" t="s">
        <v>27</v>
      </c>
      <c r="F1717">
        <v>25008</v>
      </c>
      <c r="G1717" t="str">
        <f t="shared" si="78"/>
        <v>Low</v>
      </c>
      <c r="H1717">
        <v>1</v>
      </c>
      <c r="I1717">
        <v>0</v>
      </c>
      <c r="J1717">
        <v>1</v>
      </c>
      <c r="K1717" s="1">
        <v>41672</v>
      </c>
      <c r="L1717">
        <v>72</v>
      </c>
      <c r="M1717" t="str">
        <f t="shared" si="79"/>
        <v>Inactive</v>
      </c>
      <c r="N1717">
        <v>0</v>
      </c>
      <c r="O1717">
        <v>2</v>
      </c>
      <c r="P1717">
        <v>8</v>
      </c>
      <c r="Q1717">
        <v>8</v>
      </c>
      <c r="R1717">
        <v>6</v>
      </c>
      <c r="S1717">
        <v>1</v>
      </c>
      <c r="T1717">
        <v>9</v>
      </c>
      <c r="U1717">
        <v>34</v>
      </c>
      <c r="V1717">
        <v>2</v>
      </c>
      <c r="W1717">
        <v>1</v>
      </c>
      <c r="X1717">
        <v>0</v>
      </c>
      <c r="Y1717">
        <v>3</v>
      </c>
      <c r="Z1717">
        <v>4</v>
      </c>
      <c r="AA1717">
        <v>8</v>
      </c>
      <c r="AB1717" t="str">
        <f t="shared" si="80"/>
        <v>Below average customer</v>
      </c>
    </row>
    <row r="1718" spans="1:28" x14ac:dyDescent="0.35">
      <c r="A1718">
        <v>4427</v>
      </c>
      <c r="B1718">
        <v>1995</v>
      </c>
      <c r="C1718" t="s">
        <v>30</v>
      </c>
      <c r="D1718" t="s">
        <v>34</v>
      </c>
      <c r="E1718" t="s">
        <v>27</v>
      </c>
      <c r="F1718">
        <v>83257</v>
      </c>
      <c r="G1718" t="str">
        <f t="shared" si="78"/>
        <v>High</v>
      </c>
      <c r="H1718">
        <v>0</v>
      </c>
      <c r="I1718">
        <v>0</v>
      </c>
      <c r="J1718">
        <v>0</v>
      </c>
      <c r="K1718" s="1">
        <v>41170</v>
      </c>
      <c r="L1718">
        <v>56</v>
      </c>
      <c r="M1718" t="str">
        <f t="shared" si="79"/>
        <v>Inactive</v>
      </c>
      <c r="N1718">
        <v>1</v>
      </c>
      <c r="O1718">
        <v>536</v>
      </c>
      <c r="P1718">
        <v>27</v>
      </c>
      <c r="Q1718">
        <v>590</v>
      </c>
      <c r="R1718">
        <v>38</v>
      </c>
      <c r="S1718">
        <v>107</v>
      </c>
      <c r="T1718">
        <v>67</v>
      </c>
      <c r="U1718">
        <v>1365</v>
      </c>
      <c r="V1718">
        <v>1</v>
      </c>
      <c r="W1718">
        <v>5</v>
      </c>
      <c r="X1718">
        <v>10</v>
      </c>
      <c r="Y1718">
        <v>12</v>
      </c>
      <c r="Z1718">
        <v>27</v>
      </c>
      <c r="AA1718">
        <v>6</v>
      </c>
      <c r="AB1718" t="str">
        <f t="shared" si="80"/>
        <v>Below average customer</v>
      </c>
    </row>
    <row r="1719" spans="1:28" x14ac:dyDescent="0.35">
      <c r="A1719">
        <v>11148</v>
      </c>
      <c r="B1719">
        <v>1975</v>
      </c>
      <c r="C1719" t="s">
        <v>31</v>
      </c>
      <c r="D1719" t="s">
        <v>26</v>
      </c>
      <c r="E1719" t="s">
        <v>29</v>
      </c>
      <c r="F1719">
        <v>22280</v>
      </c>
      <c r="G1719" t="str">
        <f t="shared" si="78"/>
        <v>Low</v>
      </c>
      <c r="H1719">
        <v>1</v>
      </c>
      <c r="I1719">
        <v>0</v>
      </c>
      <c r="J1719">
        <v>1</v>
      </c>
      <c r="K1719" s="1">
        <v>41413</v>
      </c>
      <c r="L1719">
        <v>85</v>
      </c>
      <c r="M1719" t="str">
        <f t="shared" si="79"/>
        <v>Inactive</v>
      </c>
      <c r="N1719">
        <v>0</v>
      </c>
      <c r="O1719">
        <v>2</v>
      </c>
      <c r="P1719">
        <v>1</v>
      </c>
      <c r="Q1719">
        <v>4</v>
      </c>
      <c r="R1719">
        <v>3</v>
      </c>
      <c r="S1719">
        <v>1</v>
      </c>
      <c r="T1719">
        <v>2</v>
      </c>
      <c r="U1719">
        <v>13</v>
      </c>
      <c r="V1719">
        <v>1</v>
      </c>
      <c r="W1719">
        <v>1</v>
      </c>
      <c r="X1719">
        <v>0</v>
      </c>
      <c r="Y1719">
        <v>2</v>
      </c>
      <c r="Z1719">
        <v>3</v>
      </c>
      <c r="AA1719">
        <v>8</v>
      </c>
      <c r="AB1719" t="str">
        <f t="shared" si="80"/>
        <v>Below average customer</v>
      </c>
    </row>
    <row r="1720" spans="1:28" x14ac:dyDescent="0.35">
      <c r="A1720">
        <v>1168</v>
      </c>
      <c r="B1720">
        <v>1978</v>
      </c>
      <c r="C1720" t="s">
        <v>31</v>
      </c>
      <c r="D1720" t="s">
        <v>32</v>
      </c>
      <c r="E1720" t="s">
        <v>33</v>
      </c>
      <c r="F1720">
        <v>72159</v>
      </c>
      <c r="G1720" t="str">
        <f t="shared" si="78"/>
        <v>High</v>
      </c>
      <c r="H1720">
        <v>0</v>
      </c>
      <c r="I1720">
        <v>0</v>
      </c>
      <c r="J1720">
        <v>0</v>
      </c>
      <c r="K1720" s="1">
        <v>41211</v>
      </c>
      <c r="L1720">
        <v>62</v>
      </c>
      <c r="M1720" t="str">
        <f t="shared" si="79"/>
        <v>Inactive</v>
      </c>
      <c r="N1720">
        <v>0</v>
      </c>
      <c r="O1720">
        <v>322</v>
      </c>
      <c r="P1720">
        <v>53</v>
      </c>
      <c r="Q1720">
        <v>899</v>
      </c>
      <c r="R1720">
        <v>34</v>
      </c>
      <c r="S1720">
        <v>40</v>
      </c>
      <c r="T1720">
        <v>53</v>
      </c>
      <c r="U1720">
        <v>1401</v>
      </c>
      <c r="V1720">
        <v>1</v>
      </c>
      <c r="W1720">
        <v>4</v>
      </c>
      <c r="X1720">
        <v>6</v>
      </c>
      <c r="Y1720">
        <v>10</v>
      </c>
      <c r="Z1720">
        <v>20</v>
      </c>
      <c r="AA1720">
        <v>2</v>
      </c>
      <c r="AB1720" t="str">
        <f t="shared" si="80"/>
        <v>Below average customer</v>
      </c>
    </row>
    <row r="1721" spans="1:28" x14ac:dyDescent="0.35">
      <c r="A1721">
        <v>9595</v>
      </c>
      <c r="B1721">
        <v>1961</v>
      </c>
      <c r="C1721" t="s">
        <v>25</v>
      </c>
      <c r="D1721" t="s">
        <v>26</v>
      </c>
      <c r="E1721" t="s">
        <v>29</v>
      </c>
      <c r="F1721">
        <v>64260</v>
      </c>
      <c r="G1721" t="str">
        <f t="shared" si="78"/>
        <v>Mid-high</v>
      </c>
      <c r="H1721">
        <v>0</v>
      </c>
      <c r="I1721">
        <v>0</v>
      </c>
      <c r="J1721">
        <v>0</v>
      </c>
      <c r="K1721" s="1">
        <v>41285</v>
      </c>
      <c r="L1721">
        <v>1</v>
      </c>
      <c r="M1721" t="str">
        <f t="shared" si="79"/>
        <v>Active</v>
      </c>
      <c r="N1721">
        <v>0</v>
      </c>
      <c r="O1721">
        <v>539</v>
      </c>
      <c r="P1721">
        <v>169</v>
      </c>
      <c r="Q1721">
        <v>816</v>
      </c>
      <c r="R1721">
        <v>20</v>
      </c>
      <c r="S1721">
        <v>0</v>
      </c>
      <c r="T1721">
        <v>30</v>
      </c>
      <c r="U1721">
        <v>1574</v>
      </c>
      <c r="V1721">
        <v>1</v>
      </c>
      <c r="W1721">
        <v>4</v>
      </c>
      <c r="X1721">
        <v>5</v>
      </c>
      <c r="Y1721">
        <v>4</v>
      </c>
      <c r="Z1721">
        <v>13</v>
      </c>
      <c r="AA1721">
        <v>3</v>
      </c>
      <c r="AB1721" t="str">
        <f t="shared" si="80"/>
        <v>Above average customer</v>
      </c>
    </row>
    <row r="1722" spans="1:28" x14ac:dyDescent="0.35">
      <c r="A1722">
        <v>10163</v>
      </c>
      <c r="B1722">
        <v>1984</v>
      </c>
      <c r="C1722" t="s">
        <v>30</v>
      </c>
      <c r="D1722" t="s">
        <v>32</v>
      </c>
      <c r="E1722" t="s">
        <v>27</v>
      </c>
      <c r="F1722">
        <v>82733</v>
      </c>
      <c r="G1722" t="str">
        <f t="shared" si="78"/>
        <v>High</v>
      </c>
      <c r="H1722">
        <v>0</v>
      </c>
      <c r="I1722">
        <v>0</v>
      </c>
      <c r="J1722">
        <v>0</v>
      </c>
      <c r="K1722" s="1">
        <v>41527</v>
      </c>
      <c r="L1722">
        <v>28</v>
      </c>
      <c r="M1722" t="str">
        <f t="shared" si="79"/>
        <v>Active</v>
      </c>
      <c r="N1722">
        <v>0</v>
      </c>
      <c r="O1722">
        <v>712</v>
      </c>
      <c r="P1722">
        <v>50</v>
      </c>
      <c r="Q1722">
        <v>420</v>
      </c>
      <c r="R1722">
        <v>65</v>
      </c>
      <c r="S1722">
        <v>38</v>
      </c>
      <c r="T1722">
        <v>38</v>
      </c>
      <c r="U1722">
        <v>1323</v>
      </c>
      <c r="V1722">
        <v>1</v>
      </c>
      <c r="W1722">
        <v>8</v>
      </c>
      <c r="X1722">
        <v>4</v>
      </c>
      <c r="Y1722">
        <v>7</v>
      </c>
      <c r="Z1722">
        <v>19</v>
      </c>
      <c r="AA1722">
        <v>4</v>
      </c>
      <c r="AB1722" t="str">
        <f t="shared" si="80"/>
        <v>Above average customer</v>
      </c>
    </row>
    <row r="1723" spans="1:28" x14ac:dyDescent="0.35">
      <c r="A1723">
        <v>2886</v>
      </c>
      <c r="B1723">
        <v>1971</v>
      </c>
      <c r="C1723" t="s">
        <v>28</v>
      </c>
      <c r="D1723" t="s">
        <v>34</v>
      </c>
      <c r="E1723" t="s">
        <v>35</v>
      </c>
      <c r="F1723">
        <v>74290</v>
      </c>
      <c r="G1723" t="str">
        <f t="shared" si="78"/>
        <v>High</v>
      </c>
      <c r="H1723">
        <v>0</v>
      </c>
      <c r="I1723">
        <v>1</v>
      </c>
      <c r="J1723">
        <v>1</v>
      </c>
      <c r="K1723" s="1">
        <v>41498</v>
      </c>
      <c r="L1723">
        <v>70</v>
      </c>
      <c r="M1723" t="str">
        <f t="shared" si="79"/>
        <v>Inactive</v>
      </c>
      <c r="N1723">
        <v>0</v>
      </c>
      <c r="O1723">
        <v>1121</v>
      </c>
      <c r="P1723">
        <v>0</v>
      </c>
      <c r="Q1723">
        <v>72</v>
      </c>
      <c r="R1723">
        <v>0</v>
      </c>
      <c r="S1723">
        <v>12</v>
      </c>
      <c r="T1723">
        <v>12</v>
      </c>
      <c r="U1723">
        <v>1217</v>
      </c>
      <c r="V1723">
        <v>4</v>
      </c>
      <c r="W1723">
        <v>10</v>
      </c>
      <c r="X1723">
        <v>8</v>
      </c>
      <c r="Y1723">
        <v>10</v>
      </c>
      <c r="Z1723">
        <v>28</v>
      </c>
      <c r="AA1723">
        <v>6</v>
      </c>
      <c r="AB1723" t="str">
        <f t="shared" si="80"/>
        <v>Below average customer</v>
      </c>
    </row>
    <row r="1724" spans="1:28" x14ac:dyDescent="0.35">
      <c r="A1724">
        <v>6710</v>
      </c>
      <c r="B1724">
        <v>1951</v>
      </c>
      <c r="C1724" t="s">
        <v>36</v>
      </c>
      <c r="D1724" t="s">
        <v>34</v>
      </c>
      <c r="E1724" t="s">
        <v>27</v>
      </c>
      <c r="F1724">
        <v>58217</v>
      </c>
      <c r="G1724" t="str">
        <f t="shared" si="78"/>
        <v>Mid-high</v>
      </c>
      <c r="H1724">
        <v>2</v>
      </c>
      <c r="I1724">
        <v>1</v>
      </c>
      <c r="J1724">
        <v>3</v>
      </c>
      <c r="K1724" s="1">
        <v>41230</v>
      </c>
      <c r="L1724">
        <v>84</v>
      </c>
      <c r="M1724" t="str">
        <f t="shared" si="79"/>
        <v>Inactive</v>
      </c>
      <c r="N1724">
        <v>0</v>
      </c>
      <c r="O1724">
        <v>68</v>
      </c>
      <c r="P1724">
        <v>1</v>
      </c>
      <c r="Q1724">
        <v>13</v>
      </c>
      <c r="R1724">
        <v>3</v>
      </c>
      <c r="S1724">
        <v>5</v>
      </c>
      <c r="T1724">
        <v>13</v>
      </c>
      <c r="U1724">
        <v>103</v>
      </c>
      <c r="V1724">
        <v>1</v>
      </c>
      <c r="W1724">
        <v>2</v>
      </c>
      <c r="X1724">
        <v>0</v>
      </c>
      <c r="Y1724">
        <v>4</v>
      </c>
      <c r="Z1724">
        <v>6</v>
      </c>
      <c r="AA1724">
        <v>6</v>
      </c>
      <c r="AB1724" t="str">
        <f t="shared" si="80"/>
        <v>Below average customer</v>
      </c>
    </row>
    <row r="1725" spans="1:28" x14ac:dyDescent="0.35">
      <c r="A1725">
        <v>5316</v>
      </c>
      <c r="B1725">
        <v>1976</v>
      </c>
      <c r="C1725" t="s">
        <v>31</v>
      </c>
      <c r="D1725" t="s">
        <v>34</v>
      </c>
      <c r="E1725" t="s">
        <v>29</v>
      </c>
      <c r="F1725">
        <v>21024</v>
      </c>
      <c r="G1725" t="str">
        <f t="shared" si="78"/>
        <v>Low</v>
      </c>
      <c r="H1725">
        <v>0</v>
      </c>
      <c r="I1725">
        <v>0</v>
      </c>
      <c r="J1725">
        <v>0</v>
      </c>
      <c r="K1725" s="1">
        <v>41459</v>
      </c>
      <c r="L1725">
        <v>89</v>
      </c>
      <c r="M1725" t="str">
        <f t="shared" si="79"/>
        <v>Inactive</v>
      </c>
      <c r="N1725">
        <v>0</v>
      </c>
      <c r="O1725">
        <v>36</v>
      </c>
      <c r="P1725">
        <v>4</v>
      </c>
      <c r="Q1725">
        <v>18</v>
      </c>
      <c r="R1725">
        <v>6</v>
      </c>
      <c r="S1725">
        <v>2</v>
      </c>
      <c r="T1725">
        <v>18</v>
      </c>
      <c r="U1725">
        <v>84</v>
      </c>
      <c r="V1725">
        <v>1</v>
      </c>
      <c r="W1725">
        <v>2</v>
      </c>
      <c r="X1725">
        <v>0</v>
      </c>
      <c r="Y1725">
        <v>4</v>
      </c>
      <c r="Z1725">
        <v>6</v>
      </c>
      <c r="AA1725">
        <v>7</v>
      </c>
      <c r="AB1725" t="str">
        <f t="shared" si="80"/>
        <v>Below average customer</v>
      </c>
    </row>
    <row r="1726" spans="1:28" x14ac:dyDescent="0.35">
      <c r="A1726">
        <v>9029</v>
      </c>
      <c r="B1726">
        <v>1972</v>
      </c>
      <c r="C1726" t="s">
        <v>28</v>
      </c>
      <c r="D1726" t="s">
        <v>32</v>
      </c>
      <c r="E1726" t="s">
        <v>33</v>
      </c>
      <c r="F1726">
        <v>70116</v>
      </c>
      <c r="G1726" t="str">
        <f t="shared" si="78"/>
        <v>High</v>
      </c>
      <c r="H1726">
        <v>0</v>
      </c>
      <c r="I1726">
        <v>0</v>
      </c>
      <c r="J1726">
        <v>0</v>
      </c>
      <c r="K1726" s="1">
        <v>41300</v>
      </c>
      <c r="L1726">
        <v>73</v>
      </c>
      <c r="M1726" t="str">
        <f t="shared" si="79"/>
        <v>Inactive</v>
      </c>
      <c r="N1726">
        <v>0</v>
      </c>
      <c r="O1726">
        <v>707</v>
      </c>
      <c r="P1726">
        <v>44</v>
      </c>
      <c r="Q1726">
        <v>603</v>
      </c>
      <c r="R1726">
        <v>95</v>
      </c>
      <c r="S1726">
        <v>58</v>
      </c>
      <c r="T1726">
        <v>29</v>
      </c>
      <c r="U1726">
        <v>1536</v>
      </c>
      <c r="V1726">
        <v>1</v>
      </c>
      <c r="W1726">
        <v>2</v>
      </c>
      <c r="X1726">
        <v>8</v>
      </c>
      <c r="Y1726">
        <v>12</v>
      </c>
      <c r="Z1726">
        <v>22</v>
      </c>
      <c r="AA1726">
        <v>1</v>
      </c>
      <c r="AB1726" t="str">
        <f t="shared" si="80"/>
        <v>Below average customer</v>
      </c>
    </row>
    <row r="1727" spans="1:28" x14ac:dyDescent="0.35">
      <c r="A1727">
        <v>521</v>
      </c>
      <c r="B1727">
        <v>1985</v>
      </c>
      <c r="C1727" t="s">
        <v>30</v>
      </c>
      <c r="D1727" t="s">
        <v>26</v>
      </c>
      <c r="E1727" t="s">
        <v>29</v>
      </c>
      <c r="F1727">
        <v>54006</v>
      </c>
      <c r="G1727" t="str">
        <f t="shared" si="78"/>
        <v>Mid-high</v>
      </c>
      <c r="H1727">
        <v>1</v>
      </c>
      <c r="I1727">
        <v>0</v>
      </c>
      <c r="J1727">
        <v>1</v>
      </c>
      <c r="K1727" s="1">
        <v>41170</v>
      </c>
      <c r="L1727">
        <v>42</v>
      </c>
      <c r="M1727" t="str">
        <f t="shared" si="79"/>
        <v>Active</v>
      </c>
      <c r="N1727">
        <v>0</v>
      </c>
      <c r="O1727">
        <v>174</v>
      </c>
      <c r="P1727">
        <v>77</v>
      </c>
      <c r="Q1727">
        <v>203</v>
      </c>
      <c r="R1727">
        <v>6</v>
      </c>
      <c r="S1727">
        <v>24</v>
      </c>
      <c r="T1727">
        <v>97</v>
      </c>
      <c r="U1727">
        <v>581</v>
      </c>
      <c r="V1727">
        <v>2</v>
      </c>
      <c r="W1727">
        <v>8</v>
      </c>
      <c r="X1727">
        <v>1</v>
      </c>
      <c r="Y1727">
        <v>7</v>
      </c>
      <c r="Z1727">
        <v>16</v>
      </c>
      <c r="AA1727">
        <v>7</v>
      </c>
      <c r="AB1727" t="str">
        <f t="shared" si="80"/>
        <v>Below average customer</v>
      </c>
    </row>
    <row r="1728" spans="1:28" x14ac:dyDescent="0.35">
      <c r="A1728">
        <v>1459</v>
      </c>
      <c r="B1728">
        <v>1966</v>
      </c>
      <c r="C1728" t="s">
        <v>28</v>
      </c>
      <c r="D1728" t="s">
        <v>32</v>
      </c>
      <c r="E1728" t="s">
        <v>33</v>
      </c>
      <c r="F1728">
        <v>69063</v>
      </c>
      <c r="G1728" t="str">
        <f t="shared" si="78"/>
        <v>High</v>
      </c>
      <c r="H1728">
        <v>0</v>
      </c>
      <c r="I1728">
        <v>1</v>
      </c>
      <c r="J1728">
        <v>1</v>
      </c>
      <c r="K1728" s="1">
        <v>41220</v>
      </c>
      <c r="L1728">
        <v>16</v>
      </c>
      <c r="M1728" t="str">
        <f t="shared" si="79"/>
        <v>Active</v>
      </c>
      <c r="N1728">
        <v>0</v>
      </c>
      <c r="O1728">
        <v>666</v>
      </c>
      <c r="P1728">
        <v>35</v>
      </c>
      <c r="Q1728">
        <v>124</v>
      </c>
      <c r="R1728">
        <v>69</v>
      </c>
      <c r="S1728">
        <v>8</v>
      </c>
      <c r="T1728">
        <v>26</v>
      </c>
      <c r="U1728">
        <v>928</v>
      </c>
      <c r="V1728">
        <v>1</v>
      </c>
      <c r="W1728">
        <v>5</v>
      </c>
      <c r="X1728">
        <v>3</v>
      </c>
      <c r="Y1728">
        <v>5</v>
      </c>
      <c r="Z1728">
        <v>13</v>
      </c>
      <c r="AA1728">
        <v>3</v>
      </c>
      <c r="AB1728" t="str">
        <f t="shared" si="80"/>
        <v>Above average customer</v>
      </c>
    </row>
    <row r="1729" spans="1:28" x14ac:dyDescent="0.35">
      <c r="A1729">
        <v>10241</v>
      </c>
      <c r="B1729">
        <v>1975</v>
      </c>
      <c r="C1729" t="s">
        <v>31</v>
      </c>
      <c r="D1729" t="s">
        <v>34</v>
      </c>
      <c r="E1729" t="s">
        <v>35</v>
      </c>
      <c r="F1729">
        <v>11448</v>
      </c>
      <c r="G1729" t="str">
        <f t="shared" si="78"/>
        <v>Low</v>
      </c>
      <c r="H1729">
        <v>0</v>
      </c>
      <c r="I1729">
        <v>0</v>
      </c>
      <c r="J1729">
        <v>0</v>
      </c>
      <c r="K1729" s="1">
        <v>41623</v>
      </c>
      <c r="L1729">
        <v>16</v>
      </c>
      <c r="M1729" t="str">
        <f t="shared" si="79"/>
        <v>Active</v>
      </c>
      <c r="N1729">
        <v>0</v>
      </c>
      <c r="O1729">
        <v>0</v>
      </c>
      <c r="P1729">
        <v>0</v>
      </c>
      <c r="Q1729">
        <v>0</v>
      </c>
      <c r="R1729">
        <v>6</v>
      </c>
      <c r="S1729">
        <v>2</v>
      </c>
      <c r="T1729">
        <v>6</v>
      </c>
      <c r="U1729">
        <v>14</v>
      </c>
      <c r="V1729">
        <v>1</v>
      </c>
      <c r="W1729">
        <v>1</v>
      </c>
      <c r="X1729">
        <v>0</v>
      </c>
      <c r="Y1729">
        <v>2</v>
      </c>
      <c r="Z1729">
        <v>3</v>
      </c>
      <c r="AA1729">
        <v>6</v>
      </c>
      <c r="AB1729" t="str">
        <f t="shared" si="80"/>
        <v>Below average customer</v>
      </c>
    </row>
    <row r="1730" spans="1:28" x14ac:dyDescent="0.35">
      <c r="A1730">
        <v>3254</v>
      </c>
      <c r="B1730">
        <v>1971</v>
      </c>
      <c r="C1730" t="s">
        <v>28</v>
      </c>
      <c r="D1730" t="s">
        <v>26</v>
      </c>
      <c r="E1730" t="s">
        <v>33</v>
      </c>
      <c r="F1730">
        <v>70886</v>
      </c>
      <c r="G1730" t="str">
        <f t="shared" ref="G1730:G1793" si="81">IF(F1730&lt;=_xlfn.PERCENTILE.INC($F$2:$F$2056,0.25),"Low",IF(F1730&lt;=_xlfn.PERCENTILE.INC($F$2:$F$2056,0.5),"Mid-low",IF(F1730&lt;=_xlfn.PERCENTILE.INC($F$2:$F$2056,0.75),"Mid-high","High")))</f>
        <v>High</v>
      </c>
      <c r="H1730">
        <v>1</v>
      </c>
      <c r="I1730">
        <v>0</v>
      </c>
      <c r="J1730">
        <v>1</v>
      </c>
      <c r="K1730" s="1">
        <v>41561</v>
      </c>
      <c r="L1730">
        <v>65</v>
      </c>
      <c r="M1730" t="str">
        <f t="shared" ref="M1730:M1793" si="82">IF(L1730&gt;AVERAGE($L$2:$L$2056),"Inactive","Active")</f>
        <v>Inactive</v>
      </c>
      <c r="N1730">
        <v>0</v>
      </c>
      <c r="O1730">
        <v>407</v>
      </c>
      <c r="P1730">
        <v>70</v>
      </c>
      <c r="Q1730">
        <v>239</v>
      </c>
      <c r="R1730">
        <v>103</v>
      </c>
      <c r="S1730">
        <v>88</v>
      </c>
      <c r="T1730">
        <v>53</v>
      </c>
      <c r="U1730">
        <v>960</v>
      </c>
      <c r="V1730">
        <v>1</v>
      </c>
      <c r="W1730">
        <v>5</v>
      </c>
      <c r="X1730">
        <v>4</v>
      </c>
      <c r="Y1730">
        <v>4</v>
      </c>
      <c r="Z1730">
        <v>13</v>
      </c>
      <c r="AA1730">
        <v>2</v>
      </c>
      <c r="AB1730" t="str">
        <f t="shared" ref="AB1730:AB1793" si="83">IF(AND(Z1730&gt;AVERAGE($Z$2:$Z$2056),U1730&gt;AVERAGE($U$2:$U$2056),N1730=0,L1730&lt;AVERAGE($L$2:$L$2056),F1730&gt;AVERAGE($F$2:$F$2240)),"Above average customer","Below average customer")</f>
        <v>Below average customer</v>
      </c>
    </row>
    <row r="1731" spans="1:28" x14ac:dyDescent="0.35">
      <c r="A1731">
        <v>3678</v>
      </c>
      <c r="B1731">
        <v>1973</v>
      </c>
      <c r="C1731" t="s">
        <v>31</v>
      </c>
      <c r="D1731" t="s">
        <v>26</v>
      </c>
      <c r="E1731" t="s">
        <v>38</v>
      </c>
      <c r="F1731">
        <v>60208</v>
      </c>
      <c r="G1731" t="str">
        <f t="shared" si="81"/>
        <v>Mid-high</v>
      </c>
      <c r="H1731">
        <v>1</v>
      </c>
      <c r="I1731">
        <v>1</v>
      </c>
      <c r="J1731">
        <v>2</v>
      </c>
      <c r="K1731" s="1">
        <v>41189</v>
      </c>
      <c r="L1731">
        <v>13</v>
      </c>
      <c r="M1731" t="str">
        <f t="shared" si="82"/>
        <v>Active</v>
      </c>
      <c r="N1731">
        <v>0</v>
      </c>
      <c r="O1731">
        <v>488</v>
      </c>
      <c r="P1731">
        <v>23</v>
      </c>
      <c r="Q1731">
        <v>71</v>
      </c>
      <c r="R1731">
        <v>15</v>
      </c>
      <c r="S1731">
        <v>0</v>
      </c>
      <c r="T1731">
        <v>59</v>
      </c>
      <c r="U1731">
        <v>656</v>
      </c>
      <c r="V1731">
        <v>11</v>
      </c>
      <c r="W1731">
        <v>8</v>
      </c>
      <c r="X1731">
        <v>3</v>
      </c>
      <c r="Y1731">
        <v>7</v>
      </c>
      <c r="Z1731">
        <v>18</v>
      </c>
      <c r="AA1731">
        <v>7</v>
      </c>
      <c r="AB1731" t="str">
        <f t="shared" si="83"/>
        <v>Above average customer</v>
      </c>
    </row>
    <row r="1732" spans="1:28" x14ac:dyDescent="0.35">
      <c r="A1732">
        <v>4227</v>
      </c>
      <c r="B1732">
        <v>1968</v>
      </c>
      <c r="C1732" t="s">
        <v>28</v>
      </c>
      <c r="D1732" t="s">
        <v>34</v>
      </c>
      <c r="E1732" t="s">
        <v>29</v>
      </c>
      <c r="F1732">
        <v>32889</v>
      </c>
      <c r="G1732" t="str">
        <f t="shared" si="81"/>
        <v>Low</v>
      </c>
      <c r="H1732">
        <v>1</v>
      </c>
      <c r="I1732">
        <v>1</v>
      </c>
      <c r="J1732">
        <v>2</v>
      </c>
      <c r="K1732" s="1">
        <v>41523</v>
      </c>
      <c r="L1732">
        <v>78</v>
      </c>
      <c r="M1732" t="str">
        <f t="shared" si="82"/>
        <v>Inactive</v>
      </c>
      <c r="N1732">
        <v>0</v>
      </c>
      <c r="O1732">
        <v>28</v>
      </c>
      <c r="P1732">
        <v>0</v>
      </c>
      <c r="Q1732">
        <v>13</v>
      </c>
      <c r="R1732">
        <v>4</v>
      </c>
      <c r="S1732">
        <v>2</v>
      </c>
      <c r="T1732">
        <v>8</v>
      </c>
      <c r="U1732">
        <v>55</v>
      </c>
      <c r="V1732">
        <v>3</v>
      </c>
      <c r="W1732">
        <v>2</v>
      </c>
      <c r="X1732">
        <v>1</v>
      </c>
      <c r="Y1732">
        <v>3</v>
      </c>
      <c r="Z1732">
        <v>6</v>
      </c>
      <c r="AA1732">
        <v>5</v>
      </c>
      <c r="AB1732" t="str">
        <f t="shared" si="83"/>
        <v>Below average customer</v>
      </c>
    </row>
    <row r="1733" spans="1:28" x14ac:dyDescent="0.35">
      <c r="A1733">
        <v>9467</v>
      </c>
      <c r="B1733">
        <v>1984</v>
      </c>
      <c r="C1733" t="s">
        <v>30</v>
      </c>
      <c r="D1733" t="s">
        <v>26</v>
      </c>
      <c r="E1733" t="s">
        <v>27</v>
      </c>
      <c r="F1733">
        <v>34738</v>
      </c>
      <c r="G1733" t="str">
        <f t="shared" si="81"/>
        <v>Low</v>
      </c>
      <c r="H1733">
        <v>1</v>
      </c>
      <c r="I1733">
        <v>0</v>
      </c>
      <c r="J1733">
        <v>1</v>
      </c>
      <c r="K1733" s="1">
        <v>41770</v>
      </c>
      <c r="L1733">
        <v>51</v>
      </c>
      <c r="M1733" t="str">
        <f t="shared" si="82"/>
        <v>Inactive</v>
      </c>
      <c r="N1733">
        <v>0</v>
      </c>
      <c r="O1733">
        <v>3</v>
      </c>
      <c r="P1733">
        <v>2</v>
      </c>
      <c r="Q1733">
        <v>10</v>
      </c>
      <c r="R1733">
        <v>3</v>
      </c>
      <c r="S1733">
        <v>0</v>
      </c>
      <c r="T1733">
        <v>2</v>
      </c>
      <c r="U1733">
        <v>20</v>
      </c>
      <c r="V1733">
        <v>1</v>
      </c>
      <c r="W1733">
        <v>1</v>
      </c>
      <c r="X1733">
        <v>0</v>
      </c>
      <c r="Y1733">
        <v>3</v>
      </c>
      <c r="Z1733">
        <v>4</v>
      </c>
      <c r="AA1733">
        <v>6</v>
      </c>
      <c r="AB1733" t="str">
        <f t="shared" si="83"/>
        <v>Below average customer</v>
      </c>
    </row>
    <row r="1734" spans="1:28" x14ac:dyDescent="0.35">
      <c r="A1734">
        <v>8486</v>
      </c>
      <c r="B1734">
        <v>1971</v>
      </c>
      <c r="C1734" t="s">
        <v>28</v>
      </c>
      <c r="D1734" t="s">
        <v>34</v>
      </c>
      <c r="E1734" t="s">
        <v>29</v>
      </c>
      <c r="F1734">
        <v>30538</v>
      </c>
      <c r="G1734" t="str">
        <f t="shared" si="81"/>
        <v>Low</v>
      </c>
      <c r="H1734">
        <v>1</v>
      </c>
      <c r="I1734">
        <v>0</v>
      </c>
      <c r="J1734">
        <v>1</v>
      </c>
      <c r="K1734" s="1">
        <v>41183</v>
      </c>
      <c r="L1734">
        <v>27</v>
      </c>
      <c r="M1734" t="str">
        <f t="shared" si="82"/>
        <v>Active</v>
      </c>
      <c r="N1734">
        <v>0</v>
      </c>
      <c r="O1734">
        <v>284</v>
      </c>
      <c r="P1734">
        <v>0</v>
      </c>
      <c r="Q1734">
        <v>52</v>
      </c>
      <c r="R1734">
        <v>8</v>
      </c>
      <c r="S1734">
        <v>3</v>
      </c>
      <c r="T1734">
        <v>20</v>
      </c>
      <c r="U1734">
        <v>367</v>
      </c>
      <c r="V1734">
        <v>4</v>
      </c>
      <c r="W1734">
        <v>9</v>
      </c>
      <c r="X1734">
        <v>0</v>
      </c>
      <c r="Y1734">
        <v>4</v>
      </c>
      <c r="Z1734">
        <v>13</v>
      </c>
      <c r="AA1734">
        <v>10</v>
      </c>
      <c r="AB1734" t="str">
        <f t="shared" si="83"/>
        <v>Below average customer</v>
      </c>
    </row>
    <row r="1735" spans="1:28" x14ac:dyDescent="0.35">
      <c r="A1735">
        <v>2186</v>
      </c>
      <c r="B1735">
        <v>1977</v>
      </c>
      <c r="C1735" t="s">
        <v>31</v>
      </c>
      <c r="D1735" t="s">
        <v>34</v>
      </c>
      <c r="E1735" t="s">
        <v>29</v>
      </c>
      <c r="F1735">
        <v>82326</v>
      </c>
      <c r="G1735" t="str">
        <f t="shared" si="81"/>
        <v>High</v>
      </c>
      <c r="H1735">
        <v>0</v>
      </c>
      <c r="I1735">
        <v>0</v>
      </c>
      <c r="J1735">
        <v>0</v>
      </c>
      <c r="K1735" s="1">
        <v>41708</v>
      </c>
      <c r="L1735">
        <v>30</v>
      </c>
      <c r="M1735" t="str">
        <f t="shared" si="82"/>
        <v>Active</v>
      </c>
      <c r="N1735">
        <v>0</v>
      </c>
      <c r="O1735">
        <v>938</v>
      </c>
      <c r="P1735">
        <v>142</v>
      </c>
      <c r="Q1735">
        <v>754</v>
      </c>
      <c r="R1735">
        <v>159</v>
      </c>
      <c r="S1735">
        <v>81</v>
      </c>
      <c r="T1735">
        <v>183</v>
      </c>
      <c r="U1735">
        <v>2257</v>
      </c>
      <c r="V1735">
        <v>1</v>
      </c>
      <c r="W1735">
        <v>5</v>
      </c>
      <c r="X1735">
        <v>10</v>
      </c>
      <c r="Y1735">
        <v>6</v>
      </c>
      <c r="Z1735">
        <v>21</v>
      </c>
      <c r="AA1735">
        <v>2</v>
      </c>
      <c r="AB1735" t="str">
        <f t="shared" si="83"/>
        <v>Above average customer</v>
      </c>
    </row>
    <row r="1736" spans="1:28" x14ac:dyDescent="0.35">
      <c r="A1736">
        <v>3286</v>
      </c>
      <c r="B1736">
        <v>1967</v>
      </c>
      <c r="C1736" t="s">
        <v>28</v>
      </c>
      <c r="D1736" t="s">
        <v>32</v>
      </c>
      <c r="E1736" t="s">
        <v>35</v>
      </c>
      <c r="F1736">
        <v>26642</v>
      </c>
      <c r="G1736" t="str">
        <f t="shared" si="81"/>
        <v>Low</v>
      </c>
      <c r="H1736">
        <v>1</v>
      </c>
      <c r="I1736">
        <v>0</v>
      </c>
      <c r="J1736">
        <v>1</v>
      </c>
      <c r="K1736" s="1">
        <v>41699</v>
      </c>
      <c r="L1736">
        <v>71</v>
      </c>
      <c r="M1736" t="str">
        <f t="shared" si="82"/>
        <v>Inactive</v>
      </c>
      <c r="N1736">
        <v>0</v>
      </c>
      <c r="O1736">
        <v>13</v>
      </c>
      <c r="P1736">
        <v>2</v>
      </c>
      <c r="Q1736">
        <v>15</v>
      </c>
      <c r="R1736">
        <v>2</v>
      </c>
      <c r="S1736">
        <v>2</v>
      </c>
      <c r="T1736">
        <v>8</v>
      </c>
      <c r="U1736">
        <v>42</v>
      </c>
      <c r="V1736">
        <v>2</v>
      </c>
      <c r="W1736">
        <v>2</v>
      </c>
      <c r="X1736">
        <v>0</v>
      </c>
      <c r="Y1736">
        <v>3</v>
      </c>
      <c r="Z1736">
        <v>5</v>
      </c>
      <c r="AA1736">
        <v>6</v>
      </c>
      <c r="AB1736" t="str">
        <f t="shared" si="83"/>
        <v>Below average customer</v>
      </c>
    </row>
    <row r="1737" spans="1:28" x14ac:dyDescent="0.35">
      <c r="A1737">
        <v>8602</v>
      </c>
      <c r="B1737">
        <v>1964</v>
      </c>
      <c r="C1737" t="s">
        <v>28</v>
      </c>
      <c r="D1737" t="s">
        <v>26</v>
      </c>
      <c r="E1737" t="s">
        <v>35</v>
      </c>
      <c r="F1737">
        <v>69932</v>
      </c>
      <c r="G1737" t="str">
        <f t="shared" si="81"/>
        <v>High</v>
      </c>
      <c r="H1737">
        <v>0</v>
      </c>
      <c r="I1737">
        <v>1</v>
      </c>
      <c r="J1737">
        <v>1</v>
      </c>
      <c r="K1737" s="1">
        <v>41437</v>
      </c>
      <c r="L1737">
        <v>97</v>
      </c>
      <c r="M1737" t="str">
        <f t="shared" si="82"/>
        <v>Inactive</v>
      </c>
      <c r="N1737">
        <v>0</v>
      </c>
      <c r="O1737">
        <v>412</v>
      </c>
      <c r="P1737">
        <v>172</v>
      </c>
      <c r="Q1737">
        <v>153</v>
      </c>
      <c r="R1737">
        <v>150</v>
      </c>
      <c r="S1737">
        <v>105</v>
      </c>
      <c r="T1737">
        <v>57</v>
      </c>
      <c r="U1737">
        <v>1049</v>
      </c>
      <c r="V1737">
        <v>2</v>
      </c>
      <c r="W1737">
        <v>7</v>
      </c>
      <c r="X1737">
        <v>6</v>
      </c>
      <c r="Y1737">
        <v>11</v>
      </c>
      <c r="Z1737">
        <v>24</v>
      </c>
      <c r="AA1737">
        <v>4</v>
      </c>
      <c r="AB1737" t="str">
        <f t="shared" si="83"/>
        <v>Below average customer</v>
      </c>
    </row>
    <row r="1738" spans="1:28" x14ac:dyDescent="0.35">
      <c r="A1738">
        <v>3722</v>
      </c>
      <c r="B1738">
        <v>1972</v>
      </c>
      <c r="C1738" t="s">
        <v>28</v>
      </c>
      <c r="D1738" t="s">
        <v>26</v>
      </c>
      <c r="E1738" t="s">
        <v>27</v>
      </c>
      <c r="F1738">
        <v>44503</v>
      </c>
      <c r="G1738" t="str">
        <f t="shared" si="81"/>
        <v>Mid-low</v>
      </c>
      <c r="H1738">
        <v>1</v>
      </c>
      <c r="I1738">
        <v>1</v>
      </c>
      <c r="J1738">
        <v>2</v>
      </c>
      <c r="K1738" s="1">
        <v>41745</v>
      </c>
      <c r="L1738">
        <v>83</v>
      </c>
      <c r="M1738" t="str">
        <f t="shared" si="82"/>
        <v>Inactive</v>
      </c>
      <c r="N1738">
        <v>0</v>
      </c>
      <c r="O1738">
        <v>31</v>
      </c>
      <c r="P1738">
        <v>1</v>
      </c>
      <c r="Q1738">
        <v>8</v>
      </c>
      <c r="R1738">
        <v>0</v>
      </c>
      <c r="S1738">
        <v>0</v>
      </c>
      <c r="T1738">
        <v>8</v>
      </c>
      <c r="U1738">
        <v>48</v>
      </c>
      <c r="V1738">
        <v>2</v>
      </c>
      <c r="W1738">
        <v>2</v>
      </c>
      <c r="X1738">
        <v>0</v>
      </c>
      <c r="Y1738">
        <v>3</v>
      </c>
      <c r="Z1738">
        <v>5</v>
      </c>
      <c r="AA1738">
        <v>6</v>
      </c>
      <c r="AB1738" t="str">
        <f t="shared" si="83"/>
        <v>Below average customer</v>
      </c>
    </row>
    <row r="1739" spans="1:28" x14ac:dyDescent="0.35">
      <c r="A1739">
        <v>6715</v>
      </c>
      <c r="B1739">
        <v>1948</v>
      </c>
      <c r="C1739" t="s">
        <v>36</v>
      </c>
      <c r="D1739" t="s">
        <v>32</v>
      </c>
      <c r="E1739" t="s">
        <v>27</v>
      </c>
      <c r="F1739">
        <v>60200</v>
      </c>
      <c r="G1739" t="str">
        <f t="shared" si="81"/>
        <v>Mid-high</v>
      </c>
      <c r="H1739">
        <v>0</v>
      </c>
      <c r="I1739">
        <v>1</v>
      </c>
      <c r="J1739">
        <v>1</v>
      </c>
      <c r="K1739" s="1">
        <v>41276</v>
      </c>
      <c r="L1739">
        <v>3</v>
      </c>
      <c r="M1739" t="str">
        <f t="shared" si="82"/>
        <v>Active</v>
      </c>
      <c r="N1739">
        <v>0</v>
      </c>
      <c r="O1739">
        <v>502</v>
      </c>
      <c r="P1739">
        <v>19</v>
      </c>
      <c r="Q1739">
        <v>132</v>
      </c>
      <c r="R1739">
        <v>0</v>
      </c>
      <c r="S1739">
        <v>6</v>
      </c>
      <c r="T1739">
        <v>26</v>
      </c>
      <c r="U1739">
        <v>685</v>
      </c>
      <c r="V1739">
        <v>6</v>
      </c>
      <c r="W1739">
        <v>6</v>
      </c>
      <c r="X1739">
        <v>2</v>
      </c>
      <c r="Y1739">
        <v>11</v>
      </c>
      <c r="Z1739">
        <v>19</v>
      </c>
      <c r="AA1739">
        <v>6</v>
      </c>
      <c r="AB1739" t="str">
        <f t="shared" si="83"/>
        <v>Above average customer</v>
      </c>
    </row>
    <row r="1740" spans="1:28" x14ac:dyDescent="0.35">
      <c r="A1740">
        <v>4796</v>
      </c>
      <c r="B1740">
        <v>1952</v>
      </c>
      <c r="C1740" t="s">
        <v>36</v>
      </c>
      <c r="D1740" t="s">
        <v>26</v>
      </c>
      <c r="E1740" t="s">
        <v>35</v>
      </c>
      <c r="F1740">
        <v>49638</v>
      </c>
      <c r="G1740" t="str">
        <f t="shared" si="81"/>
        <v>Mid-low</v>
      </c>
      <c r="H1740">
        <v>0</v>
      </c>
      <c r="I1740">
        <v>1</v>
      </c>
      <c r="J1740">
        <v>1</v>
      </c>
      <c r="K1740" s="1">
        <v>41748</v>
      </c>
      <c r="L1740">
        <v>71</v>
      </c>
      <c r="M1740" t="str">
        <f t="shared" si="82"/>
        <v>Inactive</v>
      </c>
      <c r="N1740">
        <v>0</v>
      </c>
      <c r="O1740">
        <v>18</v>
      </c>
      <c r="P1740">
        <v>10</v>
      </c>
      <c r="Q1740">
        <v>3</v>
      </c>
      <c r="R1740">
        <v>3</v>
      </c>
      <c r="S1740">
        <v>5</v>
      </c>
      <c r="T1740">
        <v>0</v>
      </c>
      <c r="U1740">
        <v>39</v>
      </c>
      <c r="V1740">
        <v>1</v>
      </c>
      <c r="W1740">
        <v>1</v>
      </c>
      <c r="X1740">
        <v>0</v>
      </c>
      <c r="Y1740">
        <v>3</v>
      </c>
      <c r="Z1740">
        <v>4</v>
      </c>
      <c r="AA1740">
        <v>2</v>
      </c>
      <c r="AB1740" t="str">
        <f t="shared" si="83"/>
        <v>Below average customer</v>
      </c>
    </row>
    <row r="1741" spans="1:28" x14ac:dyDescent="0.35">
      <c r="A1741">
        <v>9612</v>
      </c>
      <c r="B1741">
        <v>1987</v>
      </c>
      <c r="C1741" t="s">
        <v>30</v>
      </c>
      <c r="D1741" t="s">
        <v>34</v>
      </c>
      <c r="E1741" t="s">
        <v>27</v>
      </c>
      <c r="F1741">
        <v>23830</v>
      </c>
      <c r="G1741" t="str">
        <f t="shared" si="81"/>
        <v>Low</v>
      </c>
      <c r="H1741">
        <v>0</v>
      </c>
      <c r="I1741">
        <v>0</v>
      </c>
      <c r="J1741">
        <v>0</v>
      </c>
      <c r="K1741" s="1">
        <v>41677</v>
      </c>
      <c r="L1741">
        <v>3</v>
      </c>
      <c r="M1741" t="str">
        <f t="shared" si="82"/>
        <v>Active</v>
      </c>
      <c r="N1741">
        <v>0</v>
      </c>
      <c r="O1741">
        <v>1</v>
      </c>
      <c r="P1741">
        <v>8</v>
      </c>
      <c r="Q1741">
        <v>6</v>
      </c>
      <c r="R1741">
        <v>4</v>
      </c>
      <c r="S1741">
        <v>8</v>
      </c>
      <c r="T1741">
        <v>16</v>
      </c>
      <c r="U1741">
        <v>43</v>
      </c>
      <c r="V1741">
        <v>1</v>
      </c>
      <c r="W1741">
        <v>1</v>
      </c>
      <c r="X1741">
        <v>0</v>
      </c>
      <c r="Y1741">
        <v>3</v>
      </c>
      <c r="Z1741">
        <v>4</v>
      </c>
      <c r="AA1741">
        <v>7</v>
      </c>
      <c r="AB1741" t="str">
        <f t="shared" si="83"/>
        <v>Below average customer</v>
      </c>
    </row>
    <row r="1742" spans="1:28" x14ac:dyDescent="0.35">
      <c r="A1742">
        <v>3766</v>
      </c>
      <c r="B1742">
        <v>1959</v>
      </c>
      <c r="C1742" t="s">
        <v>25</v>
      </c>
      <c r="D1742" t="s">
        <v>34</v>
      </c>
      <c r="E1742" t="s">
        <v>38</v>
      </c>
      <c r="F1742">
        <v>33051</v>
      </c>
      <c r="G1742" t="str">
        <f t="shared" si="81"/>
        <v>Low</v>
      </c>
      <c r="H1742">
        <v>0</v>
      </c>
      <c r="I1742">
        <v>0</v>
      </c>
      <c r="J1742">
        <v>0</v>
      </c>
      <c r="K1742" s="1">
        <v>41137</v>
      </c>
      <c r="L1742">
        <v>15</v>
      </c>
      <c r="M1742" t="str">
        <f t="shared" si="82"/>
        <v>Active</v>
      </c>
      <c r="N1742">
        <v>0</v>
      </c>
      <c r="O1742">
        <v>100</v>
      </c>
      <c r="P1742">
        <v>71</v>
      </c>
      <c r="Q1742">
        <v>243</v>
      </c>
      <c r="R1742">
        <v>108</v>
      </c>
      <c r="S1742">
        <v>94</v>
      </c>
      <c r="T1742">
        <v>219</v>
      </c>
      <c r="U1742">
        <v>835</v>
      </c>
      <c r="V1742">
        <v>3</v>
      </c>
      <c r="W1742">
        <v>9</v>
      </c>
      <c r="X1742">
        <v>1</v>
      </c>
      <c r="Y1742">
        <v>8</v>
      </c>
      <c r="Z1742">
        <v>18</v>
      </c>
      <c r="AA1742">
        <v>9</v>
      </c>
      <c r="AB1742" t="str">
        <f t="shared" si="83"/>
        <v>Below average customer</v>
      </c>
    </row>
    <row r="1743" spans="1:28" x14ac:dyDescent="0.35">
      <c r="A1743">
        <v>1399</v>
      </c>
      <c r="B1743">
        <v>1958</v>
      </c>
      <c r="C1743" t="s">
        <v>25</v>
      </c>
      <c r="D1743" t="s">
        <v>26</v>
      </c>
      <c r="E1743" t="s">
        <v>33</v>
      </c>
      <c r="F1743">
        <v>72905</v>
      </c>
      <c r="G1743" t="str">
        <f t="shared" si="81"/>
        <v>High</v>
      </c>
      <c r="H1743">
        <v>0</v>
      </c>
      <c r="I1743">
        <v>0</v>
      </c>
      <c r="J1743">
        <v>0</v>
      </c>
      <c r="K1743" s="1">
        <v>41660</v>
      </c>
      <c r="L1743">
        <v>52</v>
      </c>
      <c r="M1743" t="str">
        <f t="shared" si="82"/>
        <v>Inactive</v>
      </c>
      <c r="N1743">
        <v>0</v>
      </c>
      <c r="O1743">
        <v>407</v>
      </c>
      <c r="P1743">
        <v>114</v>
      </c>
      <c r="Q1743">
        <v>445</v>
      </c>
      <c r="R1743">
        <v>181</v>
      </c>
      <c r="S1743">
        <v>165</v>
      </c>
      <c r="T1743">
        <v>203</v>
      </c>
      <c r="U1743">
        <v>1515</v>
      </c>
      <c r="V1743">
        <v>1</v>
      </c>
      <c r="W1743">
        <v>3</v>
      </c>
      <c r="X1743">
        <v>7</v>
      </c>
      <c r="Y1743">
        <v>9</v>
      </c>
      <c r="Z1743">
        <v>19</v>
      </c>
      <c r="AA1743">
        <v>1</v>
      </c>
      <c r="AB1743" t="str">
        <f t="shared" si="83"/>
        <v>Below average customer</v>
      </c>
    </row>
    <row r="1744" spans="1:28" x14ac:dyDescent="0.35">
      <c r="A1744">
        <v>1570</v>
      </c>
      <c r="B1744">
        <v>1951</v>
      </c>
      <c r="C1744" t="s">
        <v>36</v>
      </c>
      <c r="D1744" t="s">
        <v>32</v>
      </c>
      <c r="E1744" t="s">
        <v>29</v>
      </c>
      <c r="F1744">
        <v>69702</v>
      </c>
      <c r="G1744" t="str">
        <f t="shared" si="81"/>
        <v>High</v>
      </c>
      <c r="H1744">
        <v>0</v>
      </c>
      <c r="I1744">
        <v>1</v>
      </c>
      <c r="J1744">
        <v>1</v>
      </c>
      <c r="K1744" s="1">
        <v>41324</v>
      </c>
      <c r="L1744">
        <v>8</v>
      </c>
      <c r="M1744" t="str">
        <f t="shared" si="82"/>
        <v>Active</v>
      </c>
      <c r="N1744">
        <v>0</v>
      </c>
      <c r="O1744">
        <v>664</v>
      </c>
      <c r="P1744">
        <v>9</v>
      </c>
      <c r="Q1744">
        <v>240</v>
      </c>
      <c r="R1744">
        <v>50</v>
      </c>
      <c r="S1744">
        <v>19</v>
      </c>
      <c r="T1744">
        <v>57</v>
      </c>
      <c r="U1744">
        <v>1039</v>
      </c>
      <c r="V1744">
        <v>2</v>
      </c>
      <c r="W1744">
        <v>7</v>
      </c>
      <c r="X1744">
        <v>7</v>
      </c>
      <c r="Y1744">
        <v>10</v>
      </c>
      <c r="Z1744">
        <v>24</v>
      </c>
      <c r="AA1744">
        <v>4</v>
      </c>
      <c r="AB1744" t="str">
        <f t="shared" si="83"/>
        <v>Above average customer</v>
      </c>
    </row>
    <row r="1745" spans="1:28" x14ac:dyDescent="0.35">
      <c r="A1745">
        <v>3426</v>
      </c>
      <c r="B1745">
        <v>1975</v>
      </c>
      <c r="C1745" t="s">
        <v>31</v>
      </c>
      <c r="D1745" t="s">
        <v>26</v>
      </c>
      <c r="E1745" t="s">
        <v>35</v>
      </c>
      <c r="F1745">
        <v>70300</v>
      </c>
      <c r="G1745" t="str">
        <f t="shared" si="81"/>
        <v>High</v>
      </c>
      <c r="H1745">
        <v>1</v>
      </c>
      <c r="I1745">
        <v>0</v>
      </c>
      <c r="J1745">
        <v>1</v>
      </c>
      <c r="K1745" s="1">
        <v>41470</v>
      </c>
      <c r="L1745">
        <v>89</v>
      </c>
      <c r="M1745" t="str">
        <f t="shared" si="82"/>
        <v>Inactive</v>
      </c>
      <c r="N1745">
        <v>0</v>
      </c>
      <c r="O1745">
        <v>1045</v>
      </c>
      <c r="P1745">
        <v>61</v>
      </c>
      <c r="Q1745">
        <v>338</v>
      </c>
      <c r="R1745">
        <v>60</v>
      </c>
      <c r="S1745">
        <v>46</v>
      </c>
      <c r="T1745">
        <v>46</v>
      </c>
      <c r="U1745">
        <v>1596</v>
      </c>
      <c r="V1745">
        <v>3</v>
      </c>
      <c r="W1745">
        <v>5</v>
      </c>
      <c r="X1745">
        <v>5</v>
      </c>
      <c r="Y1745">
        <v>13</v>
      </c>
      <c r="Z1745">
        <v>23</v>
      </c>
      <c r="AA1745">
        <v>8</v>
      </c>
      <c r="AB1745" t="str">
        <f t="shared" si="83"/>
        <v>Below average customer</v>
      </c>
    </row>
    <row r="1746" spans="1:28" x14ac:dyDescent="0.35">
      <c r="A1746">
        <v>3074</v>
      </c>
      <c r="B1746">
        <v>1984</v>
      </c>
      <c r="C1746" t="s">
        <v>30</v>
      </c>
      <c r="D1746" t="s">
        <v>32</v>
      </c>
      <c r="E1746" t="s">
        <v>33</v>
      </c>
      <c r="F1746">
        <v>70643</v>
      </c>
      <c r="G1746" t="str">
        <f t="shared" si="81"/>
        <v>High</v>
      </c>
      <c r="H1746">
        <v>0</v>
      </c>
      <c r="I1746">
        <v>0</v>
      </c>
      <c r="J1746">
        <v>0</v>
      </c>
      <c r="K1746" s="1">
        <v>41197</v>
      </c>
      <c r="L1746">
        <v>66</v>
      </c>
      <c r="M1746" t="str">
        <f t="shared" si="82"/>
        <v>Inactive</v>
      </c>
      <c r="N1746">
        <v>0</v>
      </c>
      <c r="O1746">
        <v>1218</v>
      </c>
      <c r="P1746">
        <v>107</v>
      </c>
      <c r="Q1746">
        <v>304</v>
      </c>
      <c r="R1746">
        <v>23</v>
      </c>
      <c r="S1746">
        <v>143</v>
      </c>
      <c r="T1746">
        <v>33</v>
      </c>
      <c r="U1746">
        <v>1828</v>
      </c>
      <c r="V1746">
        <v>1</v>
      </c>
      <c r="W1746">
        <v>5</v>
      </c>
      <c r="X1746">
        <v>8</v>
      </c>
      <c r="Y1746">
        <v>4</v>
      </c>
      <c r="Z1746">
        <v>17</v>
      </c>
      <c r="AA1746">
        <v>6</v>
      </c>
      <c r="AB1746" t="str">
        <f t="shared" si="83"/>
        <v>Below average customer</v>
      </c>
    </row>
    <row r="1747" spans="1:28" x14ac:dyDescent="0.35">
      <c r="A1747">
        <v>8341</v>
      </c>
      <c r="B1747">
        <v>1969</v>
      </c>
      <c r="C1747" t="s">
        <v>28</v>
      </c>
      <c r="D1747" t="s">
        <v>32</v>
      </c>
      <c r="E1747" t="s">
        <v>33</v>
      </c>
      <c r="F1747">
        <v>30396</v>
      </c>
      <c r="G1747" t="str">
        <f t="shared" si="81"/>
        <v>Low</v>
      </c>
      <c r="H1747">
        <v>1</v>
      </c>
      <c r="I1747">
        <v>0</v>
      </c>
      <c r="J1747">
        <v>1</v>
      </c>
      <c r="K1747" s="1">
        <v>41759</v>
      </c>
      <c r="L1747">
        <v>22</v>
      </c>
      <c r="M1747" t="str">
        <f t="shared" si="82"/>
        <v>Active</v>
      </c>
      <c r="N1747">
        <v>0</v>
      </c>
      <c r="O1747">
        <v>15</v>
      </c>
      <c r="P1747">
        <v>0</v>
      </c>
      <c r="Q1747">
        <v>6</v>
      </c>
      <c r="R1747">
        <v>0</v>
      </c>
      <c r="S1747">
        <v>1</v>
      </c>
      <c r="T1747">
        <v>12</v>
      </c>
      <c r="U1747">
        <v>34</v>
      </c>
      <c r="V1747">
        <v>2</v>
      </c>
      <c r="W1747">
        <v>1</v>
      </c>
      <c r="X1747">
        <v>1</v>
      </c>
      <c r="Y1747">
        <v>2</v>
      </c>
      <c r="Z1747">
        <v>4</v>
      </c>
      <c r="AA1747">
        <v>7</v>
      </c>
      <c r="AB1747" t="str">
        <f t="shared" si="83"/>
        <v>Below average customer</v>
      </c>
    </row>
    <row r="1748" spans="1:28" x14ac:dyDescent="0.35">
      <c r="A1748">
        <v>5180</v>
      </c>
      <c r="B1748">
        <v>1968</v>
      </c>
      <c r="C1748" t="s">
        <v>28</v>
      </c>
      <c r="D1748" t="s">
        <v>32</v>
      </c>
      <c r="E1748" t="s">
        <v>35</v>
      </c>
      <c r="F1748">
        <v>50616</v>
      </c>
      <c r="G1748" t="str">
        <f t="shared" si="81"/>
        <v>Mid-low</v>
      </c>
      <c r="H1748">
        <v>0</v>
      </c>
      <c r="I1748">
        <v>1</v>
      </c>
      <c r="J1748">
        <v>1</v>
      </c>
      <c r="K1748" s="1">
        <v>41747</v>
      </c>
      <c r="L1748">
        <v>56</v>
      </c>
      <c r="M1748" t="str">
        <f t="shared" si="82"/>
        <v>Inactive</v>
      </c>
      <c r="N1748">
        <v>0</v>
      </c>
      <c r="O1748">
        <v>128</v>
      </c>
      <c r="P1748">
        <v>0</v>
      </c>
      <c r="Q1748">
        <v>16</v>
      </c>
      <c r="R1748">
        <v>0</v>
      </c>
      <c r="S1748">
        <v>1</v>
      </c>
      <c r="T1748">
        <v>4</v>
      </c>
      <c r="U1748">
        <v>149</v>
      </c>
      <c r="V1748">
        <v>2</v>
      </c>
      <c r="W1748">
        <v>4</v>
      </c>
      <c r="X1748">
        <v>0</v>
      </c>
      <c r="Y1748">
        <v>4</v>
      </c>
      <c r="Z1748">
        <v>8</v>
      </c>
      <c r="AA1748">
        <v>7</v>
      </c>
      <c r="AB1748" t="str">
        <f t="shared" si="83"/>
        <v>Below average customer</v>
      </c>
    </row>
    <row r="1749" spans="1:28" x14ac:dyDescent="0.35">
      <c r="A1749">
        <v>6461</v>
      </c>
      <c r="B1749">
        <v>1969</v>
      </c>
      <c r="C1749" t="s">
        <v>28</v>
      </c>
      <c r="D1749" t="s">
        <v>34</v>
      </c>
      <c r="E1749" t="s">
        <v>27</v>
      </c>
      <c r="F1749">
        <v>62772</v>
      </c>
      <c r="G1749" t="str">
        <f t="shared" si="81"/>
        <v>Mid-high</v>
      </c>
      <c r="H1749">
        <v>0</v>
      </c>
      <c r="I1749">
        <v>1</v>
      </c>
      <c r="J1749">
        <v>1</v>
      </c>
      <c r="K1749" s="1">
        <v>41413</v>
      </c>
      <c r="L1749">
        <v>74</v>
      </c>
      <c r="M1749" t="str">
        <f t="shared" si="82"/>
        <v>Inactive</v>
      </c>
      <c r="N1749">
        <v>0</v>
      </c>
      <c r="O1749">
        <v>581</v>
      </c>
      <c r="P1749">
        <v>49</v>
      </c>
      <c r="Q1749">
        <v>157</v>
      </c>
      <c r="R1749">
        <v>43</v>
      </c>
      <c r="S1749">
        <v>8</v>
      </c>
      <c r="T1749">
        <v>108</v>
      </c>
      <c r="U1749">
        <v>946</v>
      </c>
      <c r="V1749">
        <v>1</v>
      </c>
      <c r="W1749">
        <v>5</v>
      </c>
      <c r="X1749">
        <v>6</v>
      </c>
      <c r="Y1749">
        <v>11</v>
      </c>
      <c r="Z1749">
        <v>22</v>
      </c>
      <c r="AA1749">
        <v>2</v>
      </c>
      <c r="AB1749" t="str">
        <f t="shared" si="83"/>
        <v>Below average customer</v>
      </c>
    </row>
    <row r="1750" spans="1:28" x14ac:dyDescent="0.35">
      <c r="A1750">
        <v>7679</v>
      </c>
      <c r="B1750">
        <v>1985</v>
      </c>
      <c r="C1750" t="s">
        <v>30</v>
      </c>
      <c r="D1750" t="s">
        <v>32</v>
      </c>
      <c r="E1750" t="s">
        <v>27</v>
      </c>
      <c r="F1750">
        <v>30298</v>
      </c>
      <c r="G1750" t="str">
        <f t="shared" si="81"/>
        <v>Low</v>
      </c>
      <c r="H1750">
        <v>0</v>
      </c>
      <c r="I1750">
        <v>0</v>
      </c>
      <c r="J1750">
        <v>0</v>
      </c>
      <c r="K1750" s="1">
        <v>41778</v>
      </c>
      <c r="L1750">
        <v>48</v>
      </c>
      <c r="M1750" t="str">
        <f t="shared" si="82"/>
        <v>Active</v>
      </c>
      <c r="N1750">
        <v>0</v>
      </c>
      <c r="O1750">
        <v>6</v>
      </c>
      <c r="P1750">
        <v>3</v>
      </c>
      <c r="Q1750">
        <v>12</v>
      </c>
      <c r="R1750">
        <v>6</v>
      </c>
      <c r="S1750">
        <v>1</v>
      </c>
      <c r="T1750">
        <v>0</v>
      </c>
      <c r="U1750">
        <v>28</v>
      </c>
      <c r="V1750">
        <v>1</v>
      </c>
      <c r="W1750">
        <v>1</v>
      </c>
      <c r="X1750">
        <v>1</v>
      </c>
      <c r="Y1750">
        <v>3</v>
      </c>
      <c r="Z1750">
        <v>5</v>
      </c>
      <c r="AA1750">
        <v>3</v>
      </c>
      <c r="AB1750" t="str">
        <f t="shared" si="83"/>
        <v>Below average customer</v>
      </c>
    </row>
    <row r="1751" spans="1:28" x14ac:dyDescent="0.35">
      <c r="A1751">
        <v>10702</v>
      </c>
      <c r="B1751">
        <v>1984</v>
      </c>
      <c r="C1751" t="s">
        <v>30</v>
      </c>
      <c r="D1751" t="s">
        <v>26</v>
      </c>
      <c r="E1751" t="s">
        <v>27</v>
      </c>
      <c r="F1751">
        <v>52413</v>
      </c>
      <c r="G1751" t="str">
        <f t="shared" si="81"/>
        <v>Mid-high</v>
      </c>
      <c r="H1751">
        <v>1</v>
      </c>
      <c r="I1751">
        <v>0</v>
      </c>
      <c r="J1751">
        <v>1</v>
      </c>
      <c r="K1751" s="1">
        <v>41216</v>
      </c>
      <c r="L1751">
        <v>67</v>
      </c>
      <c r="M1751" t="str">
        <f t="shared" si="82"/>
        <v>Inactive</v>
      </c>
      <c r="N1751">
        <v>0</v>
      </c>
      <c r="O1751">
        <v>185</v>
      </c>
      <c r="P1751">
        <v>8</v>
      </c>
      <c r="Q1751">
        <v>133</v>
      </c>
      <c r="R1751">
        <v>56</v>
      </c>
      <c r="S1751">
        <v>56</v>
      </c>
      <c r="T1751">
        <v>12</v>
      </c>
      <c r="U1751">
        <v>450</v>
      </c>
      <c r="V1751">
        <v>2</v>
      </c>
      <c r="W1751">
        <v>7</v>
      </c>
      <c r="X1751">
        <v>1</v>
      </c>
      <c r="Y1751">
        <v>7</v>
      </c>
      <c r="Z1751">
        <v>15</v>
      </c>
      <c r="AA1751">
        <v>7</v>
      </c>
      <c r="AB1751" t="str">
        <f t="shared" si="83"/>
        <v>Below average customer</v>
      </c>
    </row>
    <row r="1752" spans="1:28" x14ac:dyDescent="0.35">
      <c r="A1752">
        <v>7505</v>
      </c>
      <c r="B1752">
        <v>1957</v>
      </c>
      <c r="C1752" t="s">
        <v>25</v>
      </c>
      <c r="D1752" t="s">
        <v>32</v>
      </c>
      <c r="E1752" t="s">
        <v>33</v>
      </c>
      <c r="F1752">
        <v>44155</v>
      </c>
      <c r="G1752" t="str">
        <f t="shared" si="81"/>
        <v>Mid-low</v>
      </c>
      <c r="H1752">
        <v>1</v>
      </c>
      <c r="I1752">
        <v>1</v>
      </c>
      <c r="J1752">
        <v>2</v>
      </c>
      <c r="K1752" s="1">
        <v>41658</v>
      </c>
      <c r="L1752">
        <v>24</v>
      </c>
      <c r="M1752" t="str">
        <f t="shared" si="82"/>
        <v>Active</v>
      </c>
      <c r="N1752">
        <v>0</v>
      </c>
      <c r="O1752">
        <v>22</v>
      </c>
      <c r="P1752">
        <v>1</v>
      </c>
      <c r="Q1752">
        <v>9</v>
      </c>
      <c r="R1752">
        <v>0</v>
      </c>
      <c r="S1752">
        <v>0</v>
      </c>
      <c r="T1752">
        <v>14</v>
      </c>
      <c r="U1752">
        <v>46</v>
      </c>
      <c r="V1752">
        <v>1</v>
      </c>
      <c r="W1752">
        <v>1</v>
      </c>
      <c r="X1752">
        <v>1</v>
      </c>
      <c r="Y1752">
        <v>2</v>
      </c>
      <c r="Z1752">
        <v>4</v>
      </c>
      <c r="AA1752">
        <v>4</v>
      </c>
      <c r="AB1752" t="str">
        <f t="shared" si="83"/>
        <v>Below average customer</v>
      </c>
    </row>
    <row r="1753" spans="1:28" x14ac:dyDescent="0.35">
      <c r="A1753">
        <v>5113</v>
      </c>
      <c r="B1753">
        <v>1971</v>
      </c>
      <c r="C1753" t="s">
        <v>28</v>
      </c>
      <c r="D1753" t="s">
        <v>32</v>
      </c>
      <c r="E1753" t="s">
        <v>35</v>
      </c>
      <c r="F1753">
        <v>86979</v>
      </c>
      <c r="G1753" t="str">
        <f t="shared" si="81"/>
        <v>High</v>
      </c>
      <c r="H1753">
        <v>0</v>
      </c>
      <c r="I1753">
        <v>0</v>
      </c>
      <c r="J1753">
        <v>0</v>
      </c>
      <c r="K1753" s="1">
        <v>41585</v>
      </c>
      <c r="L1753">
        <v>67</v>
      </c>
      <c r="M1753" t="str">
        <f t="shared" si="82"/>
        <v>Inactive</v>
      </c>
      <c r="N1753">
        <v>0</v>
      </c>
      <c r="O1753">
        <v>584</v>
      </c>
      <c r="P1753">
        <v>100</v>
      </c>
      <c r="Q1753">
        <v>835</v>
      </c>
      <c r="R1753">
        <v>65</v>
      </c>
      <c r="S1753">
        <v>83</v>
      </c>
      <c r="T1753">
        <v>35</v>
      </c>
      <c r="U1753">
        <v>1702</v>
      </c>
      <c r="V1753">
        <v>1</v>
      </c>
      <c r="W1753">
        <v>5</v>
      </c>
      <c r="X1753">
        <v>5</v>
      </c>
      <c r="Y1753">
        <v>5</v>
      </c>
      <c r="Z1753">
        <v>15</v>
      </c>
      <c r="AA1753">
        <v>2</v>
      </c>
      <c r="AB1753" t="str">
        <f t="shared" si="83"/>
        <v>Below average customer</v>
      </c>
    </row>
    <row r="1754" spans="1:28" x14ac:dyDescent="0.35">
      <c r="A1754">
        <v>10858</v>
      </c>
      <c r="B1754">
        <v>1975</v>
      </c>
      <c r="C1754" t="s">
        <v>31</v>
      </c>
      <c r="D1754" t="s">
        <v>26</v>
      </c>
      <c r="E1754" t="s">
        <v>29</v>
      </c>
      <c r="F1754">
        <v>76532</v>
      </c>
      <c r="G1754" t="str">
        <f t="shared" si="81"/>
        <v>High</v>
      </c>
      <c r="H1754">
        <v>1</v>
      </c>
      <c r="I1754">
        <v>1</v>
      </c>
      <c r="J1754">
        <v>2</v>
      </c>
      <c r="K1754" s="1">
        <v>41526</v>
      </c>
      <c r="L1754">
        <v>38</v>
      </c>
      <c r="M1754" t="str">
        <f t="shared" si="82"/>
        <v>Active</v>
      </c>
      <c r="N1754">
        <v>0</v>
      </c>
      <c r="O1754">
        <v>355</v>
      </c>
      <c r="P1754">
        <v>30</v>
      </c>
      <c r="Q1754">
        <v>177</v>
      </c>
      <c r="R1754">
        <v>90</v>
      </c>
      <c r="S1754">
        <v>138</v>
      </c>
      <c r="T1754">
        <v>30</v>
      </c>
      <c r="U1754">
        <v>820</v>
      </c>
      <c r="V1754">
        <v>4</v>
      </c>
      <c r="W1754">
        <v>9</v>
      </c>
      <c r="X1754">
        <v>5</v>
      </c>
      <c r="Y1754">
        <v>7</v>
      </c>
      <c r="Z1754">
        <v>21</v>
      </c>
      <c r="AA1754">
        <v>5</v>
      </c>
      <c r="AB1754" t="str">
        <f t="shared" si="83"/>
        <v>Above average customer</v>
      </c>
    </row>
    <row r="1755" spans="1:28" x14ac:dyDescent="0.35">
      <c r="A1755">
        <v>2961</v>
      </c>
      <c r="B1755">
        <v>1982</v>
      </c>
      <c r="C1755" t="s">
        <v>31</v>
      </c>
      <c r="D1755" t="s">
        <v>26</v>
      </c>
      <c r="E1755" t="s">
        <v>33</v>
      </c>
      <c r="F1755">
        <v>42081</v>
      </c>
      <c r="G1755" t="str">
        <f t="shared" si="81"/>
        <v>Mid-low</v>
      </c>
      <c r="H1755">
        <v>1</v>
      </c>
      <c r="I1755">
        <v>0</v>
      </c>
      <c r="J1755">
        <v>1</v>
      </c>
      <c r="K1755" s="1">
        <v>41331</v>
      </c>
      <c r="L1755">
        <v>86</v>
      </c>
      <c r="M1755" t="str">
        <f t="shared" si="82"/>
        <v>Inactive</v>
      </c>
      <c r="N1755">
        <v>0</v>
      </c>
      <c r="O1755">
        <v>175</v>
      </c>
      <c r="P1755">
        <v>10</v>
      </c>
      <c r="Q1755">
        <v>110</v>
      </c>
      <c r="R1755">
        <v>54</v>
      </c>
      <c r="S1755">
        <v>6</v>
      </c>
      <c r="T1755">
        <v>27</v>
      </c>
      <c r="U1755">
        <v>382</v>
      </c>
      <c r="V1755">
        <v>2</v>
      </c>
      <c r="W1755">
        <v>6</v>
      </c>
      <c r="X1755">
        <v>3</v>
      </c>
      <c r="Y1755">
        <v>4</v>
      </c>
      <c r="Z1755">
        <v>13</v>
      </c>
      <c r="AA1755">
        <v>6</v>
      </c>
      <c r="AB1755" t="str">
        <f t="shared" si="83"/>
        <v>Below average customer</v>
      </c>
    </row>
    <row r="1756" spans="1:28" x14ac:dyDescent="0.35">
      <c r="A1756">
        <v>3010</v>
      </c>
      <c r="B1756">
        <v>1989</v>
      </c>
      <c r="C1756" t="s">
        <v>30</v>
      </c>
      <c r="D1756" t="s">
        <v>34</v>
      </c>
      <c r="E1756" t="s">
        <v>29</v>
      </c>
      <c r="F1756">
        <v>88420</v>
      </c>
      <c r="G1756" t="str">
        <f t="shared" si="81"/>
        <v>High</v>
      </c>
      <c r="H1756">
        <v>0</v>
      </c>
      <c r="I1756">
        <v>0</v>
      </c>
      <c r="J1756">
        <v>0</v>
      </c>
      <c r="K1756" s="1">
        <v>41761</v>
      </c>
      <c r="L1756">
        <v>87</v>
      </c>
      <c r="M1756" t="str">
        <f t="shared" si="82"/>
        <v>Inactive</v>
      </c>
      <c r="N1756">
        <v>0</v>
      </c>
      <c r="O1756">
        <v>957</v>
      </c>
      <c r="P1756">
        <v>153</v>
      </c>
      <c r="Q1756">
        <v>612</v>
      </c>
      <c r="R1756">
        <v>99</v>
      </c>
      <c r="S1756">
        <v>95</v>
      </c>
      <c r="T1756">
        <v>153</v>
      </c>
      <c r="U1756">
        <v>2069</v>
      </c>
      <c r="V1756">
        <v>1</v>
      </c>
      <c r="W1756">
        <v>4</v>
      </c>
      <c r="X1756">
        <v>7</v>
      </c>
      <c r="Y1756">
        <v>8</v>
      </c>
      <c r="Z1756">
        <v>19</v>
      </c>
      <c r="AA1756">
        <v>1</v>
      </c>
      <c r="AB1756" t="str">
        <f t="shared" si="83"/>
        <v>Below average customer</v>
      </c>
    </row>
    <row r="1757" spans="1:28" x14ac:dyDescent="0.35">
      <c r="A1757">
        <v>5790</v>
      </c>
      <c r="B1757">
        <v>1985</v>
      </c>
      <c r="C1757" t="s">
        <v>30</v>
      </c>
      <c r="D1757" t="s">
        <v>26</v>
      </c>
      <c r="E1757" t="s">
        <v>33</v>
      </c>
      <c r="F1757">
        <v>31158</v>
      </c>
      <c r="G1757" t="str">
        <f t="shared" si="81"/>
        <v>Low</v>
      </c>
      <c r="H1757">
        <v>1</v>
      </c>
      <c r="I1757">
        <v>0</v>
      </c>
      <c r="J1757">
        <v>1</v>
      </c>
      <c r="K1757" s="1">
        <v>41301</v>
      </c>
      <c r="L1757">
        <v>62</v>
      </c>
      <c r="M1757" t="str">
        <f t="shared" si="82"/>
        <v>Inactive</v>
      </c>
      <c r="N1757">
        <v>0</v>
      </c>
      <c r="O1757">
        <v>25</v>
      </c>
      <c r="P1757">
        <v>6</v>
      </c>
      <c r="Q1757">
        <v>16</v>
      </c>
      <c r="R1757">
        <v>20</v>
      </c>
      <c r="S1757">
        <v>0</v>
      </c>
      <c r="T1757">
        <v>5</v>
      </c>
      <c r="U1757">
        <v>72</v>
      </c>
      <c r="V1757">
        <v>2</v>
      </c>
      <c r="W1757">
        <v>2</v>
      </c>
      <c r="X1757">
        <v>0</v>
      </c>
      <c r="Y1757">
        <v>3</v>
      </c>
      <c r="Z1757">
        <v>5</v>
      </c>
      <c r="AA1757">
        <v>8</v>
      </c>
      <c r="AB1757" t="str">
        <f t="shared" si="83"/>
        <v>Below average customer</v>
      </c>
    </row>
    <row r="1758" spans="1:28" x14ac:dyDescent="0.35">
      <c r="A1758">
        <v>6892</v>
      </c>
      <c r="B1758">
        <v>1968</v>
      </c>
      <c r="C1758" t="s">
        <v>28</v>
      </c>
      <c r="D1758" t="s">
        <v>26</v>
      </c>
      <c r="E1758" t="s">
        <v>35</v>
      </c>
      <c r="F1758">
        <v>61671</v>
      </c>
      <c r="G1758" t="str">
        <f t="shared" si="81"/>
        <v>Mid-high</v>
      </c>
      <c r="H1758">
        <v>0</v>
      </c>
      <c r="I1758">
        <v>1</v>
      </c>
      <c r="J1758">
        <v>1</v>
      </c>
      <c r="K1758" s="1">
        <v>41793</v>
      </c>
      <c r="L1758">
        <v>23</v>
      </c>
      <c r="M1758" t="str">
        <f t="shared" si="82"/>
        <v>Active</v>
      </c>
      <c r="N1758">
        <v>0</v>
      </c>
      <c r="O1758">
        <v>641</v>
      </c>
      <c r="P1758">
        <v>7</v>
      </c>
      <c r="Q1758">
        <v>56</v>
      </c>
      <c r="R1758">
        <v>0</v>
      </c>
      <c r="S1758">
        <v>0</v>
      </c>
      <c r="T1758">
        <v>28</v>
      </c>
      <c r="U1758">
        <v>732</v>
      </c>
      <c r="V1758">
        <v>8</v>
      </c>
      <c r="W1758">
        <v>10</v>
      </c>
      <c r="X1758">
        <v>4</v>
      </c>
      <c r="Y1758">
        <v>6</v>
      </c>
      <c r="Z1758">
        <v>20</v>
      </c>
      <c r="AA1758">
        <v>8</v>
      </c>
      <c r="AB1758" t="str">
        <f t="shared" si="83"/>
        <v>Above average customer</v>
      </c>
    </row>
    <row r="1759" spans="1:28" x14ac:dyDescent="0.35">
      <c r="A1759">
        <v>1743</v>
      </c>
      <c r="B1759">
        <v>1974</v>
      </c>
      <c r="C1759" t="s">
        <v>31</v>
      </c>
      <c r="D1759" t="s">
        <v>26</v>
      </c>
      <c r="E1759" t="s">
        <v>27</v>
      </c>
      <c r="F1759">
        <v>69719</v>
      </c>
      <c r="G1759" t="str">
        <f t="shared" si="81"/>
        <v>High</v>
      </c>
      <c r="H1759">
        <v>0</v>
      </c>
      <c r="I1759">
        <v>0</v>
      </c>
      <c r="J1759">
        <v>0</v>
      </c>
      <c r="K1759" s="1">
        <v>41785</v>
      </c>
      <c r="L1759">
        <v>99</v>
      </c>
      <c r="M1759" t="str">
        <f t="shared" si="82"/>
        <v>Inactive</v>
      </c>
      <c r="N1759">
        <v>0</v>
      </c>
      <c r="O1759">
        <v>273</v>
      </c>
      <c r="P1759">
        <v>86</v>
      </c>
      <c r="Q1759">
        <v>208</v>
      </c>
      <c r="R1759">
        <v>177</v>
      </c>
      <c r="S1759">
        <v>14</v>
      </c>
      <c r="T1759">
        <v>43</v>
      </c>
      <c r="U1759">
        <v>801</v>
      </c>
      <c r="V1759">
        <v>1</v>
      </c>
      <c r="W1759">
        <v>2</v>
      </c>
      <c r="X1759">
        <v>3</v>
      </c>
      <c r="Y1759">
        <v>5</v>
      </c>
      <c r="Z1759">
        <v>10</v>
      </c>
      <c r="AA1759">
        <v>1</v>
      </c>
      <c r="AB1759" t="str">
        <f t="shared" si="83"/>
        <v>Below average customer</v>
      </c>
    </row>
    <row r="1760" spans="1:28" x14ac:dyDescent="0.35">
      <c r="A1760">
        <v>3578</v>
      </c>
      <c r="B1760">
        <v>1949</v>
      </c>
      <c r="C1760" t="s">
        <v>36</v>
      </c>
      <c r="D1760" t="s">
        <v>26</v>
      </c>
      <c r="E1760" t="s">
        <v>35</v>
      </c>
      <c r="F1760">
        <v>49160</v>
      </c>
      <c r="G1760" t="str">
        <f t="shared" si="81"/>
        <v>Mid-low</v>
      </c>
      <c r="H1760">
        <v>0</v>
      </c>
      <c r="I1760">
        <v>1</v>
      </c>
      <c r="J1760">
        <v>1</v>
      </c>
      <c r="K1760" s="1">
        <v>41567</v>
      </c>
      <c r="L1760">
        <v>29</v>
      </c>
      <c r="M1760" t="str">
        <f t="shared" si="82"/>
        <v>Active</v>
      </c>
      <c r="N1760">
        <v>0</v>
      </c>
      <c r="O1760">
        <v>122</v>
      </c>
      <c r="P1760">
        <v>21</v>
      </c>
      <c r="Q1760">
        <v>43</v>
      </c>
      <c r="R1760">
        <v>25</v>
      </c>
      <c r="S1760">
        <v>10</v>
      </c>
      <c r="T1760">
        <v>15</v>
      </c>
      <c r="U1760">
        <v>236</v>
      </c>
      <c r="V1760">
        <v>2</v>
      </c>
      <c r="W1760">
        <v>3</v>
      </c>
      <c r="X1760">
        <v>1</v>
      </c>
      <c r="Y1760">
        <v>6</v>
      </c>
      <c r="Z1760">
        <v>10</v>
      </c>
      <c r="AA1760">
        <v>6</v>
      </c>
      <c r="AB1760" t="str">
        <f t="shared" si="83"/>
        <v>Below average customer</v>
      </c>
    </row>
    <row r="1761" spans="1:28" x14ac:dyDescent="0.35">
      <c r="A1761">
        <v>5558</v>
      </c>
      <c r="B1761">
        <v>1954</v>
      </c>
      <c r="C1761" t="s">
        <v>25</v>
      </c>
      <c r="D1761" t="s">
        <v>32</v>
      </c>
      <c r="E1761" t="s">
        <v>27</v>
      </c>
      <c r="F1761">
        <v>90933</v>
      </c>
      <c r="G1761" t="str">
        <f t="shared" si="81"/>
        <v>High</v>
      </c>
      <c r="H1761">
        <v>0</v>
      </c>
      <c r="I1761">
        <v>0</v>
      </c>
      <c r="J1761">
        <v>0</v>
      </c>
      <c r="K1761" s="1">
        <v>41729</v>
      </c>
      <c r="L1761">
        <v>90</v>
      </c>
      <c r="M1761" t="str">
        <f t="shared" si="82"/>
        <v>Inactive</v>
      </c>
      <c r="N1761">
        <v>0</v>
      </c>
      <c r="O1761">
        <v>1020</v>
      </c>
      <c r="P1761">
        <v>31</v>
      </c>
      <c r="Q1761">
        <v>430</v>
      </c>
      <c r="R1761">
        <v>62</v>
      </c>
      <c r="S1761">
        <v>63</v>
      </c>
      <c r="T1761">
        <v>79</v>
      </c>
      <c r="U1761">
        <v>1685</v>
      </c>
      <c r="V1761">
        <v>1</v>
      </c>
      <c r="W1761">
        <v>4</v>
      </c>
      <c r="X1761">
        <v>6</v>
      </c>
      <c r="Y1761">
        <v>4</v>
      </c>
      <c r="Z1761">
        <v>14</v>
      </c>
      <c r="AA1761">
        <v>1</v>
      </c>
      <c r="AB1761" t="str">
        <f t="shared" si="83"/>
        <v>Below average customer</v>
      </c>
    </row>
    <row r="1762" spans="1:28" x14ac:dyDescent="0.35">
      <c r="A1762">
        <v>4619</v>
      </c>
      <c r="B1762">
        <v>1945</v>
      </c>
      <c r="C1762" t="s">
        <v>36</v>
      </c>
      <c r="D1762" t="s">
        <v>32</v>
      </c>
      <c r="E1762" t="s">
        <v>27</v>
      </c>
      <c r="F1762">
        <v>113734</v>
      </c>
      <c r="G1762" t="str">
        <f t="shared" si="81"/>
        <v>High</v>
      </c>
      <c r="H1762">
        <v>0</v>
      </c>
      <c r="I1762">
        <v>0</v>
      </c>
      <c r="J1762">
        <v>0</v>
      </c>
      <c r="K1762" s="1">
        <v>41787</v>
      </c>
      <c r="L1762">
        <v>9</v>
      </c>
      <c r="M1762" t="str">
        <f t="shared" si="82"/>
        <v>Active</v>
      </c>
      <c r="N1762">
        <v>0</v>
      </c>
      <c r="O1762">
        <v>6</v>
      </c>
      <c r="P1762">
        <v>2</v>
      </c>
      <c r="Q1762">
        <v>3</v>
      </c>
      <c r="R1762">
        <v>1</v>
      </c>
      <c r="S1762">
        <v>262</v>
      </c>
      <c r="T1762">
        <v>3</v>
      </c>
      <c r="U1762">
        <v>277</v>
      </c>
      <c r="V1762">
        <v>0</v>
      </c>
      <c r="W1762">
        <v>27</v>
      </c>
      <c r="X1762">
        <v>0</v>
      </c>
      <c r="Y1762">
        <v>0</v>
      </c>
      <c r="Z1762">
        <v>27</v>
      </c>
      <c r="AA1762">
        <v>1</v>
      </c>
      <c r="AB1762" t="str">
        <f t="shared" si="83"/>
        <v>Below average customer</v>
      </c>
    </row>
    <row r="1763" spans="1:28" x14ac:dyDescent="0.35">
      <c r="A1763">
        <v>10779</v>
      </c>
      <c r="B1763">
        <v>1983</v>
      </c>
      <c r="C1763" t="s">
        <v>30</v>
      </c>
      <c r="D1763" t="s">
        <v>26</v>
      </c>
      <c r="E1763" t="s">
        <v>27</v>
      </c>
      <c r="F1763">
        <v>22148</v>
      </c>
      <c r="G1763" t="str">
        <f t="shared" si="81"/>
        <v>Low</v>
      </c>
      <c r="H1763">
        <v>0</v>
      </c>
      <c r="I1763">
        <v>0</v>
      </c>
      <c r="J1763">
        <v>0</v>
      </c>
      <c r="K1763" s="1">
        <v>41742</v>
      </c>
      <c r="L1763">
        <v>16</v>
      </c>
      <c r="M1763" t="str">
        <f t="shared" si="82"/>
        <v>Active</v>
      </c>
      <c r="N1763">
        <v>0</v>
      </c>
      <c r="O1763">
        <v>15</v>
      </c>
      <c r="P1763">
        <v>5</v>
      </c>
      <c r="Q1763">
        <v>14</v>
      </c>
      <c r="R1763">
        <v>0</v>
      </c>
      <c r="S1763">
        <v>4</v>
      </c>
      <c r="T1763">
        <v>11</v>
      </c>
      <c r="U1763">
        <v>49</v>
      </c>
      <c r="V1763">
        <v>1</v>
      </c>
      <c r="W1763">
        <v>1</v>
      </c>
      <c r="X1763">
        <v>0</v>
      </c>
      <c r="Y1763">
        <v>3</v>
      </c>
      <c r="Z1763">
        <v>4</v>
      </c>
      <c r="AA1763">
        <v>7</v>
      </c>
      <c r="AB1763" t="str">
        <f t="shared" si="83"/>
        <v>Below average customer</v>
      </c>
    </row>
    <row r="1764" spans="1:28" x14ac:dyDescent="0.35">
      <c r="A1764">
        <v>5896</v>
      </c>
      <c r="B1764">
        <v>1987</v>
      </c>
      <c r="C1764" t="s">
        <v>30</v>
      </c>
      <c r="D1764" t="s">
        <v>34</v>
      </c>
      <c r="E1764" t="s">
        <v>33</v>
      </c>
      <c r="F1764">
        <v>73395</v>
      </c>
      <c r="G1764" t="str">
        <f t="shared" si="81"/>
        <v>High</v>
      </c>
      <c r="H1764">
        <v>0</v>
      </c>
      <c r="I1764">
        <v>0</v>
      </c>
      <c r="J1764">
        <v>0</v>
      </c>
      <c r="K1764" s="1">
        <v>41716</v>
      </c>
      <c r="L1764">
        <v>94</v>
      </c>
      <c r="M1764" t="str">
        <f t="shared" si="82"/>
        <v>Inactive</v>
      </c>
      <c r="N1764">
        <v>0</v>
      </c>
      <c r="O1764">
        <v>272</v>
      </c>
      <c r="P1764">
        <v>7</v>
      </c>
      <c r="Q1764">
        <v>80</v>
      </c>
      <c r="R1764">
        <v>20</v>
      </c>
      <c r="S1764">
        <v>7</v>
      </c>
      <c r="T1764">
        <v>11</v>
      </c>
      <c r="U1764">
        <v>397</v>
      </c>
      <c r="V1764">
        <v>1</v>
      </c>
      <c r="W1764">
        <v>4</v>
      </c>
      <c r="X1764">
        <v>4</v>
      </c>
      <c r="Y1764">
        <v>6</v>
      </c>
      <c r="Z1764">
        <v>14</v>
      </c>
      <c r="AA1764">
        <v>2</v>
      </c>
      <c r="AB1764" t="str">
        <f t="shared" si="83"/>
        <v>Below average customer</v>
      </c>
    </row>
    <row r="1765" spans="1:28" x14ac:dyDescent="0.35">
      <c r="A1765">
        <v>2337</v>
      </c>
      <c r="B1765">
        <v>1971</v>
      </c>
      <c r="C1765" t="s">
        <v>28</v>
      </c>
      <c r="D1765" t="s">
        <v>26</v>
      </c>
      <c r="E1765" t="s">
        <v>35</v>
      </c>
      <c r="F1765">
        <v>29819</v>
      </c>
      <c r="G1765" t="str">
        <f t="shared" si="81"/>
        <v>Low</v>
      </c>
      <c r="H1765">
        <v>1</v>
      </c>
      <c r="I1765">
        <v>0</v>
      </c>
      <c r="J1765">
        <v>1</v>
      </c>
      <c r="K1765" s="1">
        <v>41571</v>
      </c>
      <c r="L1765">
        <v>77</v>
      </c>
      <c r="M1765" t="str">
        <f t="shared" si="82"/>
        <v>Inactive</v>
      </c>
      <c r="N1765">
        <v>0</v>
      </c>
      <c r="O1765">
        <v>9</v>
      </c>
      <c r="P1765">
        <v>1</v>
      </c>
      <c r="Q1765">
        <v>24</v>
      </c>
      <c r="R1765">
        <v>2</v>
      </c>
      <c r="S1765">
        <v>1</v>
      </c>
      <c r="T1765">
        <v>2</v>
      </c>
      <c r="U1765">
        <v>39</v>
      </c>
      <c r="V1765">
        <v>3</v>
      </c>
      <c r="W1765">
        <v>3</v>
      </c>
      <c r="X1765">
        <v>0</v>
      </c>
      <c r="Y1765">
        <v>3</v>
      </c>
      <c r="Z1765">
        <v>6</v>
      </c>
      <c r="AA1765">
        <v>6</v>
      </c>
      <c r="AB1765" t="str">
        <f t="shared" si="83"/>
        <v>Below average customer</v>
      </c>
    </row>
    <row r="1766" spans="1:28" x14ac:dyDescent="0.35">
      <c r="A1766">
        <v>10951</v>
      </c>
      <c r="B1766">
        <v>1968</v>
      </c>
      <c r="C1766" t="s">
        <v>28</v>
      </c>
      <c r="D1766" t="s">
        <v>26</v>
      </c>
      <c r="E1766" t="s">
        <v>33</v>
      </c>
      <c r="F1766">
        <v>45688</v>
      </c>
      <c r="G1766" t="str">
        <f t="shared" si="81"/>
        <v>Mid-low</v>
      </c>
      <c r="H1766">
        <v>0</v>
      </c>
      <c r="I1766">
        <v>1</v>
      </c>
      <c r="J1766">
        <v>1</v>
      </c>
      <c r="K1766" s="1">
        <v>41664</v>
      </c>
      <c r="L1766">
        <v>20</v>
      </c>
      <c r="M1766" t="str">
        <f t="shared" si="82"/>
        <v>Active</v>
      </c>
      <c r="N1766">
        <v>0</v>
      </c>
      <c r="O1766">
        <v>279</v>
      </c>
      <c r="P1766">
        <v>0</v>
      </c>
      <c r="Q1766">
        <v>18</v>
      </c>
      <c r="R1766">
        <v>0</v>
      </c>
      <c r="S1766">
        <v>0</v>
      </c>
      <c r="T1766">
        <v>9</v>
      </c>
      <c r="U1766">
        <v>306</v>
      </c>
      <c r="V1766">
        <v>2</v>
      </c>
      <c r="W1766">
        <v>3</v>
      </c>
      <c r="X1766">
        <v>1</v>
      </c>
      <c r="Y1766">
        <v>8</v>
      </c>
      <c r="Z1766">
        <v>12</v>
      </c>
      <c r="AA1766">
        <v>4</v>
      </c>
      <c r="AB1766" t="str">
        <f t="shared" si="83"/>
        <v>Below average customer</v>
      </c>
    </row>
    <row r="1767" spans="1:28" x14ac:dyDescent="0.35">
      <c r="A1767">
        <v>17</v>
      </c>
      <c r="B1767">
        <v>1971</v>
      </c>
      <c r="C1767" t="s">
        <v>28</v>
      </c>
      <c r="D1767" t="s">
        <v>32</v>
      </c>
      <c r="E1767" t="s">
        <v>33</v>
      </c>
      <c r="F1767">
        <v>60491</v>
      </c>
      <c r="G1767" t="str">
        <f t="shared" si="81"/>
        <v>Mid-high</v>
      </c>
      <c r="H1767">
        <v>0</v>
      </c>
      <c r="I1767">
        <v>1</v>
      </c>
      <c r="J1767">
        <v>1</v>
      </c>
      <c r="K1767" s="1">
        <v>41523</v>
      </c>
      <c r="L1767">
        <v>81</v>
      </c>
      <c r="M1767" t="str">
        <f t="shared" si="82"/>
        <v>Inactive</v>
      </c>
      <c r="N1767">
        <v>0</v>
      </c>
      <c r="O1767">
        <v>637</v>
      </c>
      <c r="P1767">
        <v>47</v>
      </c>
      <c r="Q1767">
        <v>237</v>
      </c>
      <c r="R1767">
        <v>12</v>
      </c>
      <c r="S1767">
        <v>19</v>
      </c>
      <c r="T1767">
        <v>76</v>
      </c>
      <c r="U1767">
        <v>1028</v>
      </c>
      <c r="V1767">
        <v>4</v>
      </c>
      <c r="W1767">
        <v>6</v>
      </c>
      <c r="X1767">
        <v>11</v>
      </c>
      <c r="Y1767">
        <v>7</v>
      </c>
      <c r="Z1767">
        <v>24</v>
      </c>
      <c r="AA1767">
        <v>5</v>
      </c>
      <c r="AB1767" t="str">
        <f t="shared" si="83"/>
        <v>Below average customer</v>
      </c>
    </row>
    <row r="1768" spans="1:28" x14ac:dyDescent="0.35">
      <c r="A1768">
        <v>10680</v>
      </c>
      <c r="B1768">
        <v>1986</v>
      </c>
      <c r="C1768" t="s">
        <v>30</v>
      </c>
      <c r="D1768" t="s">
        <v>26</v>
      </c>
      <c r="E1768" t="s">
        <v>29</v>
      </c>
      <c r="F1768">
        <v>33235</v>
      </c>
      <c r="G1768" t="str">
        <f t="shared" si="81"/>
        <v>Low</v>
      </c>
      <c r="H1768">
        <v>1</v>
      </c>
      <c r="I1768">
        <v>0</v>
      </c>
      <c r="J1768">
        <v>1</v>
      </c>
      <c r="K1768" s="1">
        <v>41675</v>
      </c>
      <c r="L1768">
        <v>71</v>
      </c>
      <c r="M1768" t="str">
        <f t="shared" si="82"/>
        <v>Inactive</v>
      </c>
      <c r="N1768">
        <v>0</v>
      </c>
      <c r="O1768">
        <v>45</v>
      </c>
      <c r="P1768">
        <v>0</v>
      </c>
      <c r="Q1768">
        <v>16</v>
      </c>
      <c r="R1768">
        <v>2</v>
      </c>
      <c r="S1768">
        <v>1</v>
      </c>
      <c r="T1768">
        <v>6</v>
      </c>
      <c r="U1768">
        <v>70</v>
      </c>
      <c r="V1768">
        <v>1</v>
      </c>
      <c r="W1768">
        <v>3</v>
      </c>
      <c r="X1768">
        <v>0</v>
      </c>
      <c r="Y1768">
        <v>3</v>
      </c>
      <c r="Z1768">
        <v>6</v>
      </c>
      <c r="AA1768">
        <v>7</v>
      </c>
      <c r="AB1768" t="str">
        <f t="shared" si="83"/>
        <v>Below average customer</v>
      </c>
    </row>
    <row r="1769" spans="1:28" x14ac:dyDescent="0.35">
      <c r="A1769">
        <v>3265</v>
      </c>
      <c r="B1769">
        <v>1959</v>
      </c>
      <c r="C1769" t="s">
        <v>25</v>
      </c>
      <c r="D1769" t="s">
        <v>26</v>
      </c>
      <c r="E1769" t="s">
        <v>33</v>
      </c>
      <c r="F1769">
        <v>35701</v>
      </c>
      <c r="G1769" t="str">
        <f t="shared" si="81"/>
        <v>Mid-low</v>
      </c>
      <c r="H1769">
        <v>0</v>
      </c>
      <c r="I1769">
        <v>0</v>
      </c>
      <c r="J1769">
        <v>0</v>
      </c>
      <c r="K1769" s="1">
        <v>41352</v>
      </c>
      <c r="L1769">
        <v>36</v>
      </c>
      <c r="M1769" t="str">
        <f t="shared" si="82"/>
        <v>Active</v>
      </c>
      <c r="N1769">
        <v>0</v>
      </c>
      <c r="O1769">
        <v>21</v>
      </c>
      <c r="P1769">
        <v>1</v>
      </c>
      <c r="Q1769">
        <v>9</v>
      </c>
      <c r="R1769">
        <v>7</v>
      </c>
      <c r="S1769">
        <v>3</v>
      </c>
      <c r="T1769">
        <v>5</v>
      </c>
      <c r="U1769">
        <v>46</v>
      </c>
      <c r="V1769">
        <v>1</v>
      </c>
      <c r="W1769">
        <v>1</v>
      </c>
      <c r="X1769">
        <v>0</v>
      </c>
      <c r="Y1769">
        <v>3</v>
      </c>
      <c r="Z1769">
        <v>4</v>
      </c>
      <c r="AA1769">
        <v>6</v>
      </c>
      <c r="AB1769" t="str">
        <f t="shared" si="83"/>
        <v>Below average customer</v>
      </c>
    </row>
    <row r="1770" spans="1:28" x14ac:dyDescent="0.35">
      <c r="A1770">
        <v>5623</v>
      </c>
      <c r="B1770">
        <v>1980</v>
      </c>
      <c r="C1770" t="s">
        <v>31</v>
      </c>
      <c r="D1770" t="s">
        <v>34</v>
      </c>
      <c r="E1770" t="s">
        <v>33</v>
      </c>
      <c r="F1770">
        <v>31535</v>
      </c>
      <c r="G1770" t="str">
        <f t="shared" si="81"/>
        <v>Low</v>
      </c>
      <c r="H1770">
        <v>1</v>
      </c>
      <c r="I1770">
        <v>0</v>
      </c>
      <c r="J1770">
        <v>1</v>
      </c>
      <c r="K1770" s="1">
        <v>41543</v>
      </c>
      <c r="L1770">
        <v>95</v>
      </c>
      <c r="M1770" t="str">
        <f t="shared" si="82"/>
        <v>Inactive</v>
      </c>
      <c r="N1770">
        <v>0</v>
      </c>
      <c r="O1770">
        <v>15</v>
      </c>
      <c r="P1770">
        <v>4</v>
      </c>
      <c r="Q1770">
        <v>13</v>
      </c>
      <c r="R1770">
        <v>0</v>
      </c>
      <c r="S1770">
        <v>0</v>
      </c>
      <c r="T1770">
        <v>19</v>
      </c>
      <c r="U1770">
        <v>51</v>
      </c>
      <c r="V1770">
        <v>1</v>
      </c>
      <c r="W1770">
        <v>1</v>
      </c>
      <c r="X1770">
        <v>1</v>
      </c>
      <c r="Y1770">
        <v>2</v>
      </c>
      <c r="Z1770">
        <v>4</v>
      </c>
      <c r="AA1770">
        <v>7</v>
      </c>
      <c r="AB1770" t="str">
        <f t="shared" si="83"/>
        <v>Below average customer</v>
      </c>
    </row>
    <row r="1771" spans="1:28" x14ac:dyDescent="0.35">
      <c r="A1771">
        <v>5832</v>
      </c>
      <c r="B1771">
        <v>1960</v>
      </c>
      <c r="C1771" t="s">
        <v>25</v>
      </c>
      <c r="D1771" t="s">
        <v>34</v>
      </c>
      <c r="E1771" t="s">
        <v>29</v>
      </c>
      <c r="F1771">
        <v>92556</v>
      </c>
      <c r="G1771" t="str">
        <f t="shared" si="81"/>
        <v>High</v>
      </c>
      <c r="H1771">
        <v>0</v>
      </c>
      <c r="I1771">
        <v>0</v>
      </c>
      <c r="J1771">
        <v>0</v>
      </c>
      <c r="K1771" s="1">
        <v>41749</v>
      </c>
      <c r="L1771">
        <v>32</v>
      </c>
      <c r="M1771" t="str">
        <f t="shared" si="82"/>
        <v>Active</v>
      </c>
      <c r="N1771">
        <v>0</v>
      </c>
      <c r="O1771">
        <v>493</v>
      </c>
      <c r="P1771">
        <v>183</v>
      </c>
      <c r="Q1771">
        <v>352</v>
      </c>
      <c r="R1771">
        <v>184</v>
      </c>
      <c r="S1771">
        <v>23</v>
      </c>
      <c r="T1771">
        <v>28</v>
      </c>
      <c r="U1771">
        <v>1263</v>
      </c>
      <c r="V1771">
        <v>0</v>
      </c>
      <c r="W1771">
        <v>3</v>
      </c>
      <c r="X1771">
        <v>5</v>
      </c>
      <c r="Y1771">
        <v>13</v>
      </c>
      <c r="Z1771">
        <v>21</v>
      </c>
      <c r="AA1771">
        <v>0</v>
      </c>
      <c r="AB1771" t="str">
        <f t="shared" si="83"/>
        <v>Above average customer</v>
      </c>
    </row>
    <row r="1772" spans="1:28" x14ac:dyDescent="0.35">
      <c r="A1772">
        <v>5544</v>
      </c>
      <c r="B1772">
        <v>1970</v>
      </c>
      <c r="C1772" t="s">
        <v>28</v>
      </c>
      <c r="D1772" t="s">
        <v>26</v>
      </c>
      <c r="E1772" t="s">
        <v>27</v>
      </c>
      <c r="F1772">
        <v>67384</v>
      </c>
      <c r="G1772" t="str">
        <f t="shared" si="81"/>
        <v>Mid-high</v>
      </c>
      <c r="H1772">
        <v>0</v>
      </c>
      <c r="I1772">
        <v>1</v>
      </c>
      <c r="J1772">
        <v>1</v>
      </c>
      <c r="K1772" s="1">
        <v>41223</v>
      </c>
      <c r="L1772">
        <v>32</v>
      </c>
      <c r="M1772" t="str">
        <f t="shared" si="82"/>
        <v>Active</v>
      </c>
      <c r="N1772">
        <v>0</v>
      </c>
      <c r="O1772">
        <v>957</v>
      </c>
      <c r="P1772">
        <v>40</v>
      </c>
      <c r="Q1772">
        <v>175</v>
      </c>
      <c r="R1772">
        <v>158</v>
      </c>
      <c r="S1772">
        <v>53</v>
      </c>
      <c r="T1772">
        <v>107</v>
      </c>
      <c r="U1772">
        <v>1490</v>
      </c>
      <c r="V1772">
        <v>2</v>
      </c>
      <c r="W1772">
        <v>7</v>
      </c>
      <c r="X1772">
        <v>8</v>
      </c>
      <c r="Y1772">
        <v>5</v>
      </c>
      <c r="Z1772">
        <v>20</v>
      </c>
      <c r="AA1772">
        <v>5</v>
      </c>
      <c r="AB1772" t="str">
        <f t="shared" si="83"/>
        <v>Above average customer</v>
      </c>
    </row>
    <row r="1773" spans="1:28" x14ac:dyDescent="0.35">
      <c r="A1773">
        <v>5831</v>
      </c>
      <c r="B1773">
        <v>1967</v>
      </c>
      <c r="C1773" t="s">
        <v>28</v>
      </c>
      <c r="D1773" t="s">
        <v>26</v>
      </c>
      <c r="E1773" t="s">
        <v>33</v>
      </c>
      <c r="F1773">
        <v>77870</v>
      </c>
      <c r="G1773" t="str">
        <f t="shared" si="81"/>
        <v>High</v>
      </c>
      <c r="H1773">
        <v>0</v>
      </c>
      <c r="I1773">
        <v>1</v>
      </c>
      <c r="J1773">
        <v>1</v>
      </c>
      <c r="K1773" s="1">
        <v>41143</v>
      </c>
      <c r="L1773">
        <v>93</v>
      </c>
      <c r="M1773" t="str">
        <f t="shared" si="82"/>
        <v>Inactive</v>
      </c>
      <c r="N1773">
        <v>0</v>
      </c>
      <c r="O1773">
        <v>1017</v>
      </c>
      <c r="P1773">
        <v>50</v>
      </c>
      <c r="Q1773">
        <v>500</v>
      </c>
      <c r="R1773">
        <v>65</v>
      </c>
      <c r="S1773">
        <v>50</v>
      </c>
      <c r="T1773">
        <v>133</v>
      </c>
      <c r="U1773">
        <v>1815</v>
      </c>
      <c r="V1773">
        <v>3</v>
      </c>
      <c r="W1773">
        <v>5</v>
      </c>
      <c r="X1773">
        <v>5</v>
      </c>
      <c r="Y1773">
        <v>5</v>
      </c>
      <c r="Z1773">
        <v>15</v>
      </c>
      <c r="AA1773">
        <v>8</v>
      </c>
      <c r="AB1773" t="str">
        <f t="shared" si="83"/>
        <v>Below average customer</v>
      </c>
    </row>
    <row r="1774" spans="1:28" x14ac:dyDescent="0.35">
      <c r="A1774">
        <v>7101</v>
      </c>
      <c r="B1774">
        <v>1963</v>
      </c>
      <c r="C1774" t="s">
        <v>28</v>
      </c>
      <c r="D1774" t="s">
        <v>32</v>
      </c>
      <c r="E1774" t="s">
        <v>38</v>
      </c>
      <c r="F1774">
        <v>52278</v>
      </c>
      <c r="G1774" t="str">
        <f t="shared" si="81"/>
        <v>Mid-high</v>
      </c>
      <c r="H1774">
        <v>0</v>
      </c>
      <c r="I1774">
        <v>1</v>
      </c>
      <c r="J1774">
        <v>1</v>
      </c>
      <c r="K1774" s="1">
        <v>41299</v>
      </c>
      <c r="L1774">
        <v>24</v>
      </c>
      <c r="M1774" t="str">
        <f t="shared" si="82"/>
        <v>Active</v>
      </c>
      <c r="N1774">
        <v>0</v>
      </c>
      <c r="O1774">
        <v>953</v>
      </c>
      <c r="P1774">
        <v>0</v>
      </c>
      <c r="Q1774">
        <v>71</v>
      </c>
      <c r="R1774">
        <v>0</v>
      </c>
      <c r="S1774">
        <v>0</v>
      </c>
      <c r="T1774">
        <v>174</v>
      </c>
      <c r="U1774">
        <v>1198</v>
      </c>
      <c r="V1774">
        <v>6</v>
      </c>
      <c r="W1774">
        <v>10</v>
      </c>
      <c r="X1774">
        <v>5</v>
      </c>
      <c r="Y1774">
        <v>10</v>
      </c>
      <c r="Z1774">
        <v>25</v>
      </c>
      <c r="AA1774">
        <v>8</v>
      </c>
      <c r="AB1774" t="str">
        <f t="shared" si="83"/>
        <v>Below average customer</v>
      </c>
    </row>
    <row r="1775" spans="1:28" x14ac:dyDescent="0.35">
      <c r="A1775">
        <v>10176</v>
      </c>
      <c r="B1775">
        <v>1968</v>
      </c>
      <c r="C1775" t="s">
        <v>28</v>
      </c>
      <c r="D1775" t="s">
        <v>26</v>
      </c>
      <c r="E1775" t="s">
        <v>27</v>
      </c>
      <c r="F1775">
        <v>57107</v>
      </c>
      <c r="G1775" t="str">
        <f t="shared" si="81"/>
        <v>Mid-high</v>
      </c>
      <c r="H1775">
        <v>0</v>
      </c>
      <c r="I1775">
        <v>1</v>
      </c>
      <c r="J1775">
        <v>1</v>
      </c>
      <c r="K1775" s="1">
        <v>41145</v>
      </c>
      <c r="L1775">
        <v>44</v>
      </c>
      <c r="M1775" t="str">
        <f t="shared" si="82"/>
        <v>Active</v>
      </c>
      <c r="N1775">
        <v>0</v>
      </c>
      <c r="O1775">
        <v>159</v>
      </c>
      <c r="P1775">
        <v>0</v>
      </c>
      <c r="Q1775">
        <v>120</v>
      </c>
      <c r="R1775">
        <v>0</v>
      </c>
      <c r="S1775">
        <v>0</v>
      </c>
      <c r="T1775">
        <v>137</v>
      </c>
      <c r="U1775">
        <v>416</v>
      </c>
      <c r="V1775">
        <v>7</v>
      </c>
      <c r="W1775">
        <v>4</v>
      </c>
      <c r="X1775">
        <v>4</v>
      </c>
      <c r="Y1775">
        <v>8</v>
      </c>
      <c r="Z1775">
        <v>16</v>
      </c>
      <c r="AA1775">
        <v>8</v>
      </c>
      <c r="AB1775" t="str">
        <f t="shared" si="83"/>
        <v>Below average customer</v>
      </c>
    </row>
    <row r="1776" spans="1:28" x14ac:dyDescent="0.35">
      <c r="A1776">
        <v>4385</v>
      </c>
      <c r="B1776">
        <v>1981</v>
      </c>
      <c r="C1776" t="s">
        <v>31</v>
      </c>
      <c r="D1776" t="s">
        <v>32</v>
      </c>
      <c r="E1776" t="s">
        <v>27</v>
      </c>
      <c r="F1776">
        <v>36038</v>
      </c>
      <c r="G1776" t="str">
        <f t="shared" si="81"/>
        <v>Mid-low</v>
      </c>
      <c r="H1776">
        <v>1</v>
      </c>
      <c r="I1776">
        <v>0</v>
      </c>
      <c r="J1776">
        <v>1</v>
      </c>
      <c r="K1776" s="1">
        <v>41425</v>
      </c>
      <c r="L1776">
        <v>82</v>
      </c>
      <c r="M1776" t="str">
        <f t="shared" si="82"/>
        <v>Inactive</v>
      </c>
      <c r="N1776">
        <v>0</v>
      </c>
      <c r="O1776">
        <v>23</v>
      </c>
      <c r="P1776">
        <v>0</v>
      </c>
      <c r="Q1776">
        <v>15</v>
      </c>
      <c r="R1776">
        <v>0</v>
      </c>
      <c r="S1776">
        <v>2</v>
      </c>
      <c r="T1776">
        <v>7</v>
      </c>
      <c r="U1776">
        <v>47</v>
      </c>
      <c r="V1776">
        <v>2</v>
      </c>
      <c r="W1776">
        <v>3</v>
      </c>
      <c r="X1776">
        <v>0</v>
      </c>
      <c r="Y1776">
        <v>3</v>
      </c>
      <c r="Z1776">
        <v>6</v>
      </c>
      <c r="AA1776">
        <v>6</v>
      </c>
      <c r="AB1776" t="str">
        <f t="shared" si="83"/>
        <v>Below average customer</v>
      </c>
    </row>
    <row r="1777" spans="1:28" x14ac:dyDescent="0.35">
      <c r="A1777">
        <v>10686</v>
      </c>
      <c r="B1777">
        <v>1965</v>
      </c>
      <c r="C1777" t="s">
        <v>28</v>
      </c>
      <c r="D1777" t="s">
        <v>32</v>
      </c>
      <c r="E1777" t="s">
        <v>29</v>
      </c>
      <c r="F1777">
        <v>34230</v>
      </c>
      <c r="G1777" t="str">
        <f t="shared" si="81"/>
        <v>Low</v>
      </c>
      <c r="H1777">
        <v>1</v>
      </c>
      <c r="I1777">
        <v>1</v>
      </c>
      <c r="J1777">
        <v>2</v>
      </c>
      <c r="K1777" s="1">
        <v>41269</v>
      </c>
      <c r="L1777">
        <v>72</v>
      </c>
      <c r="M1777" t="str">
        <f t="shared" si="82"/>
        <v>Inactive</v>
      </c>
      <c r="N1777">
        <v>0</v>
      </c>
      <c r="O1777">
        <v>15</v>
      </c>
      <c r="P1777">
        <v>0</v>
      </c>
      <c r="Q1777">
        <v>4</v>
      </c>
      <c r="R1777">
        <v>0</v>
      </c>
      <c r="S1777">
        <v>0</v>
      </c>
      <c r="T1777">
        <v>2</v>
      </c>
      <c r="U1777">
        <v>21</v>
      </c>
      <c r="V1777">
        <v>1</v>
      </c>
      <c r="W1777">
        <v>1</v>
      </c>
      <c r="X1777">
        <v>0</v>
      </c>
      <c r="Y1777">
        <v>2</v>
      </c>
      <c r="Z1777">
        <v>3</v>
      </c>
      <c r="AA1777">
        <v>7</v>
      </c>
      <c r="AB1777" t="str">
        <f t="shared" si="83"/>
        <v>Below average customer</v>
      </c>
    </row>
    <row r="1778" spans="1:28" x14ac:dyDescent="0.35">
      <c r="A1778">
        <v>2546</v>
      </c>
      <c r="B1778">
        <v>1977</v>
      </c>
      <c r="C1778" t="s">
        <v>31</v>
      </c>
      <c r="D1778" t="s">
        <v>34</v>
      </c>
      <c r="E1778" t="s">
        <v>27</v>
      </c>
      <c r="F1778">
        <v>31878</v>
      </c>
      <c r="G1778" t="str">
        <f t="shared" si="81"/>
        <v>Low</v>
      </c>
      <c r="H1778">
        <v>0</v>
      </c>
      <c r="I1778">
        <v>1</v>
      </c>
      <c r="J1778">
        <v>1</v>
      </c>
      <c r="K1778" s="1">
        <v>41812</v>
      </c>
      <c r="L1778">
        <v>7</v>
      </c>
      <c r="M1778" t="str">
        <f t="shared" si="82"/>
        <v>Active</v>
      </c>
      <c r="N1778">
        <v>0</v>
      </c>
      <c r="O1778">
        <v>23</v>
      </c>
      <c r="P1778">
        <v>4</v>
      </c>
      <c r="Q1778">
        <v>5</v>
      </c>
      <c r="R1778">
        <v>10</v>
      </c>
      <c r="S1778">
        <v>5</v>
      </c>
      <c r="T1778">
        <v>23</v>
      </c>
      <c r="U1778">
        <v>70</v>
      </c>
      <c r="V1778">
        <v>1</v>
      </c>
      <c r="W1778">
        <v>1</v>
      </c>
      <c r="X1778">
        <v>0</v>
      </c>
      <c r="Y1778">
        <v>4</v>
      </c>
      <c r="Z1778">
        <v>5</v>
      </c>
      <c r="AA1778">
        <v>3</v>
      </c>
      <c r="AB1778" t="str">
        <f t="shared" si="83"/>
        <v>Below average customer</v>
      </c>
    </row>
    <row r="1779" spans="1:28" x14ac:dyDescent="0.35">
      <c r="A1779">
        <v>3283</v>
      </c>
      <c r="B1779">
        <v>1972</v>
      </c>
      <c r="C1779" t="s">
        <v>28</v>
      </c>
      <c r="D1779" t="s">
        <v>34</v>
      </c>
      <c r="E1779" t="s">
        <v>33</v>
      </c>
      <c r="F1779">
        <v>70932</v>
      </c>
      <c r="G1779" t="str">
        <f t="shared" si="81"/>
        <v>High</v>
      </c>
      <c r="H1779">
        <v>0</v>
      </c>
      <c r="I1779">
        <v>1</v>
      </c>
      <c r="J1779">
        <v>1</v>
      </c>
      <c r="K1779" s="1">
        <v>41658</v>
      </c>
      <c r="L1779">
        <v>57</v>
      </c>
      <c r="M1779" t="str">
        <f t="shared" si="82"/>
        <v>Inactive</v>
      </c>
      <c r="N1779">
        <v>0</v>
      </c>
      <c r="O1779">
        <v>200</v>
      </c>
      <c r="P1779">
        <v>193</v>
      </c>
      <c r="Q1779">
        <v>100</v>
      </c>
      <c r="R1779">
        <v>46</v>
      </c>
      <c r="S1779">
        <v>185</v>
      </c>
      <c r="T1779">
        <v>185</v>
      </c>
      <c r="U1779">
        <v>909</v>
      </c>
      <c r="V1779">
        <v>2</v>
      </c>
      <c r="W1779">
        <v>6</v>
      </c>
      <c r="X1779">
        <v>2</v>
      </c>
      <c r="Y1779">
        <v>12</v>
      </c>
      <c r="Z1779">
        <v>20</v>
      </c>
      <c r="AA1779">
        <v>3</v>
      </c>
      <c r="AB1779" t="str">
        <f t="shared" si="83"/>
        <v>Below average customer</v>
      </c>
    </row>
    <row r="1780" spans="1:28" x14ac:dyDescent="0.35">
      <c r="A1780">
        <v>3138</v>
      </c>
      <c r="B1780">
        <v>1956</v>
      </c>
      <c r="C1780" t="s">
        <v>25</v>
      </c>
      <c r="D1780" t="s">
        <v>26</v>
      </c>
      <c r="E1780" t="s">
        <v>27</v>
      </c>
      <c r="F1780">
        <v>91249</v>
      </c>
      <c r="G1780" t="str">
        <f t="shared" si="81"/>
        <v>High</v>
      </c>
      <c r="H1780">
        <v>0</v>
      </c>
      <c r="I1780">
        <v>0</v>
      </c>
      <c r="J1780">
        <v>0</v>
      </c>
      <c r="K1780" s="1">
        <v>41202</v>
      </c>
      <c r="L1780">
        <v>84</v>
      </c>
      <c r="M1780" t="str">
        <f t="shared" si="82"/>
        <v>Inactive</v>
      </c>
      <c r="N1780">
        <v>0</v>
      </c>
      <c r="O1780">
        <v>1324</v>
      </c>
      <c r="P1780">
        <v>27</v>
      </c>
      <c r="Q1780">
        <v>119</v>
      </c>
      <c r="R1780">
        <v>71</v>
      </c>
      <c r="S1780">
        <v>108</v>
      </c>
      <c r="T1780">
        <v>27</v>
      </c>
      <c r="U1780">
        <v>1676</v>
      </c>
      <c r="V1780">
        <v>0</v>
      </c>
      <c r="W1780">
        <v>7</v>
      </c>
      <c r="X1780">
        <v>9</v>
      </c>
      <c r="Y1780">
        <v>6</v>
      </c>
      <c r="Z1780">
        <v>22</v>
      </c>
      <c r="AA1780">
        <v>4</v>
      </c>
      <c r="AB1780" t="str">
        <f t="shared" si="83"/>
        <v>Below average customer</v>
      </c>
    </row>
    <row r="1781" spans="1:28" x14ac:dyDescent="0.35">
      <c r="A1781">
        <v>4994</v>
      </c>
      <c r="B1781">
        <v>1943</v>
      </c>
      <c r="C1781" t="s">
        <v>36</v>
      </c>
      <c r="D1781" t="s">
        <v>34</v>
      </c>
      <c r="E1781" t="s">
        <v>27</v>
      </c>
      <c r="F1781">
        <v>77598</v>
      </c>
      <c r="G1781" t="str">
        <f t="shared" si="81"/>
        <v>High</v>
      </c>
      <c r="H1781">
        <v>0</v>
      </c>
      <c r="I1781">
        <v>0</v>
      </c>
      <c r="J1781">
        <v>0</v>
      </c>
      <c r="K1781" s="1">
        <v>41548</v>
      </c>
      <c r="L1781">
        <v>53</v>
      </c>
      <c r="M1781" t="str">
        <f t="shared" si="82"/>
        <v>Inactive</v>
      </c>
      <c r="N1781">
        <v>0</v>
      </c>
      <c r="O1781">
        <v>1193</v>
      </c>
      <c r="P1781">
        <v>33</v>
      </c>
      <c r="Q1781">
        <v>281</v>
      </c>
      <c r="R1781">
        <v>129</v>
      </c>
      <c r="S1781">
        <v>66</v>
      </c>
      <c r="T1781">
        <v>33</v>
      </c>
      <c r="U1781">
        <v>1735</v>
      </c>
      <c r="V1781">
        <v>1</v>
      </c>
      <c r="W1781">
        <v>7</v>
      </c>
      <c r="X1781">
        <v>5</v>
      </c>
      <c r="Y1781">
        <v>13</v>
      </c>
      <c r="Z1781">
        <v>25</v>
      </c>
      <c r="AA1781">
        <v>3</v>
      </c>
      <c r="AB1781" t="str">
        <f t="shared" si="83"/>
        <v>Below average customer</v>
      </c>
    </row>
    <row r="1782" spans="1:28" x14ac:dyDescent="0.35">
      <c r="A1782">
        <v>7966</v>
      </c>
      <c r="B1782">
        <v>1959</v>
      </c>
      <c r="C1782" t="s">
        <v>25</v>
      </c>
      <c r="D1782" t="s">
        <v>26</v>
      </c>
      <c r="E1782" t="s">
        <v>27</v>
      </c>
      <c r="F1782">
        <v>80982</v>
      </c>
      <c r="G1782" t="str">
        <f t="shared" si="81"/>
        <v>High</v>
      </c>
      <c r="H1782">
        <v>1</v>
      </c>
      <c r="I1782">
        <v>1</v>
      </c>
      <c r="J1782">
        <v>2</v>
      </c>
      <c r="K1782" s="1">
        <v>41282</v>
      </c>
      <c r="L1782">
        <v>48</v>
      </c>
      <c r="M1782" t="str">
        <f t="shared" si="82"/>
        <v>Active</v>
      </c>
      <c r="N1782">
        <v>1</v>
      </c>
      <c r="O1782">
        <v>505</v>
      </c>
      <c r="P1782">
        <v>137</v>
      </c>
      <c r="Q1782">
        <v>401</v>
      </c>
      <c r="R1782">
        <v>104</v>
      </c>
      <c r="S1782">
        <v>22</v>
      </c>
      <c r="T1782">
        <v>22</v>
      </c>
      <c r="U1782">
        <v>1191</v>
      </c>
      <c r="V1782">
        <v>3</v>
      </c>
      <c r="W1782">
        <v>11</v>
      </c>
      <c r="X1782">
        <v>5</v>
      </c>
      <c r="Y1782">
        <v>11</v>
      </c>
      <c r="Z1782">
        <v>27</v>
      </c>
      <c r="AA1782">
        <v>5</v>
      </c>
      <c r="AB1782" t="str">
        <f t="shared" si="83"/>
        <v>Below average customer</v>
      </c>
    </row>
    <row r="1783" spans="1:28" x14ac:dyDescent="0.35">
      <c r="A1783">
        <v>3112</v>
      </c>
      <c r="B1783">
        <v>1977</v>
      </c>
      <c r="C1783" t="s">
        <v>31</v>
      </c>
      <c r="D1783" t="s">
        <v>34</v>
      </c>
      <c r="E1783" t="s">
        <v>33</v>
      </c>
      <c r="F1783">
        <v>22701</v>
      </c>
      <c r="G1783" t="str">
        <f t="shared" si="81"/>
        <v>Low</v>
      </c>
      <c r="H1783">
        <v>1</v>
      </c>
      <c r="I1783">
        <v>0</v>
      </c>
      <c r="J1783">
        <v>1</v>
      </c>
      <c r="K1783" s="1">
        <v>41522</v>
      </c>
      <c r="L1783">
        <v>2</v>
      </c>
      <c r="M1783" t="str">
        <f t="shared" si="82"/>
        <v>Active</v>
      </c>
      <c r="N1783">
        <v>0</v>
      </c>
      <c r="O1783">
        <v>2</v>
      </c>
      <c r="P1783">
        <v>4</v>
      </c>
      <c r="Q1783">
        <v>9</v>
      </c>
      <c r="R1783">
        <v>0</v>
      </c>
      <c r="S1783">
        <v>4</v>
      </c>
      <c r="T1783">
        <v>5</v>
      </c>
      <c r="U1783">
        <v>24</v>
      </c>
      <c r="V1783">
        <v>1</v>
      </c>
      <c r="W1783">
        <v>1</v>
      </c>
      <c r="X1783">
        <v>0</v>
      </c>
      <c r="Y1783">
        <v>3</v>
      </c>
      <c r="Z1783">
        <v>4</v>
      </c>
      <c r="AA1783">
        <v>5</v>
      </c>
      <c r="AB1783" t="str">
        <f t="shared" si="83"/>
        <v>Below average customer</v>
      </c>
    </row>
    <row r="1784" spans="1:28" x14ac:dyDescent="0.35">
      <c r="A1784">
        <v>2181</v>
      </c>
      <c r="B1784">
        <v>1970</v>
      </c>
      <c r="C1784" t="s">
        <v>28</v>
      </c>
      <c r="D1784" t="s">
        <v>26</v>
      </c>
      <c r="E1784" t="s">
        <v>33</v>
      </c>
      <c r="F1784">
        <v>70617</v>
      </c>
      <c r="G1784" t="str">
        <f t="shared" si="81"/>
        <v>High</v>
      </c>
      <c r="H1784">
        <v>0</v>
      </c>
      <c r="I1784">
        <v>0</v>
      </c>
      <c r="J1784">
        <v>0</v>
      </c>
      <c r="K1784" s="1">
        <v>41448</v>
      </c>
      <c r="L1784">
        <v>45</v>
      </c>
      <c r="M1784" t="str">
        <f t="shared" si="82"/>
        <v>Active</v>
      </c>
      <c r="N1784">
        <v>0</v>
      </c>
      <c r="O1784">
        <v>353</v>
      </c>
      <c r="P1784">
        <v>61</v>
      </c>
      <c r="Q1784">
        <v>753</v>
      </c>
      <c r="R1784">
        <v>40</v>
      </c>
      <c r="S1784">
        <v>46</v>
      </c>
      <c r="T1784">
        <v>27</v>
      </c>
      <c r="U1784">
        <v>1280</v>
      </c>
      <c r="V1784">
        <v>1</v>
      </c>
      <c r="W1784">
        <v>3</v>
      </c>
      <c r="X1784">
        <v>3</v>
      </c>
      <c r="Y1784">
        <v>7</v>
      </c>
      <c r="Z1784">
        <v>13</v>
      </c>
      <c r="AA1784">
        <v>2</v>
      </c>
      <c r="AB1784" t="str">
        <f t="shared" si="83"/>
        <v>Above average customer</v>
      </c>
    </row>
    <row r="1785" spans="1:28" x14ac:dyDescent="0.35">
      <c r="A1785">
        <v>1867</v>
      </c>
      <c r="B1785">
        <v>1957</v>
      </c>
      <c r="C1785" t="s">
        <v>25</v>
      </c>
      <c r="D1785" t="s">
        <v>26</v>
      </c>
      <c r="E1785" t="s">
        <v>27</v>
      </c>
      <c r="F1785">
        <v>64849</v>
      </c>
      <c r="G1785" t="str">
        <f t="shared" si="81"/>
        <v>Mid-high</v>
      </c>
      <c r="H1785">
        <v>0</v>
      </c>
      <c r="I1785">
        <v>0</v>
      </c>
      <c r="J1785">
        <v>0</v>
      </c>
      <c r="K1785" s="1">
        <v>41226</v>
      </c>
      <c r="L1785">
        <v>42</v>
      </c>
      <c r="M1785" t="str">
        <f t="shared" si="82"/>
        <v>Active</v>
      </c>
      <c r="N1785">
        <v>0</v>
      </c>
      <c r="O1785">
        <v>652</v>
      </c>
      <c r="P1785">
        <v>48</v>
      </c>
      <c r="Q1785">
        <v>350</v>
      </c>
      <c r="R1785">
        <v>94</v>
      </c>
      <c r="S1785">
        <v>84</v>
      </c>
      <c r="T1785">
        <v>108</v>
      </c>
      <c r="U1785">
        <v>1336</v>
      </c>
      <c r="V1785">
        <v>1</v>
      </c>
      <c r="W1785">
        <v>9</v>
      </c>
      <c r="X1785">
        <v>3</v>
      </c>
      <c r="Y1785">
        <v>6</v>
      </c>
      <c r="Z1785">
        <v>18</v>
      </c>
      <c r="AA1785">
        <v>5</v>
      </c>
      <c r="AB1785" t="str">
        <f t="shared" si="83"/>
        <v>Above average customer</v>
      </c>
    </row>
    <row r="1786" spans="1:28" x14ac:dyDescent="0.35">
      <c r="A1786">
        <v>1518</v>
      </c>
      <c r="B1786">
        <v>1965</v>
      </c>
      <c r="C1786" t="s">
        <v>28</v>
      </c>
      <c r="D1786" t="s">
        <v>34</v>
      </c>
      <c r="E1786" t="s">
        <v>33</v>
      </c>
      <c r="F1786">
        <v>62694</v>
      </c>
      <c r="G1786" t="str">
        <f t="shared" si="81"/>
        <v>Mid-high</v>
      </c>
      <c r="H1786">
        <v>1</v>
      </c>
      <c r="I1786">
        <v>1</v>
      </c>
      <c r="J1786">
        <v>2</v>
      </c>
      <c r="K1786" s="1">
        <v>41442</v>
      </c>
      <c r="L1786">
        <v>29</v>
      </c>
      <c r="M1786" t="str">
        <f t="shared" si="82"/>
        <v>Active</v>
      </c>
      <c r="N1786">
        <v>0</v>
      </c>
      <c r="O1786">
        <v>379</v>
      </c>
      <c r="P1786">
        <v>6</v>
      </c>
      <c r="Q1786">
        <v>157</v>
      </c>
      <c r="R1786">
        <v>25</v>
      </c>
      <c r="S1786">
        <v>91</v>
      </c>
      <c r="T1786">
        <v>91</v>
      </c>
      <c r="U1786">
        <v>749</v>
      </c>
      <c r="V1786">
        <v>5</v>
      </c>
      <c r="W1786">
        <v>9</v>
      </c>
      <c r="X1786">
        <v>3</v>
      </c>
      <c r="Y1786">
        <v>7</v>
      </c>
      <c r="Z1786">
        <v>19</v>
      </c>
      <c r="AA1786">
        <v>7</v>
      </c>
      <c r="AB1786" t="str">
        <f t="shared" si="83"/>
        <v>Above average customer</v>
      </c>
    </row>
    <row r="1787" spans="1:28" x14ac:dyDescent="0.35">
      <c r="A1787">
        <v>5734</v>
      </c>
      <c r="B1787">
        <v>1974</v>
      </c>
      <c r="C1787" t="s">
        <v>31</v>
      </c>
      <c r="D1787" t="s">
        <v>32</v>
      </c>
      <c r="E1787" t="s">
        <v>33</v>
      </c>
      <c r="F1787">
        <v>61917</v>
      </c>
      <c r="G1787" t="str">
        <f t="shared" si="81"/>
        <v>Mid-high</v>
      </c>
      <c r="H1787">
        <v>1</v>
      </c>
      <c r="I1787">
        <v>1</v>
      </c>
      <c r="J1787">
        <v>2</v>
      </c>
      <c r="K1787" s="1">
        <v>41598</v>
      </c>
      <c r="L1787">
        <v>83</v>
      </c>
      <c r="M1787" t="str">
        <f t="shared" si="82"/>
        <v>Inactive</v>
      </c>
      <c r="N1787">
        <v>0</v>
      </c>
      <c r="O1787">
        <v>46</v>
      </c>
      <c r="P1787">
        <v>4</v>
      </c>
      <c r="Q1787">
        <v>36</v>
      </c>
      <c r="R1787">
        <v>2</v>
      </c>
      <c r="S1787">
        <v>2</v>
      </c>
      <c r="T1787">
        <v>1</v>
      </c>
      <c r="U1787">
        <v>91</v>
      </c>
      <c r="V1787">
        <v>1</v>
      </c>
      <c r="W1787">
        <v>2</v>
      </c>
      <c r="X1787">
        <v>0</v>
      </c>
      <c r="Y1787">
        <v>4</v>
      </c>
      <c r="Z1787">
        <v>6</v>
      </c>
      <c r="AA1787">
        <v>5</v>
      </c>
      <c r="AB1787" t="str">
        <f t="shared" si="83"/>
        <v>Below average customer</v>
      </c>
    </row>
    <row r="1788" spans="1:28" x14ac:dyDescent="0.35">
      <c r="A1788">
        <v>2878</v>
      </c>
      <c r="B1788">
        <v>1947</v>
      </c>
      <c r="C1788" t="s">
        <v>36</v>
      </c>
      <c r="D1788" t="s">
        <v>32</v>
      </c>
      <c r="E1788" t="s">
        <v>33</v>
      </c>
      <c r="F1788">
        <v>67472</v>
      </c>
      <c r="G1788" t="str">
        <f t="shared" si="81"/>
        <v>Mid-high</v>
      </c>
      <c r="H1788">
        <v>0</v>
      </c>
      <c r="I1788">
        <v>1</v>
      </c>
      <c r="J1788">
        <v>1</v>
      </c>
      <c r="K1788" s="1">
        <v>41545</v>
      </c>
      <c r="L1788">
        <v>93</v>
      </c>
      <c r="M1788" t="str">
        <f t="shared" si="82"/>
        <v>Inactive</v>
      </c>
      <c r="N1788">
        <v>0</v>
      </c>
      <c r="O1788">
        <v>162</v>
      </c>
      <c r="P1788">
        <v>31</v>
      </c>
      <c r="Q1788">
        <v>127</v>
      </c>
      <c r="R1788">
        <v>8</v>
      </c>
      <c r="S1788">
        <v>17</v>
      </c>
      <c r="T1788">
        <v>69</v>
      </c>
      <c r="U1788">
        <v>414</v>
      </c>
      <c r="V1788">
        <v>2</v>
      </c>
      <c r="W1788">
        <v>4</v>
      </c>
      <c r="X1788">
        <v>2</v>
      </c>
      <c r="Y1788">
        <v>7</v>
      </c>
      <c r="Z1788">
        <v>13</v>
      </c>
      <c r="AA1788">
        <v>3</v>
      </c>
      <c r="AB1788" t="str">
        <f t="shared" si="83"/>
        <v>Below average customer</v>
      </c>
    </row>
    <row r="1789" spans="1:28" x14ac:dyDescent="0.35">
      <c r="A1789">
        <v>1458</v>
      </c>
      <c r="B1789">
        <v>1982</v>
      </c>
      <c r="C1789" t="s">
        <v>31</v>
      </c>
      <c r="D1789" t="s">
        <v>34</v>
      </c>
      <c r="E1789" t="s">
        <v>33</v>
      </c>
      <c r="F1789">
        <v>21059</v>
      </c>
      <c r="G1789" t="str">
        <f t="shared" si="81"/>
        <v>Low</v>
      </c>
      <c r="H1789">
        <v>1</v>
      </c>
      <c r="I1789">
        <v>0</v>
      </c>
      <c r="J1789">
        <v>1</v>
      </c>
      <c r="K1789" s="1">
        <v>41646</v>
      </c>
      <c r="L1789">
        <v>40</v>
      </c>
      <c r="M1789" t="str">
        <f t="shared" si="82"/>
        <v>Active</v>
      </c>
      <c r="N1789">
        <v>0</v>
      </c>
      <c r="O1789">
        <v>8</v>
      </c>
      <c r="P1789">
        <v>3</v>
      </c>
      <c r="Q1789">
        <v>19</v>
      </c>
      <c r="R1789">
        <v>3</v>
      </c>
      <c r="S1789">
        <v>3</v>
      </c>
      <c r="T1789">
        <v>8</v>
      </c>
      <c r="U1789">
        <v>44</v>
      </c>
      <c r="V1789">
        <v>3</v>
      </c>
      <c r="W1789">
        <v>3</v>
      </c>
      <c r="X1789">
        <v>0</v>
      </c>
      <c r="Y1789">
        <v>3</v>
      </c>
      <c r="Z1789">
        <v>6</v>
      </c>
      <c r="AA1789">
        <v>6</v>
      </c>
      <c r="AB1789" t="str">
        <f t="shared" si="83"/>
        <v>Below average customer</v>
      </c>
    </row>
    <row r="1790" spans="1:28" x14ac:dyDescent="0.35">
      <c r="A1790">
        <v>7007</v>
      </c>
      <c r="B1790">
        <v>1968</v>
      </c>
      <c r="C1790" t="s">
        <v>28</v>
      </c>
      <c r="D1790" t="s">
        <v>34</v>
      </c>
      <c r="E1790" t="s">
        <v>33</v>
      </c>
      <c r="F1790">
        <v>29543</v>
      </c>
      <c r="G1790" t="str">
        <f t="shared" si="81"/>
        <v>Low</v>
      </c>
      <c r="H1790">
        <v>2</v>
      </c>
      <c r="I1790">
        <v>0</v>
      </c>
      <c r="J1790">
        <v>2</v>
      </c>
      <c r="K1790" s="1">
        <v>41730</v>
      </c>
      <c r="L1790">
        <v>47</v>
      </c>
      <c r="M1790" t="str">
        <f t="shared" si="82"/>
        <v>Active</v>
      </c>
      <c r="N1790">
        <v>0</v>
      </c>
      <c r="O1790">
        <v>17</v>
      </c>
      <c r="P1790">
        <v>3</v>
      </c>
      <c r="Q1790">
        <v>18</v>
      </c>
      <c r="R1790">
        <v>3</v>
      </c>
      <c r="S1790">
        <v>4</v>
      </c>
      <c r="T1790">
        <v>18</v>
      </c>
      <c r="U1790">
        <v>63</v>
      </c>
      <c r="V1790">
        <v>2</v>
      </c>
      <c r="W1790">
        <v>3</v>
      </c>
      <c r="X1790">
        <v>1</v>
      </c>
      <c r="Y1790">
        <v>2</v>
      </c>
      <c r="Z1790">
        <v>6</v>
      </c>
      <c r="AA1790">
        <v>7</v>
      </c>
      <c r="AB1790" t="str">
        <f t="shared" si="83"/>
        <v>Below average customer</v>
      </c>
    </row>
    <row r="1791" spans="1:28" x14ac:dyDescent="0.35">
      <c r="A1791">
        <v>6200</v>
      </c>
      <c r="B1791">
        <v>1951</v>
      </c>
      <c r="C1791" t="s">
        <v>36</v>
      </c>
      <c r="D1791" t="s">
        <v>26</v>
      </c>
      <c r="E1791" t="s">
        <v>33</v>
      </c>
      <c r="F1791">
        <v>75903</v>
      </c>
      <c r="G1791" t="str">
        <f t="shared" si="81"/>
        <v>High</v>
      </c>
      <c r="H1791">
        <v>0</v>
      </c>
      <c r="I1791">
        <v>1</v>
      </c>
      <c r="J1791">
        <v>1</v>
      </c>
      <c r="K1791" s="1">
        <v>41372</v>
      </c>
      <c r="L1791">
        <v>50</v>
      </c>
      <c r="M1791" t="str">
        <f t="shared" si="82"/>
        <v>Inactive</v>
      </c>
      <c r="N1791">
        <v>0</v>
      </c>
      <c r="O1791">
        <v>340</v>
      </c>
      <c r="P1791">
        <v>108</v>
      </c>
      <c r="Q1791">
        <v>185</v>
      </c>
      <c r="R1791">
        <v>130</v>
      </c>
      <c r="S1791">
        <v>38</v>
      </c>
      <c r="T1791">
        <v>100</v>
      </c>
      <c r="U1791">
        <v>901</v>
      </c>
      <c r="V1791">
        <v>2</v>
      </c>
      <c r="W1791">
        <v>6</v>
      </c>
      <c r="X1791">
        <v>6</v>
      </c>
      <c r="Y1791">
        <v>9</v>
      </c>
      <c r="Z1791">
        <v>21</v>
      </c>
      <c r="AA1791">
        <v>3</v>
      </c>
      <c r="AB1791" t="str">
        <f t="shared" si="83"/>
        <v>Below average customer</v>
      </c>
    </row>
    <row r="1792" spans="1:28" x14ac:dyDescent="0.35">
      <c r="A1792">
        <v>1403</v>
      </c>
      <c r="B1792">
        <v>1975</v>
      </c>
      <c r="C1792" t="s">
        <v>31</v>
      </c>
      <c r="D1792" t="s">
        <v>34</v>
      </c>
      <c r="E1792" t="s">
        <v>29</v>
      </c>
      <c r="F1792">
        <v>34984</v>
      </c>
      <c r="G1792" t="str">
        <f t="shared" si="81"/>
        <v>Low</v>
      </c>
      <c r="H1792">
        <v>1</v>
      </c>
      <c r="I1792">
        <v>1</v>
      </c>
      <c r="J1792">
        <v>2</v>
      </c>
      <c r="K1792" s="1">
        <v>41158</v>
      </c>
      <c r="L1792">
        <v>40</v>
      </c>
      <c r="M1792" t="str">
        <f t="shared" si="82"/>
        <v>Active</v>
      </c>
      <c r="N1792">
        <v>0</v>
      </c>
      <c r="O1792">
        <v>8</v>
      </c>
      <c r="P1792">
        <v>4</v>
      </c>
      <c r="Q1792">
        <v>15</v>
      </c>
      <c r="R1792">
        <v>3</v>
      </c>
      <c r="S1792">
        <v>5</v>
      </c>
      <c r="T1792">
        <v>3</v>
      </c>
      <c r="U1792">
        <v>38</v>
      </c>
      <c r="V1792">
        <v>2</v>
      </c>
      <c r="W1792">
        <v>1</v>
      </c>
      <c r="X1792">
        <v>0</v>
      </c>
      <c r="Y1792">
        <v>3</v>
      </c>
      <c r="Z1792">
        <v>4</v>
      </c>
      <c r="AA1792">
        <v>7</v>
      </c>
      <c r="AB1792" t="str">
        <f t="shared" si="83"/>
        <v>Below average customer</v>
      </c>
    </row>
    <row r="1793" spans="1:28" x14ac:dyDescent="0.35">
      <c r="A1793">
        <v>4827</v>
      </c>
      <c r="B1793">
        <v>1956</v>
      </c>
      <c r="C1793" t="s">
        <v>25</v>
      </c>
      <c r="D1793" t="s">
        <v>32</v>
      </c>
      <c r="E1793" t="s">
        <v>27</v>
      </c>
      <c r="F1793">
        <v>54998</v>
      </c>
      <c r="G1793" t="str">
        <f t="shared" si="81"/>
        <v>Mid-high</v>
      </c>
      <c r="H1793">
        <v>0</v>
      </c>
      <c r="I1793">
        <v>1</v>
      </c>
      <c r="J1793">
        <v>1</v>
      </c>
      <c r="K1793" s="1">
        <v>41343</v>
      </c>
      <c r="L1793">
        <v>3</v>
      </c>
      <c r="M1793" t="str">
        <f t="shared" si="82"/>
        <v>Active</v>
      </c>
      <c r="N1793">
        <v>0</v>
      </c>
      <c r="O1793">
        <v>154</v>
      </c>
      <c r="P1793">
        <v>22</v>
      </c>
      <c r="Q1793">
        <v>202</v>
      </c>
      <c r="R1793">
        <v>39</v>
      </c>
      <c r="S1793">
        <v>30</v>
      </c>
      <c r="T1793">
        <v>8</v>
      </c>
      <c r="U1793">
        <v>455</v>
      </c>
      <c r="V1793">
        <v>5</v>
      </c>
      <c r="W1793">
        <v>4</v>
      </c>
      <c r="X1793">
        <v>2</v>
      </c>
      <c r="Y1793">
        <v>9</v>
      </c>
      <c r="Z1793">
        <v>15</v>
      </c>
      <c r="AA1793">
        <v>4</v>
      </c>
      <c r="AB1793" t="str">
        <f t="shared" si="83"/>
        <v>Below average customer</v>
      </c>
    </row>
    <row r="1794" spans="1:28" x14ac:dyDescent="0.35">
      <c r="A1794">
        <v>6250</v>
      </c>
      <c r="B1794">
        <v>1949</v>
      </c>
      <c r="C1794" t="s">
        <v>36</v>
      </c>
      <c r="D1794" t="s">
        <v>32</v>
      </c>
      <c r="E1794" t="s">
        <v>38</v>
      </c>
      <c r="F1794">
        <v>54356</v>
      </c>
      <c r="G1794" t="str">
        <f t="shared" ref="G1794:G1857" si="84">IF(F1794&lt;=_xlfn.PERCENTILE.INC($F$2:$F$2056,0.25),"Low",IF(F1794&lt;=_xlfn.PERCENTILE.INC($F$2:$F$2056,0.5),"Mid-low",IF(F1794&lt;=_xlfn.PERCENTILE.INC($F$2:$F$2056,0.75),"Mid-high","High")))</f>
        <v>Mid-high</v>
      </c>
      <c r="H1794">
        <v>0</v>
      </c>
      <c r="I1794">
        <v>1</v>
      </c>
      <c r="J1794">
        <v>1</v>
      </c>
      <c r="K1794" s="1">
        <v>41232</v>
      </c>
      <c r="L1794">
        <v>62</v>
      </c>
      <c r="M1794" t="str">
        <f t="shared" ref="M1794:M1857" si="85">IF(L1794&gt;AVERAGE($L$2:$L$2056),"Inactive","Active")</f>
        <v>Inactive</v>
      </c>
      <c r="N1794">
        <v>0</v>
      </c>
      <c r="O1794">
        <v>710</v>
      </c>
      <c r="P1794">
        <v>15</v>
      </c>
      <c r="Q1794">
        <v>30</v>
      </c>
      <c r="R1794">
        <v>20</v>
      </c>
      <c r="S1794">
        <v>0</v>
      </c>
      <c r="T1794">
        <v>0</v>
      </c>
      <c r="U1794">
        <v>775</v>
      </c>
      <c r="V1794">
        <v>3</v>
      </c>
      <c r="W1794">
        <v>11</v>
      </c>
      <c r="X1794">
        <v>2</v>
      </c>
      <c r="Y1794">
        <v>8</v>
      </c>
      <c r="Z1794">
        <v>21</v>
      </c>
      <c r="AA1794">
        <v>8</v>
      </c>
      <c r="AB1794" t="str">
        <f t="shared" ref="AB1794:AB1857" si="86">IF(AND(Z1794&gt;AVERAGE($Z$2:$Z$2056),U1794&gt;AVERAGE($U$2:$U$2056),N1794=0,L1794&lt;AVERAGE($L$2:$L$2056),F1794&gt;AVERAGE($F$2:$F$2240)),"Above average customer","Below average customer")</f>
        <v>Below average customer</v>
      </c>
    </row>
    <row r="1795" spans="1:28" x14ac:dyDescent="0.35">
      <c r="A1795">
        <v>9291</v>
      </c>
      <c r="B1795">
        <v>1959</v>
      </c>
      <c r="C1795" t="s">
        <v>25</v>
      </c>
      <c r="D1795" t="s">
        <v>34</v>
      </c>
      <c r="E1795" t="s">
        <v>33</v>
      </c>
      <c r="F1795">
        <v>34242</v>
      </c>
      <c r="G1795" t="str">
        <f t="shared" si="84"/>
        <v>Low</v>
      </c>
      <c r="H1795">
        <v>0</v>
      </c>
      <c r="I1795">
        <v>1</v>
      </c>
      <c r="J1795">
        <v>1</v>
      </c>
      <c r="K1795" s="1">
        <v>41721</v>
      </c>
      <c r="L1795">
        <v>25</v>
      </c>
      <c r="M1795" t="str">
        <f t="shared" si="85"/>
        <v>Active</v>
      </c>
      <c r="N1795">
        <v>0</v>
      </c>
      <c r="O1795">
        <v>8</v>
      </c>
      <c r="P1795">
        <v>2</v>
      </c>
      <c r="Q1795">
        <v>4</v>
      </c>
      <c r="R1795">
        <v>0</v>
      </c>
      <c r="S1795">
        <v>0</v>
      </c>
      <c r="T1795">
        <v>1</v>
      </c>
      <c r="U1795">
        <v>15</v>
      </c>
      <c r="V1795">
        <v>1</v>
      </c>
      <c r="W1795">
        <v>0</v>
      </c>
      <c r="X1795">
        <v>0</v>
      </c>
      <c r="Y1795">
        <v>3</v>
      </c>
      <c r="Z1795">
        <v>3</v>
      </c>
      <c r="AA1795">
        <v>5</v>
      </c>
      <c r="AB1795" t="str">
        <f t="shared" si="86"/>
        <v>Below average customer</v>
      </c>
    </row>
    <row r="1796" spans="1:28" x14ac:dyDescent="0.35">
      <c r="A1796">
        <v>2478</v>
      </c>
      <c r="B1796">
        <v>1973</v>
      </c>
      <c r="C1796" t="s">
        <v>31</v>
      </c>
      <c r="D1796" t="s">
        <v>26</v>
      </c>
      <c r="E1796" t="s">
        <v>33</v>
      </c>
      <c r="F1796">
        <v>25410</v>
      </c>
      <c r="G1796" t="str">
        <f t="shared" si="84"/>
        <v>Low</v>
      </c>
      <c r="H1796">
        <v>1</v>
      </c>
      <c r="I1796">
        <v>0</v>
      </c>
      <c r="J1796">
        <v>1</v>
      </c>
      <c r="K1796" s="1">
        <v>41517</v>
      </c>
      <c r="L1796">
        <v>48</v>
      </c>
      <c r="M1796" t="str">
        <f t="shared" si="85"/>
        <v>Active</v>
      </c>
      <c r="N1796">
        <v>0</v>
      </c>
      <c r="O1796">
        <v>2</v>
      </c>
      <c r="P1796">
        <v>2</v>
      </c>
      <c r="Q1796">
        <v>4</v>
      </c>
      <c r="R1796">
        <v>13</v>
      </c>
      <c r="S1796">
        <v>13</v>
      </c>
      <c r="T1796">
        <v>4</v>
      </c>
      <c r="U1796">
        <v>38</v>
      </c>
      <c r="V1796">
        <v>1</v>
      </c>
      <c r="W1796">
        <v>1</v>
      </c>
      <c r="X1796">
        <v>0</v>
      </c>
      <c r="Y1796">
        <v>4</v>
      </c>
      <c r="Z1796">
        <v>5</v>
      </c>
      <c r="AA1796">
        <v>4</v>
      </c>
      <c r="AB1796" t="str">
        <f t="shared" si="86"/>
        <v>Below average customer</v>
      </c>
    </row>
    <row r="1797" spans="1:28" x14ac:dyDescent="0.35">
      <c r="A1797">
        <v>1139</v>
      </c>
      <c r="B1797">
        <v>1984</v>
      </c>
      <c r="C1797" t="s">
        <v>30</v>
      </c>
      <c r="D1797" t="s">
        <v>32</v>
      </c>
      <c r="E1797" t="s">
        <v>33</v>
      </c>
      <c r="F1797">
        <v>73356</v>
      </c>
      <c r="G1797" t="str">
        <f t="shared" si="84"/>
        <v>High</v>
      </c>
      <c r="H1797">
        <v>0</v>
      </c>
      <c r="I1797">
        <v>0</v>
      </c>
      <c r="J1797">
        <v>0</v>
      </c>
      <c r="K1797" s="1">
        <v>41676</v>
      </c>
      <c r="L1797">
        <v>56</v>
      </c>
      <c r="M1797" t="str">
        <f t="shared" si="85"/>
        <v>Inactive</v>
      </c>
      <c r="N1797">
        <v>0</v>
      </c>
      <c r="O1797">
        <v>1050</v>
      </c>
      <c r="P1797">
        <v>14</v>
      </c>
      <c r="Q1797">
        <v>322</v>
      </c>
      <c r="R1797">
        <v>0</v>
      </c>
      <c r="S1797">
        <v>14</v>
      </c>
      <c r="T1797">
        <v>112</v>
      </c>
      <c r="U1797">
        <v>1512</v>
      </c>
      <c r="V1797">
        <v>1</v>
      </c>
      <c r="W1797">
        <v>5</v>
      </c>
      <c r="X1797">
        <v>11</v>
      </c>
      <c r="Y1797">
        <v>5</v>
      </c>
      <c r="Z1797">
        <v>21</v>
      </c>
      <c r="AA1797">
        <v>2</v>
      </c>
      <c r="AB1797" t="str">
        <f t="shared" si="86"/>
        <v>Below average customer</v>
      </c>
    </row>
    <row r="1798" spans="1:28" x14ac:dyDescent="0.35">
      <c r="A1798">
        <v>5138</v>
      </c>
      <c r="B1798">
        <v>1950</v>
      </c>
      <c r="C1798" t="s">
        <v>36</v>
      </c>
      <c r="D1798" t="s">
        <v>26</v>
      </c>
      <c r="E1798" t="s">
        <v>29</v>
      </c>
      <c r="F1798">
        <v>28320</v>
      </c>
      <c r="G1798" t="str">
        <f t="shared" si="84"/>
        <v>Low</v>
      </c>
      <c r="H1798">
        <v>0</v>
      </c>
      <c r="I1798">
        <v>1</v>
      </c>
      <c r="J1798">
        <v>1</v>
      </c>
      <c r="K1798" s="1">
        <v>41288</v>
      </c>
      <c r="L1798">
        <v>68</v>
      </c>
      <c r="M1798" t="str">
        <f t="shared" si="85"/>
        <v>Inactive</v>
      </c>
      <c r="N1798">
        <v>0</v>
      </c>
      <c r="O1798">
        <v>19</v>
      </c>
      <c r="P1798">
        <v>1</v>
      </c>
      <c r="Q1798">
        <v>14</v>
      </c>
      <c r="R1798">
        <v>3</v>
      </c>
      <c r="S1798">
        <v>2</v>
      </c>
      <c r="T1798">
        <v>4</v>
      </c>
      <c r="U1798">
        <v>43</v>
      </c>
      <c r="V1798">
        <v>1</v>
      </c>
      <c r="W1798">
        <v>1</v>
      </c>
      <c r="X1798">
        <v>0</v>
      </c>
      <c r="Y1798">
        <v>3</v>
      </c>
      <c r="Z1798">
        <v>4</v>
      </c>
      <c r="AA1798">
        <v>8</v>
      </c>
      <c r="AB1798" t="str">
        <f t="shared" si="86"/>
        <v>Below average customer</v>
      </c>
    </row>
    <row r="1799" spans="1:28" x14ac:dyDescent="0.35">
      <c r="A1799">
        <v>5393</v>
      </c>
      <c r="B1799">
        <v>1977</v>
      </c>
      <c r="C1799" t="s">
        <v>31</v>
      </c>
      <c r="D1799" t="s">
        <v>26</v>
      </c>
      <c r="E1799" t="s">
        <v>27</v>
      </c>
      <c r="F1799">
        <v>23763</v>
      </c>
      <c r="G1799" t="str">
        <f t="shared" si="84"/>
        <v>Low</v>
      </c>
      <c r="H1799">
        <v>1</v>
      </c>
      <c r="I1799">
        <v>0</v>
      </c>
      <c r="J1799">
        <v>1</v>
      </c>
      <c r="K1799" s="1">
        <v>41128</v>
      </c>
      <c r="L1799">
        <v>64</v>
      </c>
      <c r="M1799" t="str">
        <f t="shared" si="85"/>
        <v>Inactive</v>
      </c>
      <c r="N1799">
        <v>0</v>
      </c>
      <c r="O1799">
        <v>22</v>
      </c>
      <c r="P1799">
        <v>0</v>
      </c>
      <c r="Q1799">
        <v>6</v>
      </c>
      <c r="R1799">
        <v>6</v>
      </c>
      <c r="S1799">
        <v>2</v>
      </c>
      <c r="T1799">
        <v>6</v>
      </c>
      <c r="U1799">
        <v>42</v>
      </c>
      <c r="V1799">
        <v>1</v>
      </c>
      <c r="W1799">
        <v>1</v>
      </c>
      <c r="X1799">
        <v>0</v>
      </c>
      <c r="Y1799">
        <v>3</v>
      </c>
      <c r="Z1799">
        <v>4</v>
      </c>
      <c r="AA1799">
        <v>7</v>
      </c>
      <c r="AB1799" t="str">
        <f t="shared" si="86"/>
        <v>Below average customer</v>
      </c>
    </row>
    <row r="1800" spans="1:28" x14ac:dyDescent="0.35">
      <c r="A1800">
        <v>10413</v>
      </c>
      <c r="B1800">
        <v>1984</v>
      </c>
      <c r="C1800" t="s">
        <v>30</v>
      </c>
      <c r="D1800" t="s">
        <v>26</v>
      </c>
      <c r="E1800" t="s">
        <v>33</v>
      </c>
      <c r="F1800">
        <v>72570</v>
      </c>
      <c r="G1800" t="str">
        <f t="shared" si="84"/>
        <v>High</v>
      </c>
      <c r="H1800">
        <v>0</v>
      </c>
      <c r="I1800">
        <v>0</v>
      </c>
      <c r="J1800">
        <v>0</v>
      </c>
      <c r="K1800" s="1">
        <v>41754</v>
      </c>
      <c r="L1800">
        <v>67</v>
      </c>
      <c r="M1800" t="str">
        <f t="shared" si="85"/>
        <v>Inactive</v>
      </c>
      <c r="N1800">
        <v>0</v>
      </c>
      <c r="O1800">
        <v>274</v>
      </c>
      <c r="P1800">
        <v>83</v>
      </c>
      <c r="Q1800">
        <v>216</v>
      </c>
      <c r="R1800">
        <v>151</v>
      </c>
      <c r="S1800">
        <v>141</v>
      </c>
      <c r="T1800">
        <v>224</v>
      </c>
      <c r="U1800">
        <v>1089</v>
      </c>
      <c r="V1800">
        <v>1</v>
      </c>
      <c r="W1800">
        <v>4</v>
      </c>
      <c r="X1800">
        <v>6</v>
      </c>
      <c r="Y1800">
        <v>12</v>
      </c>
      <c r="Z1800">
        <v>22</v>
      </c>
      <c r="AA1800">
        <v>1</v>
      </c>
      <c r="AB1800" t="str">
        <f t="shared" si="86"/>
        <v>Below average customer</v>
      </c>
    </row>
    <row r="1801" spans="1:28" x14ac:dyDescent="0.35">
      <c r="A1801">
        <v>5015</v>
      </c>
      <c r="B1801">
        <v>1976</v>
      </c>
      <c r="C1801" t="s">
        <v>31</v>
      </c>
      <c r="D1801" t="s">
        <v>34</v>
      </c>
      <c r="E1801" t="s">
        <v>33</v>
      </c>
      <c r="F1801">
        <v>34529</v>
      </c>
      <c r="G1801" t="str">
        <f t="shared" si="84"/>
        <v>Low</v>
      </c>
      <c r="H1801">
        <v>1</v>
      </c>
      <c r="I1801">
        <v>0</v>
      </c>
      <c r="J1801">
        <v>1</v>
      </c>
      <c r="K1801" s="1">
        <v>41166</v>
      </c>
      <c r="L1801">
        <v>94</v>
      </c>
      <c r="M1801" t="str">
        <f t="shared" si="85"/>
        <v>Inactive</v>
      </c>
      <c r="N1801">
        <v>0</v>
      </c>
      <c r="O1801">
        <v>68</v>
      </c>
      <c r="P1801">
        <v>6</v>
      </c>
      <c r="Q1801">
        <v>38</v>
      </c>
      <c r="R1801">
        <v>3</v>
      </c>
      <c r="S1801">
        <v>6</v>
      </c>
      <c r="T1801">
        <v>41</v>
      </c>
      <c r="U1801">
        <v>162</v>
      </c>
      <c r="V1801">
        <v>2</v>
      </c>
      <c r="W1801">
        <v>2</v>
      </c>
      <c r="X1801">
        <v>2</v>
      </c>
      <c r="Y1801">
        <v>3</v>
      </c>
      <c r="Z1801">
        <v>7</v>
      </c>
      <c r="AA1801">
        <v>7</v>
      </c>
      <c r="AB1801" t="str">
        <f t="shared" si="86"/>
        <v>Below average customer</v>
      </c>
    </row>
    <row r="1802" spans="1:28" x14ac:dyDescent="0.35">
      <c r="A1802">
        <v>10868</v>
      </c>
      <c r="B1802">
        <v>1951</v>
      </c>
      <c r="C1802" t="s">
        <v>36</v>
      </c>
      <c r="D1802" t="s">
        <v>26</v>
      </c>
      <c r="E1802" t="s">
        <v>38</v>
      </c>
      <c r="F1802">
        <v>70792</v>
      </c>
      <c r="G1802" t="str">
        <f t="shared" si="84"/>
        <v>High</v>
      </c>
      <c r="H1802">
        <v>0</v>
      </c>
      <c r="I1802">
        <v>0</v>
      </c>
      <c r="J1802">
        <v>0</v>
      </c>
      <c r="K1802" s="1">
        <v>41311</v>
      </c>
      <c r="L1802">
        <v>82</v>
      </c>
      <c r="M1802" t="str">
        <f t="shared" si="85"/>
        <v>Inactive</v>
      </c>
      <c r="N1802">
        <v>0</v>
      </c>
      <c r="O1802">
        <v>344</v>
      </c>
      <c r="P1802">
        <v>45</v>
      </c>
      <c r="Q1802">
        <v>654</v>
      </c>
      <c r="R1802">
        <v>104</v>
      </c>
      <c r="S1802">
        <v>11</v>
      </c>
      <c r="T1802">
        <v>114</v>
      </c>
      <c r="U1802">
        <v>1272</v>
      </c>
      <c r="V1802">
        <v>2</v>
      </c>
      <c r="W1802">
        <v>3</v>
      </c>
      <c r="X1802">
        <v>4</v>
      </c>
      <c r="Y1802">
        <v>10</v>
      </c>
      <c r="Z1802">
        <v>17</v>
      </c>
      <c r="AA1802">
        <v>3</v>
      </c>
      <c r="AB1802" t="str">
        <f t="shared" si="86"/>
        <v>Below average customer</v>
      </c>
    </row>
    <row r="1803" spans="1:28" x14ac:dyDescent="0.35">
      <c r="A1803">
        <v>10676</v>
      </c>
      <c r="B1803">
        <v>1982</v>
      </c>
      <c r="C1803" t="s">
        <v>31</v>
      </c>
      <c r="D1803" t="s">
        <v>26</v>
      </c>
      <c r="E1803" t="s">
        <v>33</v>
      </c>
      <c r="F1803">
        <v>63211</v>
      </c>
      <c r="G1803" t="str">
        <f t="shared" si="84"/>
        <v>Mid-high</v>
      </c>
      <c r="H1803">
        <v>0</v>
      </c>
      <c r="I1803">
        <v>0</v>
      </c>
      <c r="J1803">
        <v>0</v>
      </c>
      <c r="K1803" s="1">
        <v>41215</v>
      </c>
      <c r="L1803">
        <v>3</v>
      </c>
      <c r="M1803" t="str">
        <f t="shared" si="85"/>
        <v>Active</v>
      </c>
      <c r="N1803">
        <v>0</v>
      </c>
      <c r="O1803">
        <v>145</v>
      </c>
      <c r="P1803">
        <v>193</v>
      </c>
      <c r="Q1803">
        <v>459</v>
      </c>
      <c r="R1803">
        <v>205</v>
      </c>
      <c r="S1803">
        <v>26</v>
      </c>
      <c r="T1803">
        <v>145</v>
      </c>
      <c r="U1803">
        <v>1173</v>
      </c>
      <c r="V1803">
        <v>2</v>
      </c>
      <c r="W1803">
        <v>3</v>
      </c>
      <c r="X1803">
        <v>8</v>
      </c>
      <c r="Y1803">
        <v>7</v>
      </c>
      <c r="Z1803">
        <v>18</v>
      </c>
      <c r="AA1803">
        <v>2</v>
      </c>
      <c r="AB1803" t="str">
        <f t="shared" si="86"/>
        <v>Above average customer</v>
      </c>
    </row>
    <row r="1804" spans="1:28" x14ac:dyDescent="0.35">
      <c r="A1804">
        <v>2495</v>
      </c>
      <c r="B1804">
        <v>1974</v>
      </c>
      <c r="C1804" t="s">
        <v>31</v>
      </c>
      <c r="D1804" t="s">
        <v>34</v>
      </c>
      <c r="E1804" t="s">
        <v>33</v>
      </c>
      <c r="F1804">
        <v>83891</v>
      </c>
      <c r="G1804" t="str">
        <f t="shared" si="84"/>
        <v>High</v>
      </c>
      <c r="H1804">
        <v>0</v>
      </c>
      <c r="I1804">
        <v>1</v>
      </c>
      <c r="J1804">
        <v>1</v>
      </c>
      <c r="K1804" s="1">
        <v>41810</v>
      </c>
      <c r="L1804">
        <v>24</v>
      </c>
      <c r="M1804" t="str">
        <f t="shared" si="85"/>
        <v>Active</v>
      </c>
      <c r="N1804">
        <v>0</v>
      </c>
      <c r="O1804">
        <v>217</v>
      </c>
      <c r="P1804">
        <v>38</v>
      </c>
      <c r="Q1804">
        <v>350</v>
      </c>
      <c r="R1804">
        <v>111</v>
      </c>
      <c r="S1804">
        <v>85</v>
      </c>
      <c r="T1804">
        <v>15</v>
      </c>
      <c r="U1804">
        <v>816</v>
      </c>
      <c r="V1804">
        <v>1</v>
      </c>
      <c r="W1804">
        <v>4</v>
      </c>
      <c r="X1804">
        <v>7</v>
      </c>
      <c r="Y1804">
        <v>10</v>
      </c>
      <c r="Z1804">
        <v>21</v>
      </c>
      <c r="AA1804">
        <v>1</v>
      </c>
      <c r="AB1804" t="str">
        <f t="shared" si="86"/>
        <v>Above average customer</v>
      </c>
    </row>
    <row r="1805" spans="1:28" x14ac:dyDescent="0.35">
      <c r="A1805">
        <v>7842</v>
      </c>
      <c r="B1805">
        <v>1968</v>
      </c>
      <c r="C1805" t="s">
        <v>28</v>
      </c>
      <c r="D1805" t="s">
        <v>26</v>
      </c>
      <c r="E1805" t="s">
        <v>27</v>
      </c>
      <c r="F1805">
        <v>36065</v>
      </c>
      <c r="G1805" t="str">
        <f t="shared" si="84"/>
        <v>Mid-low</v>
      </c>
      <c r="H1805">
        <v>1</v>
      </c>
      <c r="I1805">
        <v>1</v>
      </c>
      <c r="J1805">
        <v>2</v>
      </c>
      <c r="K1805" s="1">
        <v>41364</v>
      </c>
      <c r="L1805">
        <v>54</v>
      </c>
      <c r="M1805" t="str">
        <f t="shared" si="85"/>
        <v>Inactive</v>
      </c>
      <c r="N1805">
        <v>0</v>
      </c>
      <c r="O1805">
        <v>18</v>
      </c>
      <c r="P1805">
        <v>7</v>
      </c>
      <c r="Q1805">
        <v>34</v>
      </c>
      <c r="R1805">
        <v>10</v>
      </c>
      <c r="S1805">
        <v>2</v>
      </c>
      <c r="T1805">
        <v>3</v>
      </c>
      <c r="U1805">
        <v>74</v>
      </c>
      <c r="V1805">
        <v>3</v>
      </c>
      <c r="W1805">
        <v>3</v>
      </c>
      <c r="X1805">
        <v>0</v>
      </c>
      <c r="Y1805">
        <v>3</v>
      </c>
      <c r="Z1805">
        <v>6</v>
      </c>
      <c r="AA1805">
        <v>8</v>
      </c>
      <c r="AB1805" t="str">
        <f t="shared" si="86"/>
        <v>Below average customer</v>
      </c>
    </row>
    <row r="1806" spans="1:28" x14ac:dyDescent="0.35">
      <c r="A1806">
        <v>6663</v>
      </c>
      <c r="B1806">
        <v>1940</v>
      </c>
      <c r="C1806" t="s">
        <v>25</v>
      </c>
      <c r="D1806" t="s">
        <v>32</v>
      </c>
      <c r="E1806" t="s">
        <v>27</v>
      </c>
      <c r="F1806">
        <v>51141</v>
      </c>
      <c r="G1806" t="str">
        <f t="shared" si="84"/>
        <v>Mid-low</v>
      </c>
      <c r="H1806">
        <v>0</v>
      </c>
      <c r="I1806">
        <v>0</v>
      </c>
      <c r="J1806">
        <v>0</v>
      </c>
      <c r="K1806" s="1">
        <v>41463</v>
      </c>
      <c r="L1806">
        <v>96</v>
      </c>
      <c r="M1806" t="str">
        <f t="shared" si="85"/>
        <v>Inactive</v>
      </c>
      <c r="N1806">
        <v>0</v>
      </c>
      <c r="O1806">
        <v>144</v>
      </c>
      <c r="P1806">
        <v>0</v>
      </c>
      <c r="Q1806">
        <v>7</v>
      </c>
      <c r="R1806">
        <v>0</v>
      </c>
      <c r="S1806">
        <v>0</v>
      </c>
      <c r="T1806">
        <v>6</v>
      </c>
      <c r="U1806">
        <v>157</v>
      </c>
      <c r="V1806">
        <v>1</v>
      </c>
      <c r="W1806">
        <v>3</v>
      </c>
      <c r="X1806">
        <v>1</v>
      </c>
      <c r="Y1806">
        <v>4</v>
      </c>
      <c r="Z1806">
        <v>8</v>
      </c>
      <c r="AA1806">
        <v>5</v>
      </c>
      <c r="AB1806" t="str">
        <f t="shared" si="86"/>
        <v>Below average customer</v>
      </c>
    </row>
    <row r="1807" spans="1:28" x14ac:dyDescent="0.35">
      <c r="A1807">
        <v>2162</v>
      </c>
      <c r="B1807">
        <v>1976</v>
      </c>
      <c r="C1807" t="s">
        <v>31</v>
      </c>
      <c r="D1807" t="s">
        <v>26</v>
      </c>
      <c r="E1807" t="s">
        <v>33</v>
      </c>
      <c r="F1807">
        <v>56939</v>
      </c>
      <c r="G1807" t="str">
        <f t="shared" si="84"/>
        <v>Mid-high</v>
      </c>
      <c r="H1807">
        <v>0</v>
      </c>
      <c r="I1807">
        <v>1</v>
      </c>
      <c r="J1807">
        <v>1</v>
      </c>
      <c r="K1807" s="1">
        <v>41535</v>
      </c>
      <c r="L1807">
        <v>19</v>
      </c>
      <c r="M1807" t="str">
        <f t="shared" si="85"/>
        <v>Active</v>
      </c>
      <c r="N1807">
        <v>0</v>
      </c>
      <c r="O1807">
        <v>256</v>
      </c>
      <c r="P1807">
        <v>34</v>
      </c>
      <c r="Q1807">
        <v>103</v>
      </c>
      <c r="R1807">
        <v>90</v>
      </c>
      <c r="S1807">
        <v>29</v>
      </c>
      <c r="T1807">
        <v>49</v>
      </c>
      <c r="U1807">
        <v>561</v>
      </c>
      <c r="V1807">
        <v>2</v>
      </c>
      <c r="W1807">
        <v>3</v>
      </c>
      <c r="X1807">
        <v>3</v>
      </c>
      <c r="Y1807">
        <v>10</v>
      </c>
      <c r="Z1807">
        <v>16</v>
      </c>
      <c r="AA1807">
        <v>3</v>
      </c>
      <c r="AB1807" t="str">
        <f t="shared" si="86"/>
        <v>Below average customer</v>
      </c>
    </row>
    <row r="1808" spans="1:28" x14ac:dyDescent="0.35">
      <c r="A1808">
        <v>3434</v>
      </c>
      <c r="B1808">
        <v>1951</v>
      </c>
      <c r="C1808" t="s">
        <v>36</v>
      </c>
      <c r="D1808" t="s">
        <v>26</v>
      </c>
      <c r="E1808" t="s">
        <v>27</v>
      </c>
      <c r="F1808">
        <v>80872</v>
      </c>
      <c r="G1808" t="str">
        <f t="shared" si="84"/>
        <v>High</v>
      </c>
      <c r="H1808">
        <v>0</v>
      </c>
      <c r="I1808">
        <v>0</v>
      </c>
      <c r="J1808">
        <v>0</v>
      </c>
      <c r="K1808" s="1">
        <v>41771</v>
      </c>
      <c r="L1808">
        <v>60</v>
      </c>
      <c r="M1808" t="str">
        <f t="shared" si="85"/>
        <v>Inactive</v>
      </c>
      <c r="N1808">
        <v>0</v>
      </c>
      <c r="O1808">
        <v>483</v>
      </c>
      <c r="P1808">
        <v>72</v>
      </c>
      <c r="Q1808">
        <v>567</v>
      </c>
      <c r="R1808">
        <v>94</v>
      </c>
      <c r="S1808">
        <v>12</v>
      </c>
      <c r="T1808">
        <v>108</v>
      </c>
      <c r="U1808">
        <v>1336</v>
      </c>
      <c r="V1808">
        <v>1</v>
      </c>
      <c r="W1808">
        <v>4</v>
      </c>
      <c r="X1808">
        <v>4</v>
      </c>
      <c r="Y1808">
        <v>10</v>
      </c>
      <c r="Z1808">
        <v>18</v>
      </c>
      <c r="AA1808">
        <v>1</v>
      </c>
      <c r="AB1808" t="str">
        <f t="shared" si="86"/>
        <v>Below average customer</v>
      </c>
    </row>
    <row r="1809" spans="1:28" x14ac:dyDescent="0.35">
      <c r="A1809">
        <v>7919</v>
      </c>
      <c r="B1809">
        <v>1976</v>
      </c>
      <c r="C1809" t="s">
        <v>31</v>
      </c>
      <c r="D1809" t="s">
        <v>32</v>
      </c>
      <c r="E1809" t="s">
        <v>29</v>
      </c>
      <c r="F1809">
        <v>72335</v>
      </c>
      <c r="G1809" t="str">
        <f t="shared" si="84"/>
        <v>High</v>
      </c>
      <c r="H1809">
        <v>0</v>
      </c>
      <c r="I1809">
        <v>0</v>
      </c>
      <c r="J1809">
        <v>0</v>
      </c>
      <c r="K1809" s="1">
        <v>41134</v>
      </c>
      <c r="L1809">
        <v>2</v>
      </c>
      <c r="M1809" t="str">
        <f t="shared" si="85"/>
        <v>Active</v>
      </c>
      <c r="N1809">
        <v>0</v>
      </c>
      <c r="O1809">
        <v>1285</v>
      </c>
      <c r="P1809">
        <v>105</v>
      </c>
      <c r="Q1809">
        <v>653</v>
      </c>
      <c r="R1809">
        <v>28</v>
      </c>
      <c r="S1809">
        <v>21</v>
      </c>
      <c r="T1809">
        <v>0</v>
      </c>
      <c r="U1809">
        <v>2092</v>
      </c>
      <c r="V1809">
        <v>1</v>
      </c>
      <c r="W1809">
        <v>10</v>
      </c>
      <c r="X1809">
        <v>4</v>
      </c>
      <c r="Y1809">
        <v>8</v>
      </c>
      <c r="Z1809">
        <v>22</v>
      </c>
      <c r="AA1809">
        <v>8</v>
      </c>
      <c r="AB1809" t="str">
        <f t="shared" si="86"/>
        <v>Above average customer</v>
      </c>
    </row>
    <row r="1810" spans="1:28" x14ac:dyDescent="0.35">
      <c r="A1810">
        <v>5626</v>
      </c>
      <c r="B1810">
        <v>1964</v>
      </c>
      <c r="C1810" t="s">
        <v>28</v>
      </c>
      <c r="D1810" t="s">
        <v>32</v>
      </c>
      <c r="E1810" t="s">
        <v>27</v>
      </c>
      <c r="F1810">
        <v>61798</v>
      </c>
      <c r="G1810" t="str">
        <f t="shared" si="84"/>
        <v>Mid-high</v>
      </c>
      <c r="H1810">
        <v>0</v>
      </c>
      <c r="I1810">
        <v>0</v>
      </c>
      <c r="J1810">
        <v>0</v>
      </c>
      <c r="K1810" s="1">
        <v>41601</v>
      </c>
      <c r="L1810">
        <v>13</v>
      </c>
      <c r="M1810" t="str">
        <f t="shared" si="85"/>
        <v>Active</v>
      </c>
      <c r="N1810">
        <v>0</v>
      </c>
      <c r="O1810">
        <v>338</v>
      </c>
      <c r="P1810">
        <v>4</v>
      </c>
      <c r="Q1810">
        <v>89</v>
      </c>
      <c r="R1810">
        <v>11</v>
      </c>
      <c r="S1810">
        <v>8</v>
      </c>
      <c r="T1810">
        <v>13</v>
      </c>
      <c r="U1810">
        <v>463</v>
      </c>
      <c r="V1810">
        <v>1</v>
      </c>
      <c r="W1810">
        <v>4</v>
      </c>
      <c r="X1810">
        <v>2</v>
      </c>
      <c r="Y1810">
        <v>9</v>
      </c>
      <c r="Z1810">
        <v>15</v>
      </c>
      <c r="AA1810">
        <v>4</v>
      </c>
      <c r="AB1810" t="str">
        <f t="shared" si="86"/>
        <v>Below average customer</v>
      </c>
    </row>
    <row r="1811" spans="1:28" x14ac:dyDescent="0.35">
      <c r="A1811">
        <v>6428</v>
      </c>
      <c r="B1811">
        <v>1950</v>
      </c>
      <c r="C1811" t="s">
        <v>36</v>
      </c>
      <c r="D1811" t="s">
        <v>32</v>
      </c>
      <c r="E1811" t="s">
        <v>38</v>
      </c>
      <c r="F1811">
        <v>76842</v>
      </c>
      <c r="G1811" t="str">
        <f t="shared" si="84"/>
        <v>High</v>
      </c>
      <c r="H1811">
        <v>0</v>
      </c>
      <c r="I1811">
        <v>0</v>
      </c>
      <c r="J1811">
        <v>0</v>
      </c>
      <c r="K1811" s="1">
        <v>41762</v>
      </c>
      <c r="L1811">
        <v>37</v>
      </c>
      <c r="M1811" t="str">
        <f t="shared" si="85"/>
        <v>Active</v>
      </c>
      <c r="N1811">
        <v>0</v>
      </c>
      <c r="O1811">
        <v>605</v>
      </c>
      <c r="P1811">
        <v>10</v>
      </c>
      <c r="Q1811">
        <v>345</v>
      </c>
      <c r="R1811">
        <v>84</v>
      </c>
      <c r="S1811">
        <v>54</v>
      </c>
      <c r="T1811">
        <v>32</v>
      </c>
      <c r="U1811">
        <v>1130</v>
      </c>
      <c r="V1811">
        <v>1</v>
      </c>
      <c r="W1811">
        <v>1</v>
      </c>
      <c r="X1811">
        <v>8</v>
      </c>
      <c r="Y1811">
        <v>7</v>
      </c>
      <c r="Z1811">
        <v>16</v>
      </c>
      <c r="AA1811">
        <v>0</v>
      </c>
      <c r="AB1811" t="str">
        <f t="shared" si="86"/>
        <v>Above average customer</v>
      </c>
    </row>
    <row r="1812" spans="1:28" x14ac:dyDescent="0.35">
      <c r="A1812">
        <v>8514</v>
      </c>
      <c r="B1812">
        <v>1976</v>
      </c>
      <c r="C1812" t="s">
        <v>31</v>
      </c>
      <c r="D1812" t="s">
        <v>26</v>
      </c>
      <c r="E1812" t="s">
        <v>29</v>
      </c>
      <c r="F1812">
        <v>29478</v>
      </c>
      <c r="G1812" t="str">
        <f t="shared" si="84"/>
        <v>Low</v>
      </c>
      <c r="H1812">
        <v>1</v>
      </c>
      <c r="I1812">
        <v>0</v>
      </c>
      <c r="J1812">
        <v>1</v>
      </c>
      <c r="K1812" s="1">
        <v>41656</v>
      </c>
      <c r="L1812">
        <v>59</v>
      </c>
      <c r="M1812" t="str">
        <f t="shared" si="85"/>
        <v>Inactive</v>
      </c>
      <c r="N1812">
        <v>0</v>
      </c>
      <c r="O1812">
        <v>8</v>
      </c>
      <c r="P1812">
        <v>0</v>
      </c>
      <c r="Q1812">
        <v>7</v>
      </c>
      <c r="R1812">
        <v>3</v>
      </c>
      <c r="S1812">
        <v>1</v>
      </c>
      <c r="T1812">
        <v>1</v>
      </c>
      <c r="U1812">
        <v>20</v>
      </c>
      <c r="V1812">
        <v>1</v>
      </c>
      <c r="W1812">
        <v>1</v>
      </c>
      <c r="X1812">
        <v>0</v>
      </c>
      <c r="Y1812">
        <v>3</v>
      </c>
      <c r="Z1812">
        <v>4</v>
      </c>
      <c r="AA1812">
        <v>6</v>
      </c>
      <c r="AB1812" t="str">
        <f t="shared" si="86"/>
        <v>Below average customer</v>
      </c>
    </row>
    <row r="1813" spans="1:28" x14ac:dyDescent="0.35">
      <c r="A1813">
        <v>10448</v>
      </c>
      <c r="B1813">
        <v>1956</v>
      </c>
      <c r="C1813" t="s">
        <v>25</v>
      </c>
      <c r="D1813" t="s">
        <v>26</v>
      </c>
      <c r="E1813" t="s">
        <v>27</v>
      </c>
      <c r="F1813">
        <v>46998</v>
      </c>
      <c r="G1813" t="str">
        <f t="shared" si="84"/>
        <v>Mid-low</v>
      </c>
      <c r="H1813">
        <v>0</v>
      </c>
      <c r="I1813">
        <v>1</v>
      </c>
      <c r="J1813">
        <v>1</v>
      </c>
      <c r="K1813" s="1">
        <v>41204</v>
      </c>
      <c r="L1813">
        <v>55</v>
      </c>
      <c r="M1813" t="str">
        <f t="shared" si="85"/>
        <v>Inactive</v>
      </c>
      <c r="N1813">
        <v>0</v>
      </c>
      <c r="O1813">
        <v>172</v>
      </c>
      <c r="P1813">
        <v>41</v>
      </c>
      <c r="Q1813">
        <v>86</v>
      </c>
      <c r="R1813">
        <v>45</v>
      </c>
      <c r="S1813">
        <v>6</v>
      </c>
      <c r="T1813">
        <v>27</v>
      </c>
      <c r="U1813">
        <v>377</v>
      </c>
      <c r="V1813">
        <v>5</v>
      </c>
      <c r="W1813">
        <v>5</v>
      </c>
      <c r="X1813">
        <v>3</v>
      </c>
      <c r="Y1813">
        <v>5</v>
      </c>
      <c r="Z1813">
        <v>13</v>
      </c>
      <c r="AA1813">
        <v>7</v>
      </c>
      <c r="AB1813" t="str">
        <f t="shared" si="86"/>
        <v>Below average customer</v>
      </c>
    </row>
    <row r="1814" spans="1:28" x14ac:dyDescent="0.35">
      <c r="A1814">
        <v>2109</v>
      </c>
      <c r="B1814">
        <v>1990</v>
      </c>
      <c r="C1814" t="s">
        <v>30</v>
      </c>
      <c r="D1814" t="s">
        <v>26</v>
      </c>
      <c r="E1814" t="s">
        <v>27</v>
      </c>
      <c r="F1814">
        <v>96843</v>
      </c>
      <c r="G1814" t="str">
        <f t="shared" si="84"/>
        <v>High</v>
      </c>
      <c r="H1814">
        <v>0</v>
      </c>
      <c r="I1814">
        <v>0</v>
      </c>
      <c r="J1814">
        <v>0</v>
      </c>
      <c r="K1814" s="1">
        <v>41387</v>
      </c>
      <c r="L1814">
        <v>60</v>
      </c>
      <c r="M1814" t="str">
        <f t="shared" si="85"/>
        <v>Inactive</v>
      </c>
      <c r="N1814">
        <v>0</v>
      </c>
      <c r="O1814">
        <v>448</v>
      </c>
      <c r="P1814">
        <v>71</v>
      </c>
      <c r="Q1814">
        <v>951</v>
      </c>
      <c r="R1814">
        <v>40</v>
      </c>
      <c r="S1814">
        <v>17</v>
      </c>
      <c r="T1814">
        <v>17</v>
      </c>
      <c r="U1814">
        <v>1544</v>
      </c>
      <c r="V1814">
        <v>1</v>
      </c>
      <c r="W1814">
        <v>6</v>
      </c>
      <c r="X1814">
        <v>11</v>
      </c>
      <c r="Y1814">
        <v>10</v>
      </c>
      <c r="Z1814">
        <v>27</v>
      </c>
      <c r="AA1814">
        <v>2</v>
      </c>
      <c r="AB1814" t="str">
        <f t="shared" si="86"/>
        <v>Below average customer</v>
      </c>
    </row>
    <row r="1815" spans="1:28" x14ac:dyDescent="0.35">
      <c r="A1815">
        <v>8925</v>
      </c>
      <c r="B1815">
        <v>1965</v>
      </c>
      <c r="C1815" t="s">
        <v>28</v>
      </c>
      <c r="D1815" t="s">
        <v>34</v>
      </c>
      <c r="E1815" t="s">
        <v>33</v>
      </c>
      <c r="F1815">
        <v>70053</v>
      </c>
      <c r="G1815" t="str">
        <f t="shared" si="84"/>
        <v>High</v>
      </c>
      <c r="H1815">
        <v>0</v>
      </c>
      <c r="I1815">
        <v>1</v>
      </c>
      <c r="J1815">
        <v>1</v>
      </c>
      <c r="K1815" s="1">
        <v>41458</v>
      </c>
      <c r="L1815">
        <v>38</v>
      </c>
      <c r="M1815" t="str">
        <f t="shared" si="85"/>
        <v>Active</v>
      </c>
      <c r="N1815">
        <v>0</v>
      </c>
      <c r="O1815">
        <v>512</v>
      </c>
      <c r="P1815">
        <v>53</v>
      </c>
      <c r="Q1815">
        <v>98</v>
      </c>
      <c r="R1815">
        <v>81</v>
      </c>
      <c r="S1815">
        <v>179</v>
      </c>
      <c r="T1815">
        <v>89</v>
      </c>
      <c r="U1815">
        <v>1012</v>
      </c>
      <c r="V1815">
        <v>3</v>
      </c>
      <c r="W1815">
        <v>8</v>
      </c>
      <c r="X1815">
        <v>5</v>
      </c>
      <c r="Y1815">
        <v>10</v>
      </c>
      <c r="Z1815">
        <v>23</v>
      </c>
      <c r="AA1815">
        <v>5</v>
      </c>
      <c r="AB1815" t="str">
        <f t="shared" si="86"/>
        <v>Above average customer</v>
      </c>
    </row>
    <row r="1816" spans="1:28" x14ac:dyDescent="0.35">
      <c r="A1816">
        <v>3009</v>
      </c>
      <c r="B1816">
        <v>1962</v>
      </c>
      <c r="C1816" t="s">
        <v>25</v>
      </c>
      <c r="D1816" t="s">
        <v>32</v>
      </c>
      <c r="E1816" t="s">
        <v>38</v>
      </c>
      <c r="F1816">
        <v>71670</v>
      </c>
      <c r="G1816" t="str">
        <f t="shared" si="84"/>
        <v>High</v>
      </c>
      <c r="H1816">
        <v>0</v>
      </c>
      <c r="I1816">
        <v>0</v>
      </c>
      <c r="J1816">
        <v>0</v>
      </c>
      <c r="K1816" s="1">
        <v>41464</v>
      </c>
      <c r="L1816">
        <v>8</v>
      </c>
      <c r="M1816" t="str">
        <f t="shared" si="85"/>
        <v>Active</v>
      </c>
      <c r="N1816">
        <v>0</v>
      </c>
      <c r="O1816">
        <v>1462</v>
      </c>
      <c r="P1816">
        <v>16</v>
      </c>
      <c r="Q1816">
        <v>128</v>
      </c>
      <c r="R1816">
        <v>0</v>
      </c>
      <c r="S1816">
        <v>0</v>
      </c>
      <c r="T1816">
        <v>160</v>
      </c>
      <c r="U1816">
        <v>1766</v>
      </c>
      <c r="V1816">
        <v>1</v>
      </c>
      <c r="W1816">
        <v>5</v>
      </c>
      <c r="X1816">
        <v>3</v>
      </c>
      <c r="Y1816">
        <v>6</v>
      </c>
      <c r="Z1816">
        <v>14</v>
      </c>
      <c r="AA1816">
        <v>6</v>
      </c>
      <c r="AB1816" t="str">
        <f t="shared" si="86"/>
        <v>Above average customer</v>
      </c>
    </row>
    <row r="1817" spans="1:28" x14ac:dyDescent="0.35">
      <c r="A1817">
        <v>6355</v>
      </c>
      <c r="B1817">
        <v>1978</v>
      </c>
      <c r="C1817" t="s">
        <v>31</v>
      </c>
      <c r="D1817" t="s">
        <v>26</v>
      </c>
      <c r="E1817" t="s">
        <v>33</v>
      </c>
      <c r="F1817">
        <v>44359</v>
      </c>
      <c r="G1817" t="str">
        <f t="shared" si="84"/>
        <v>Mid-low</v>
      </c>
      <c r="H1817">
        <v>1</v>
      </c>
      <c r="I1817">
        <v>1</v>
      </c>
      <c r="J1817">
        <v>2</v>
      </c>
      <c r="K1817" s="1">
        <v>41807</v>
      </c>
      <c r="L1817">
        <v>19</v>
      </c>
      <c r="M1817" t="str">
        <f t="shared" si="85"/>
        <v>Active</v>
      </c>
      <c r="N1817">
        <v>0</v>
      </c>
      <c r="O1817">
        <v>20</v>
      </c>
      <c r="P1817">
        <v>0</v>
      </c>
      <c r="Q1817">
        <v>14</v>
      </c>
      <c r="R1817">
        <v>7</v>
      </c>
      <c r="S1817">
        <v>3</v>
      </c>
      <c r="T1817">
        <v>1</v>
      </c>
      <c r="U1817">
        <v>45</v>
      </c>
      <c r="V1817">
        <v>3</v>
      </c>
      <c r="W1817">
        <v>2</v>
      </c>
      <c r="X1817">
        <v>0</v>
      </c>
      <c r="Y1817">
        <v>4</v>
      </c>
      <c r="Z1817">
        <v>6</v>
      </c>
      <c r="AA1817">
        <v>3</v>
      </c>
      <c r="AB1817" t="str">
        <f t="shared" si="86"/>
        <v>Below average customer</v>
      </c>
    </row>
    <row r="1818" spans="1:28" x14ac:dyDescent="0.35">
      <c r="A1818">
        <v>3517</v>
      </c>
      <c r="B1818">
        <v>1952</v>
      </c>
      <c r="C1818" t="s">
        <v>36</v>
      </c>
      <c r="D1818" t="s">
        <v>26</v>
      </c>
      <c r="E1818" t="s">
        <v>27</v>
      </c>
      <c r="F1818">
        <v>40887</v>
      </c>
      <c r="G1818" t="str">
        <f t="shared" si="84"/>
        <v>Mid-low</v>
      </c>
      <c r="H1818">
        <v>1</v>
      </c>
      <c r="I1818">
        <v>1</v>
      </c>
      <c r="J1818">
        <v>2</v>
      </c>
      <c r="K1818" s="1">
        <v>41400</v>
      </c>
      <c r="L1818">
        <v>32</v>
      </c>
      <c r="M1818" t="str">
        <f t="shared" si="85"/>
        <v>Active</v>
      </c>
      <c r="N1818">
        <v>0</v>
      </c>
      <c r="O1818">
        <v>50</v>
      </c>
      <c r="P1818">
        <v>4</v>
      </c>
      <c r="Q1818">
        <v>44</v>
      </c>
      <c r="R1818">
        <v>10</v>
      </c>
      <c r="S1818">
        <v>10</v>
      </c>
      <c r="T1818">
        <v>43</v>
      </c>
      <c r="U1818">
        <v>161</v>
      </c>
      <c r="V1818">
        <v>3</v>
      </c>
      <c r="W1818">
        <v>3</v>
      </c>
      <c r="X1818">
        <v>1</v>
      </c>
      <c r="Y1818">
        <v>3</v>
      </c>
      <c r="Z1818">
        <v>7</v>
      </c>
      <c r="AA1818">
        <v>9</v>
      </c>
      <c r="AB1818" t="str">
        <f t="shared" si="86"/>
        <v>Below average customer</v>
      </c>
    </row>
    <row r="1819" spans="1:28" x14ac:dyDescent="0.35">
      <c r="A1819">
        <v>1158</v>
      </c>
      <c r="B1819">
        <v>1966</v>
      </c>
      <c r="C1819" t="s">
        <v>28</v>
      </c>
      <c r="D1819" t="s">
        <v>26</v>
      </c>
      <c r="E1819" t="s">
        <v>35</v>
      </c>
      <c r="F1819">
        <v>48877</v>
      </c>
      <c r="G1819" t="str">
        <f t="shared" si="84"/>
        <v>Mid-low</v>
      </c>
      <c r="H1819">
        <v>0</v>
      </c>
      <c r="I1819">
        <v>1</v>
      </c>
      <c r="J1819">
        <v>1</v>
      </c>
      <c r="K1819" s="1">
        <v>41644</v>
      </c>
      <c r="L1819">
        <v>27</v>
      </c>
      <c r="M1819" t="str">
        <f t="shared" si="85"/>
        <v>Active</v>
      </c>
      <c r="N1819">
        <v>0</v>
      </c>
      <c r="O1819">
        <v>102</v>
      </c>
      <c r="P1819">
        <v>1</v>
      </c>
      <c r="Q1819">
        <v>15</v>
      </c>
      <c r="R1819">
        <v>2</v>
      </c>
      <c r="S1819">
        <v>0</v>
      </c>
      <c r="T1819">
        <v>24</v>
      </c>
      <c r="U1819">
        <v>144</v>
      </c>
      <c r="V1819">
        <v>1</v>
      </c>
      <c r="W1819">
        <v>3</v>
      </c>
      <c r="X1819">
        <v>0</v>
      </c>
      <c r="Y1819">
        <v>4</v>
      </c>
      <c r="Z1819">
        <v>7</v>
      </c>
      <c r="AA1819">
        <v>7</v>
      </c>
      <c r="AB1819" t="str">
        <f t="shared" si="86"/>
        <v>Below average customer</v>
      </c>
    </row>
    <row r="1820" spans="1:28" x14ac:dyDescent="0.35">
      <c r="A1820">
        <v>6203</v>
      </c>
      <c r="B1820">
        <v>1947</v>
      </c>
      <c r="C1820" t="s">
        <v>36</v>
      </c>
      <c r="D1820" t="s">
        <v>26</v>
      </c>
      <c r="E1820" t="s">
        <v>29</v>
      </c>
      <c r="F1820">
        <v>74485</v>
      </c>
      <c r="G1820" t="str">
        <f t="shared" si="84"/>
        <v>High</v>
      </c>
      <c r="H1820">
        <v>0</v>
      </c>
      <c r="I1820">
        <v>0</v>
      </c>
      <c r="J1820">
        <v>0</v>
      </c>
      <c r="K1820" s="1">
        <v>41510</v>
      </c>
      <c r="L1820">
        <v>58</v>
      </c>
      <c r="M1820" t="str">
        <f t="shared" si="85"/>
        <v>Inactive</v>
      </c>
      <c r="N1820">
        <v>0</v>
      </c>
      <c r="O1820">
        <v>499</v>
      </c>
      <c r="P1820">
        <v>149</v>
      </c>
      <c r="Q1820">
        <v>815</v>
      </c>
      <c r="R1820">
        <v>173</v>
      </c>
      <c r="S1820">
        <v>49</v>
      </c>
      <c r="T1820">
        <v>49</v>
      </c>
      <c r="U1820">
        <v>1734</v>
      </c>
      <c r="V1820">
        <v>1</v>
      </c>
      <c r="W1820">
        <v>6</v>
      </c>
      <c r="X1820">
        <v>7</v>
      </c>
      <c r="Y1820">
        <v>12</v>
      </c>
      <c r="Z1820">
        <v>25</v>
      </c>
      <c r="AA1820">
        <v>3</v>
      </c>
      <c r="AB1820" t="str">
        <f t="shared" si="86"/>
        <v>Below average customer</v>
      </c>
    </row>
    <row r="1821" spans="1:28" x14ac:dyDescent="0.35">
      <c r="A1821">
        <v>7165</v>
      </c>
      <c r="B1821">
        <v>1972</v>
      </c>
      <c r="C1821" t="s">
        <v>28</v>
      </c>
      <c r="D1821" t="s">
        <v>26</v>
      </c>
      <c r="E1821" t="s">
        <v>29</v>
      </c>
      <c r="F1821">
        <v>64474</v>
      </c>
      <c r="G1821" t="str">
        <f t="shared" si="84"/>
        <v>Mid-high</v>
      </c>
      <c r="H1821">
        <v>0</v>
      </c>
      <c r="I1821">
        <v>1</v>
      </c>
      <c r="J1821">
        <v>1</v>
      </c>
      <c r="K1821" s="1">
        <v>41569</v>
      </c>
      <c r="L1821">
        <v>59</v>
      </c>
      <c r="M1821" t="str">
        <f t="shared" si="85"/>
        <v>Inactive</v>
      </c>
      <c r="N1821">
        <v>0</v>
      </c>
      <c r="O1821">
        <v>381</v>
      </c>
      <c r="P1821">
        <v>35</v>
      </c>
      <c r="Q1821">
        <v>172</v>
      </c>
      <c r="R1821">
        <v>56</v>
      </c>
      <c r="S1821">
        <v>86</v>
      </c>
      <c r="T1821">
        <v>93</v>
      </c>
      <c r="U1821">
        <v>823</v>
      </c>
      <c r="V1821">
        <v>2</v>
      </c>
      <c r="W1821">
        <v>8</v>
      </c>
      <c r="X1821">
        <v>2</v>
      </c>
      <c r="Y1821">
        <v>10</v>
      </c>
      <c r="Z1821">
        <v>20</v>
      </c>
      <c r="AA1821">
        <v>5</v>
      </c>
      <c r="AB1821" t="str">
        <f t="shared" si="86"/>
        <v>Below average customer</v>
      </c>
    </row>
    <row r="1822" spans="1:28" x14ac:dyDescent="0.35">
      <c r="A1822">
        <v>3595</v>
      </c>
      <c r="B1822">
        <v>1963</v>
      </c>
      <c r="C1822" t="s">
        <v>28</v>
      </c>
      <c r="D1822" t="s">
        <v>26</v>
      </c>
      <c r="E1822" t="s">
        <v>29</v>
      </c>
      <c r="F1822">
        <v>77226</v>
      </c>
      <c r="G1822" t="str">
        <f t="shared" si="84"/>
        <v>High</v>
      </c>
      <c r="H1822">
        <v>0</v>
      </c>
      <c r="I1822">
        <v>1</v>
      </c>
      <c r="J1822">
        <v>1</v>
      </c>
      <c r="K1822" s="1">
        <v>41698</v>
      </c>
      <c r="L1822">
        <v>29</v>
      </c>
      <c r="M1822" t="str">
        <f t="shared" si="85"/>
        <v>Active</v>
      </c>
      <c r="N1822">
        <v>0</v>
      </c>
      <c r="O1822">
        <v>631</v>
      </c>
      <c r="P1822">
        <v>43</v>
      </c>
      <c r="Q1822">
        <v>239</v>
      </c>
      <c r="R1822">
        <v>128</v>
      </c>
      <c r="S1822">
        <v>76</v>
      </c>
      <c r="T1822">
        <v>21</v>
      </c>
      <c r="U1822">
        <v>1138</v>
      </c>
      <c r="V1822">
        <v>2</v>
      </c>
      <c r="W1822">
        <v>6</v>
      </c>
      <c r="X1822">
        <v>8</v>
      </c>
      <c r="Y1822">
        <v>12</v>
      </c>
      <c r="Z1822">
        <v>26</v>
      </c>
      <c r="AA1822">
        <v>3</v>
      </c>
      <c r="AB1822" t="str">
        <f t="shared" si="86"/>
        <v>Above average customer</v>
      </c>
    </row>
    <row r="1823" spans="1:28" x14ac:dyDescent="0.35">
      <c r="A1823">
        <v>8537</v>
      </c>
      <c r="B1823">
        <v>1949</v>
      </c>
      <c r="C1823" t="s">
        <v>36</v>
      </c>
      <c r="D1823" t="s">
        <v>26</v>
      </c>
      <c r="E1823" t="s">
        <v>38</v>
      </c>
      <c r="F1823">
        <v>72643</v>
      </c>
      <c r="G1823" t="str">
        <f t="shared" si="84"/>
        <v>High</v>
      </c>
      <c r="H1823">
        <v>0</v>
      </c>
      <c r="I1823">
        <v>0</v>
      </c>
      <c r="J1823">
        <v>0</v>
      </c>
      <c r="K1823" s="1">
        <v>41332</v>
      </c>
      <c r="L1823">
        <v>60</v>
      </c>
      <c r="M1823" t="str">
        <f t="shared" si="85"/>
        <v>Inactive</v>
      </c>
      <c r="N1823">
        <v>0</v>
      </c>
      <c r="O1823">
        <v>526</v>
      </c>
      <c r="P1823">
        <v>80</v>
      </c>
      <c r="Q1823">
        <v>553</v>
      </c>
      <c r="R1823">
        <v>123</v>
      </c>
      <c r="S1823">
        <v>94</v>
      </c>
      <c r="T1823">
        <v>53</v>
      </c>
      <c r="U1823">
        <v>1429</v>
      </c>
      <c r="V1823">
        <v>1</v>
      </c>
      <c r="W1823">
        <v>3</v>
      </c>
      <c r="X1823">
        <v>10</v>
      </c>
      <c r="Y1823">
        <v>7</v>
      </c>
      <c r="Z1823">
        <v>20</v>
      </c>
      <c r="AA1823">
        <v>2</v>
      </c>
      <c r="AB1823" t="str">
        <f t="shared" si="86"/>
        <v>Below average customer</v>
      </c>
    </row>
    <row r="1824" spans="1:28" x14ac:dyDescent="0.35">
      <c r="A1824">
        <v>4331</v>
      </c>
      <c r="B1824">
        <v>1978</v>
      </c>
      <c r="C1824" t="s">
        <v>31</v>
      </c>
      <c r="D1824" t="s">
        <v>34</v>
      </c>
      <c r="E1824" t="s">
        <v>29</v>
      </c>
      <c r="F1824">
        <v>85738</v>
      </c>
      <c r="G1824" t="str">
        <f t="shared" si="84"/>
        <v>High</v>
      </c>
      <c r="H1824">
        <v>0</v>
      </c>
      <c r="I1824">
        <v>0</v>
      </c>
      <c r="J1824">
        <v>0</v>
      </c>
      <c r="K1824" s="1">
        <v>41662</v>
      </c>
      <c r="L1824">
        <v>41</v>
      </c>
      <c r="M1824" t="str">
        <f t="shared" si="85"/>
        <v>Active</v>
      </c>
      <c r="N1824">
        <v>0</v>
      </c>
      <c r="O1824">
        <v>913</v>
      </c>
      <c r="P1824">
        <v>26</v>
      </c>
      <c r="Q1824">
        <v>376</v>
      </c>
      <c r="R1824">
        <v>17</v>
      </c>
      <c r="S1824">
        <v>26</v>
      </c>
      <c r="T1824">
        <v>13</v>
      </c>
      <c r="U1824">
        <v>1371</v>
      </c>
      <c r="V1824">
        <v>1</v>
      </c>
      <c r="W1824">
        <v>3</v>
      </c>
      <c r="X1824">
        <v>6</v>
      </c>
      <c r="Y1824">
        <v>11</v>
      </c>
      <c r="Z1824">
        <v>20</v>
      </c>
      <c r="AA1824">
        <v>1</v>
      </c>
      <c r="AB1824" t="str">
        <f t="shared" si="86"/>
        <v>Above average customer</v>
      </c>
    </row>
    <row r="1825" spans="1:28" x14ac:dyDescent="0.35">
      <c r="A1825">
        <v>6281</v>
      </c>
      <c r="B1825">
        <v>1966</v>
      </c>
      <c r="C1825" t="s">
        <v>28</v>
      </c>
      <c r="D1825" t="s">
        <v>26</v>
      </c>
      <c r="E1825" t="s">
        <v>35</v>
      </c>
      <c r="F1825">
        <v>55686</v>
      </c>
      <c r="G1825" t="str">
        <f t="shared" si="84"/>
        <v>Mid-high</v>
      </c>
      <c r="H1825">
        <v>0</v>
      </c>
      <c r="I1825">
        <v>1</v>
      </c>
      <c r="J1825">
        <v>1</v>
      </c>
      <c r="K1825" s="1">
        <v>41319</v>
      </c>
      <c r="L1825">
        <v>27</v>
      </c>
      <c r="M1825" t="str">
        <f t="shared" si="85"/>
        <v>Active</v>
      </c>
      <c r="N1825">
        <v>0</v>
      </c>
      <c r="O1825">
        <v>673</v>
      </c>
      <c r="P1825">
        <v>0</v>
      </c>
      <c r="Q1825">
        <v>199</v>
      </c>
      <c r="R1825">
        <v>37</v>
      </c>
      <c r="S1825">
        <v>47</v>
      </c>
      <c r="T1825">
        <v>26</v>
      </c>
      <c r="U1825">
        <v>982</v>
      </c>
      <c r="V1825">
        <v>2</v>
      </c>
      <c r="W1825">
        <v>6</v>
      </c>
      <c r="X1825">
        <v>3</v>
      </c>
      <c r="Y1825">
        <v>5</v>
      </c>
      <c r="Z1825">
        <v>14</v>
      </c>
      <c r="AA1825">
        <v>4</v>
      </c>
      <c r="AB1825" t="str">
        <f t="shared" si="86"/>
        <v>Above average customer</v>
      </c>
    </row>
    <row r="1826" spans="1:28" x14ac:dyDescent="0.35">
      <c r="A1826">
        <v>4338</v>
      </c>
      <c r="B1826">
        <v>1983</v>
      </c>
      <c r="C1826" t="s">
        <v>30</v>
      </c>
      <c r="D1826" t="s">
        <v>26</v>
      </c>
      <c r="E1826" t="s">
        <v>27</v>
      </c>
      <c r="F1826">
        <v>39062</v>
      </c>
      <c r="G1826" t="str">
        <f t="shared" si="84"/>
        <v>Mid-low</v>
      </c>
      <c r="H1826">
        <v>1</v>
      </c>
      <c r="I1826">
        <v>0</v>
      </c>
      <c r="J1826">
        <v>1</v>
      </c>
      <c r="K1826" s="1">
        <v>41723</v>
      </c>
      <c r="L1826">
        <v>28</v>
      </c>
      <c r="M1826" t="str">
        <f t="shared" si="85"/>
        <v>Active</v>
      </c>
      <c r="N1826">
        <v>0</v>
      </c>
      <c r="O1826">
        <v>23</v>
      </c>
      <c r="P1826">
        <v>0</v>
      </c>
      <c r="Q1826">
        <v>9</v>
      </c>
      <c r="R1826">
        <v>0</v>
      </c>
      <c r="S1826">
        <v>0</v>
      </c>
      <c r="T1826">
        <v>12</v>
      </c>
      <c r="U1826">
        <v>44</v>
      </c>
      <c r="V1826">
        <v>1</v>
      </c>
      <c r="W1826">
        <v>1</v>
      </c>
      <c r="X1826">
        <v>0</v>
      </c>
      <c r="Y1826">
        <v>3</v>
      </c>
      <c r="Z1826">
        <v>4</v>
      </c>
      <c r="AA1826">
        <v>4</v>
      </c>
      <c r="AB1826" t="str">
        <f t="shared" si="86"/>
        <v>Below average customer</v>
      </c>
    </row>
    <row r="1827" spans="1:28" x14ac:dyDescent="0.35">
      <c r="A1827">
        <v>9507</v>
      </c>
      <c r="B1827">
        <v>1975</v>
      </c>
      <c r="C1827" t="s">
        <v>31</v>
      </c>
      <c r="D1827" t="s">
        <v>26</v>
      </c>
      <c r="E1827" t="s">
        <v>33</v>
      </c>
      <c r="F1827">
        <v>40794</v>
      </c>
      <c r="G1827" t="str">
        <f t="shared" si="84"/>
        <v>Mid-low</v>
      </c>
      <c r="H1827">
        <v>0</v>
      </c>
      <c r="I1827">
        <v>1</v>
      </c>
      <c r="J1827">
        <v>1</v>
      </c>
      <c r="K1827" s="1">
        <v>41371</v>
      </c>
      <c r="L1827">
        <v>18</v>
      </c>
      <c r="M1827" t="str">
        <f t="shared" si="85"/>
        <v>Active</v>
      </c>
      <c r="N1827">
        <v>0</v>
      </c>
      <c r="O1827">
        <v>261</v>
      </c>
      <c r="P1827">
        <v>23</v>
      </c>
      <c r="Q1827">
        <v>73</v>
      </c>
      <c r="R1827">
        <v>4</v>
      </c>
      <c r="S1827">
        <v>23</v>
      </c>
      <c r="T1827">
        <v>50</v>
      </c>
      <c r="U1827">
        <v>434</v>
      </c>
      <c r="V1827">
        <v>2</v>
      </c>
      <c r="W1827">
        <v>6</v>
      </c>
      <c r="X1827">
        <v>3</v>
      </c>
      <c r="Y1827">
        <v>5</v>
      </c>
      <c r="Z1827">
        <v>14</v>
      </c>
      <c r="AA1827">
        <v>7</v>
      </c>
      <c r="AB1827" t="str">
        <f t="shared" si="86"/>
        <v>Below average customer</v>
      </c>
    </row>
    <row r="1828" spans="1:28" x14ac:dyDescent="0.35">
      <c r="A1828">
        <v>10311</v>
      </c>
      <c r="B1828">
        <v>1969</v>
      </c>
      <c r="C1828" t="s">
        <v>28</v>
      </c>
      <c r="D1828" t="s">
        <v>26</v>
      </c>
      <c r="E1828" t="s">
        <v>33</v>
      </c>
      <c r="F1828">
        <v>4428</v>
      </c>
      <c r="G1828" t="str">
        <f t="shared" si="84"/>
        <v>Low</v>
      </c>
      <c r="H1828">
        <v>0</v>
      </c>
      <c r="I1828">
        <v>1</v>
      </c>
      <c r="J1828">
        <v>1</v>
      </c>
      <c r="K1828" s="1">
        <v>41552</v>
      </c>
      <c r="L1828">
        <v>0</v>
      </c>
      <c r="M1828" t="str">
        <f t="shared" si="85"/>
        <v>Active</v>
      </c>
      <c r="N1828">
        <v>0</v>
      </c>
      <c r="O1828">
        <v>16</v>
      </c>
      <c r="P1828">
        <v>4</v>
      </c>
      <c r="Q1828">
        <v>12</v>
      </c>
      <c r="R1828">
        <v>2</v>
      </c>
      <c r="S1828">
        <v>4</v>
      </c>
      <c r="T1828">
        <v>321</v>
      </c>
      <c r="U1828">
        <v>359</v>
      </c>
      <c r="V1828">
        <v>0</v>
      </c>
      <c r="W1828">
        <v>25</v>
      </c>
      <c r="X1828">
        <v>0</v>
      </c>
      <c r="Y1828">
        <v>0</v>
      </c>
      <c r="Z1828">
        <v>25</v>
      </c>
      <c r="AA1828">
        <v>1</v>
      </c>
      <c r="AB1828" t="str">
        <f t="shared" si="86"/>
        <v>Below average customer</v>
      </c>
    </row>
    <row r="1829" spans="1:28" x14ac:dyDescent="0.35">
      <c r="A1829">
        <v>5117</v>
      </c>
      <c r="B1829">
        <v>1963</v>
      </c>
      <c r="C1829" t="s">
        <v>28</v>
      </c>
      <c r="D1829" t="s">
        <v>34</v>
      </c>
      <c r="E1829" t="s">
        <v>33</v>
      </c>
      <c r="F1829">
        <v>32632</v>
      </c>
      <c r="G1829" t="str">
        <f t="shared" si="84"/>
        <v>Low</v>
      </c>
      <c r="H1829">
        <v>0</v>
      </c>
      <c r="I1829">
        <v>0</v>
      </c>
      <c r="J1829">
        <v>0</v>
      </c>
      <c r="K1829" s="1">
        <v>41123</v>
      </c>
      <c r="L1829">
        <v>32</v>
      </c>
      <c r="M1829" t="str">
        <f t="shared" si="85"/>
        <v>Active</v>
      </c>
      <c r="N1829">
        <v>0</v>
      </c>
      <c r="O1829">
        <v>63</v>
      </c>
      <c r="P1829">
        <v>151</v>
      </c>
      <c r="Q1829">
        <v>137</v>
      </c>
      <c r="R1829">
        <v>153</v>
      </c>
      <c r="S1829">
        <v>19</v>
      </c>
      <c r="T1829">
        <v>53</v>
      </c>
      <c r="U1829">
        <v>576</v>
      </c>
      <c r="V1829">
        <v>2</v>
      </c>
      <c r="W1829">
        <v>4</v>
      </c>
      <c r="X1829">
        <v>4</v>
      </c>
      <c r="Y1829">
        <v>8</v>
      </c>
      <c r="Z1829">
        <v>16</v>
      </c>
      <c r="AA1829">
        <v>5</v>
      </c>
      <c r="AB1829" t="str">
        <f t="shared" si="86"/>
        <v>Below average customer</v>
      </c>
    </row>
    <row r="1830" spans="1:28" x14ac:dyDescent="0.35">
      <c r="A1830">
        <v>4867</v>
      </c>
      <c r="B1830">
        <v>1968</v>
      </c>
      <c r="C1830" t="s">
        <v>28</v>
      </c>
      <c r="D1830" t="s">
        <v>32</v>
      </c>
      <c r="E1830" t="s">
        <v>27</v>
      </c>
      <c r="F1830">
        <v>38236</v>
      </c>
      <c r="G1830" t="str">
        <f t="shared" si="84"/>
        <v>Mid-low</v>
      </c>
      <c r="H1830">
        <v>1</v>
      </c>
      <c r="I1830">
        <v>1</v>
      </c>
      <c r="J1830">
        <v>2</v>
      </c>
      <c r="K1830" s="1">
        <v>41537</v>
      </c>
      <c r="L1830">
        <v>2</v>
      </c>
      <c r="M1830" t="str">
        <f t="shared" si="85"/>
        <v>Active</v>
      </c>
      <c r="N1830">
        <v>0</v>
      </c>
      <c r="O1830">
        <v>58</v>
      </c>
      <c r="P1830">
        <v>0</v>
      </c>
      <c r="Q1830">
        <v>18</v>
      </c>
      <c r="R1830">
        <v>2</v>
      </c>
      <c r="S1830">
        <v>0</v>
      </c>
      <c r="T1830">
        <v>10</v>
      </c>
      <c r="U1830">
        <v>88</v>
      </c>
      <c r="V1830">
        <v>4</v>
      </c>
      <c r="W1830">
        <v>3</v>
      </c>
      <c r="X1830">
        <v>0</v>
      </c>
      <c r="Y1830">
        <v>4</v>
      </c>
      <c r="Z1830">
        <v>7</v>
      </c>
      <c r="AA1830">
        <v>7</v>
      </c>
      <c r="AB1830" t="str">
        <f t="shared" si="86"/>
        <v>Below average customer</v>
      </c>
    </row>
    <row r="1831" spans="1:28" x14ac:dyDescent="0.35">
      <c r="A1831">
        <v>9289</v>
      </c>
      <c r="B1831">
        <v>1979</v>
      </c>
      <c r="C1831" t="s">
        <v>31</v>
      </c>
      <c r="D1831" t="s">
        <v>26</v>
      </c>
      <c r="E1831" t="s">
        <v>33</v>
      </c>
      <c r="F1831">
        <v>36781</v>
      </c>
      <c r="G1831" t="str">
        <f t="shared" si="84"/>
        <v>Mid-low</v>
      </c>
      <c r="H1831">
        <v>1</v>
      </c>
      <c r="I1831">
        <v>0</v>
      </c>
      <c r="J1831">
        <v>1</v>
      </c>
      <c r="K1831" s="1">
        <v>41739</v>
      </c>
      <c r="L1831">
        <v>16</v>
      </c>
      <c r="M1831" t="str">
        <f t="shared" si="85"/>
        <v>Active</v>
      </c>
      <c r="N1831">
        <v>0</v>
      </c>
      <c r="O1831">
        <v>29</v>
      </c>
      <c r="P1831">
        <v>1</v>
      </c>
      <c r="Q1831">
        <v>17</v>
      </c>
      <c r="R1831">
        <v>0</v>
      </c>
      <c r="S1831">
        <v>3</v>
      </c>
      <c r="T1831">
        <v>13</v>
      </c>
      <c r="U1831">
        <v>63</v>
      </c>
      <c r="V1831">
        <v>1</v>
      </c>
      <c r="W1831">
        <v>2</v>
      </c>
      <c r="X1831">
        <v>1</v>
      </c>
      <c r="Y1831">
        <v>2</v>
      </c>
      <c r="Z1831">
        <v>5</v>
      </c>
      <c r="AA1831">
        <v>8</v>
      </c>
      <c r="AB1831" t="str">
        <f t="shared" si="86"/>
        <v>Below average customer</v>
      </c>
    </row>
    <row r="1832" spans="1:28" x14ac:dyDescent="0.35">
      <c r="A1832">
        <v>10913</v>
      </c>
      <c r="B1832">
        <v>1984</v>
      </c>
      <c r="C1832" t="s">
        <v>30</v>
      </c>
      <c r="D1832" t="s">
        <v>34</v>
      </c>
      <c r="E1832" t="s">
        <v>27</v>
      </c>
      <c r="F1832">
        <v>31385</v>
      </c>
      <c r="G1832" t="str">
        <f t="shared" si="84"/>
        <v>Low</v>
      </c>
      <c r="H1832">
        <v>1</v>
      </c>
      <c r="I1832">
        <v>0</v>
      </c>
      <c r="J1832">
        <v>1</v>
      </c>
      <c r="K1832" s="1">
        <v>41248</v>
      </c>
      <c r="L1832">
        <v>56</v>
      </c>
      <c r="M1832" t="str">
        <f t="shared" si="85"/>
        <v>Inactive</v>
      </c>
      <c r="N1832">
        <v>0</v>
      </c>
      <c r="O1832">
        <v>3</v>
      </c>
      <c r="P1832">
        <v>2</v>
      </c>
      <c r="Q1832">
        <v>12</v>
      </c>
      <c r="R1832">
        <v>0</v>
      </c>
      <c r="S1832">
        <v>1</v>
      </c>
      <c r="T1832">
        <v>9</v>
      </c>
      <c r="U1832">
        <v>27</v>
      </c>
      <c r="V1832">
        <v>1</v>
      </c>
      <c r="W1832">
        <v>1</v>
      </c>
      <c r="X1832">
        <v>0</v>
      </c>
      <c r="Y1832">
        <v>2</v>
      </c>
      <c r="Z1832">
        <v>3</v>
      </c>
      <c r="AA1832">
        <v>8</v>
      </c>
      <c r="AB1832" t="str">
        <f t="shared" si="86"/>
        <v>Below average customer</v>
      </c>
    </row>
    <row r="1833" spans="1:28" x14ac:dyDescent="0.35">
      <c r="A1833">
        <v>3032</v>
      </c>
      <c r="B1833">
        <v>1984</v>
      </c>
      <c r="C1833" t="s">
        <v>30</v>
      </c>
      <c r="D1833" t="s">
        <v>26</v>
      </c>
      <c r="E1833" t="s">
        <v>33</v>
      </c>
      <c r="F1833">
        <v>24570</v>
      </c>
      <c r="G1833" t="str">
        <f t="shared" si="84"/>
        <v>Low</v>
      </c>
      <c r="H1833">
        <v>1</v>
      </c>
      <c r="I1833">
        <v>0</v>
      </c>
      <c r="J1833">
        <v>1</v>
      </c>
      <c r="K1833" s="1">
        <v>41332</v>
      </c>
      <c r="L1833">
        <v>97</v>
      </c>
      <c r="M1833" t="str">
        <f t="shared" si="85"/>
        <v>Inactive</v>
      </c>
      <c r="N1833">
        <v>0</v>
      </c>
      <c r="O1833">
        <v>28</v>
      </c>
      <c r="P1833">
        <v>34</v>
      </c>
      <c r="Q1833">
        <v>62</v>
      </c>
      <c r="R1833">
        <v>11</v>
      </c>
      <c r="S1833">
        <v>14</v>
      </c>
      <c r="T1833">
        <v>44</v>
      </c>
      <c r="U1833">
        <v>193</v>
      </c>
      <c r="V1833">
        <v>3</v>
      </c>
      <c r="W1833">
        <v>4</v>
      </c>
      <c r="X1833">
        <v>0</v>
      </c>
      <c r="Y1833">
        <v>4</v>
      </c>
      <c r="Z1833">
        <v>8</v>
      </c>
      <c r="AA1833">
        <v>9</v>
      </c>
      <c r="AB1833" t="str">
        <f t="shared" si="86"/>
        <v>Below average customer</v>
      </c>
    </row>
    <row r="1834" spans="1:28" x14ac:dyDescent="0.35">
      <c r="A1834">
        <v>3334</v>
      </c>
      <c r="B1834">
        <v>1951</v>
      </c>
      <c r="C1834" t="s">
        <v>36</v>
      </c>
      <c r="D1834" t="s">
        <v>26</v>
      </c>
      <c r="E1834" t="s">
        <v>33</v>
      </c>
      <c r="F1834">
        <v>94642</v>
      </c>
      <c r="G1834" t="str">
        <f t="shared" si="84"/>
        <v>High</v>
      </c>
      <c r="H1834">
        <v>0</v>
      </c>
      <c r="I1834">
        <v>0</v>
      </c>
      <c r="J1834">
        <v>0</v>
      </c>
      <c r="K1834" s="1">
        <v>41682</v>
      </c>
      <c r="L1834">
        <v>35</v>
      </c>
      <c r="M1834" t="str">
        <f t="shared" si="85"/>
        <v>Active</v>
      </c>
      <c r="N1834">
        <v>0</v>
      </c>
      <c r="O1834">
        <v>879</v>
      </c>
      <c r="P1834">
        <v>143</v>
      </c>
      <c r="Q1834">
        <v>797</v>
      </c>
      <c r="R1834">
        <v>106</v>
      </c>
      <c r="S1834">
        <v>143</v>
      </c>
      <c r="T1834">
        <v>143</v>
      </c>
      <c r="U1834">
        <v>2211</v>
      </c>
      <c r="V1834">
        <v>0</v>
      </c>
      <c r="W1834">
        <v>5</v>
      </c>
      <c r="X1834">
        <v>7</v>
      </c>
      <c r="Y1834">
        <v>9</v>
      </c>
      <c r="Z1834">
        <v>21</v>
      </c>
      <c r="AA1834">
        <v>1</v>
      </c>
      <c r="AB1834" t="str">
        <f t="shared" si="86"/>
        <v>Above average customer</v>
      </c>
    </row>
    <row r="1835" spans="1:28" x14ac:dyDescent="0.35">
      <c r="A1835">
        <v>4470</v>
      </c>
      <c r="B1835">
        <v>1962</v>
      </c>
      <c r="C1835" t="s">
        <v>25</v>
      </c>
      <c r="D1835" t="s">
        <v>34</v>
      </c>
      <c r="E1835" t="s">
        <v>33</v>
      </c>
      <c r="F1835">
        <v>58646</v>
      </c>
      <c r="G1835" t="str">
        <f t="shared" si="84"/>
        <v>Mid-high</v>
      </c>
      <c r="H1835">
        <v>0</v>
      </c>
      <c r="I1835">
        <v>1</v>
      </c>
      <c r="J1835">
        <v>1</v>
      </c>
      <c r="K1835" s="1">
        <v>41435</v>
      </c>
      <c r="L1835">
        <v>3</v>
      </c>
      <c r="M1835" t="str">
        <f t="shared" si="85"/>
        <v>Active</v>
      </c>
      <c r="N1835">
        <v>0</v>
      </c>
      <c r="O1835">
        <v>62</v>
      </c>
      <c r="P1835">
        <v>1</v>
      </c>
      <c r="Q1835">
        <v>44</v>
      </c>
      <c r="R1835">
        <v>6</v>
      </c>
      <c r="S1835">
        <v>5</v>
      </c>
      <c r="T1835">
        <v>22</v>
      </c>
      <c r="U1835">
        <v>140</v>
      </c>
      <c r="V1835">
        <v>1</v>
      </c>
      <c r="W1835">
        <v>2</v>
      </c>
      <c r="X1835">
        <v>1</v>
      </c>
      <c r="Y1835">
        <v>4</v>
      </c>
      <c r="Z1835">
        <v>7</v>
      </c>
      <c r="AA1835">
        <v>4</v>
      </c>
      <c r="AB1835" t="str">
        <f t="shared" si="86"/>
        <v>Below average customer</v>
      </c>
    </row>
    <row r="1836" spans="1:28" x14ac:dyDescent="0.35">
      <c r="A1836">
        <v>1406</v>
      </c>
      <c r="B1836">
        <v>1975</v>
      </c>
      <c r="C1836" t="s">
        <v>31</v>
      </c>
      <c r="D1836" t="s">
        <v>26</v>
      </c>
      <c r="E1836" t="s">
        <v>27</v>
      </c>
      <c r="F1836">
        <v>53201</v>
      </c>
      <c r="G1836" t="str">
        <f t="shared" si="84"/>
        <v>Mid-high</v>
      </c>
      <c r="H1836">
        <v>1</v>
      </c>
      <c r="I1836">
        <v>1</v>
      </c>
      <c r="J1836">
        <v>2</v>
      </c>
      <c r="K1836" s="1">
        <v>41317</v>
      </c>
      <c r="L1836">
        <v>49</v>
      </c>
      <c r="M1836" t="str">
        <f t="shared" si="85"/>
        <v>Inactive</v>
      </c>
      <c r="N1836">
        <v>0</v>
      </c>
      <c r="O1836">
        <v>280</v>
      </c>
      <c r="P1836">
        <v>7</v>
      </c>
      <c r="Q1836">
        <v>81</v>
      </c>
      <c r="R1836">
        <v>20</v>
      </c>
      <c r="S1836">
        <v>0</v>
      </c>
      <c r="T1836">
        <v>27</v>
      </c>
      <c r="U1836">
        <v>415</v>
      </c>
      <c r="V1836">
        <v>8</v>
      </c>
      <c r="W1836">
        <v>6</v>
      </c>
      <c r="X1836">
        <v>3</v>
      </c>
      <c r="Y1836">
        <v>5</v>
      </c>
      <c r="Z1836">
        <v>14</v>
      </c>
      <c r="AA1836">
        <v>7</v>
      </c>
      <c r="AB1836" t="str">
        <f t="shared" si="86"/>
        <v>Below average customer</v>
      </c>
    </row>
    <row r="1837" spans="1:28" x14ac:dyDescent="0.35">
      <c r="A1837">
        <v>10821</v>
      </c>
      <c r="B1837">
        <v>1978</v>
      </c>
      <c r="C1837" t="s">
        <v>31</v>
      </c>
      <c r="D1837" t="s">
        <v>26</v>
      </c>
      <c r="E1837" t="s">
        <v>33</v>
      </c>
      <c r="F1837">
        <v>57113</v>
      </c>
      <c r="G1837" t="str">
        <f t="shared" si="84"/>
        <v>Mid-high</v>
      </c>
      <c r="H1837">
        <v>1</v>
      </c>
      <c r="I1837">
        <v>1</v>
      </c>
      <c r="J1837">
        <v>2</v>
      </c>
      <c r="K1837" s="1">
        <v>41311</v>
      </c>
      <c r="L1837">
        <v>45</v>
      </c>
      <c r="M1837" t="str">
        <f t="shared" si="85"/>
        <v>Active</v>
      </c>
      <c r="N1837">
        <v>0</v>
      </c>
      <c r="O1837">
        <v>182</v>
      </c>
      <c r="P1837">
        <v>4</v>
      </c>
      <c r="Q1837">
        <v>33</v>
      </c>
      <c r="R1837">
        <v>0</v>
      </c>
      <c r="S1837">
        <v>2</v>
      </c>
      <c r="T1837">
        <v>42</v>
      </c>
      <c r="U1837">
        <v>263</v>
      </c>
      <c r="V1837">
        <v>6</v>
      </c>
      <c r="W1837">
        <v>4</v>
      </c>
      <c r="X1837">
        <v>1</v>
      </c>
      <c r="Y1837">
        <v>5</v>
      </c>
      <c r="Z1837">
        <v>10</v>
      </c>
      <c r="AA1837">
        <v>7</v>
      </c>
      <c r="AB1837" t="str">
        <f t="shared" si="86"/>
        <v>Below average customer</v>
      </c>
    </row>
    <row r="1838" spans="1:28" x14ac:dyDescent="0.35">
      <c r="A1838">
        <v>4552</v>
      </c>
      <c r="B1838">
        <v>1991</v>
      </c>
      <c r="C1838" t="s">
        <v>30</v>
      </c>
      <c r="D1838" t="s">
        <v>26</v>
      </c>
      <c r="E1838" t="s">
        <v>33</v>
      </c>
      <c r="F1838">
        <v>51373</v>
      </c>
      <c r="G1838" t="str">
        <f t="shared" si="84"/>
        <v>Mid-low</v>
      </c>
      <c r="H1838">
        <v>0</v>
      </c>
      <c r="I1838">
        <v>0</v>
      </c>
      <c r="J1838">
        <v>0</v>
      </c>
      <c r="K1838" s="1">
        <v>41447</v>
      </c>
      <c r="L1838">
        <v>37</v>
      </c>
      <c r="M1838" t="str">
        <f t="shared" si="85"/>
        <v>Active</v>
      </c>
      <c r="N1838">
        <v>0</v>
      </c>
      <c r="O1838">
        <v>83</v>
      </c>
      <c r="P1838">
        <v>2</v>
      </c>
      <c r="Q1838">
        <v>101</v>
      </c>
      <c r="R1838">
        <v>64</v>
      </c>
      <c r="S1838">
        <v>26</v>
      </c>
      <c r="T1838">
        <v>117</v>
      </c>
      <c r="U1838">
        <v>393</v>
      </c>
      <c r="V1838">
        <v>1</v>
      </c>
      <c r="W1838">
        <v>3</v>
      </c>
      <c r="X1838">
        <v>5</v>
      </c>
      <c r="Y1838">
        <v>3</v>
      </c>
      <c r="Z1838">
        <v>11</v>
      </c>
      <c r="AA1838">
        <v>4</v>
      </c>
      <c r="AB1838" t="str">
        <f t="shared" si="86"/>
        <v>Below average customer</v>
      </c>
    </row>
    <row r="1839" spans="1:28" x14ac:dyDescent="0.35">
      <c r="A1839">
        <v>898</v>
      </c>
      <c r="B1839">
        <v>1986</v>
      </c>
      <c r="C1839" t="s">
        <v>30</v>
      </c>
      <c r="D1839" t="s">
        <v>26</v>
      </c>
      <c r="E1839" t="s">
        <v>33</v>
      </c>
      <c r="F1839">
        <v>23477</v>
      </c>
      <c r="G1839" t="str">
        <f t="shared" si="84"/>
        <v>Low</v>
      </c>
      <c r="H1839">
        <v>1</v>
      </c>
      <c r="I1839">
        <v>0</v>
      </c>
      <c r="J1839">
        <v>1</v>
      </c>
      <c r="K1839" s="1">
        <v>41568</v>
      </c>
      <c r="L1839">
        <v>39</v>
      </c>
      <c r="M1839" t="str">
        <f t="shared" si="85"/>
        <v>Active</v>
      </c>
      <c r="N1839">
        <v>0</v>
      </c>
      <c r="O1839">
        <v>38</v>
      </c>
      <c r="P1839">
        <v>15</v>
      </c>
      <c r="Q1839">
        <v>54</v>
      </c>
      <c r="R1839">
        <v>3</v>
      </c>
      <c r="S1839">
        <v>8</v>
      </c>
      <c r="T1839">
        <v>29</v>
      </c>
      <c r="U1839">
        <v>147</v>
      </c>
      <c r="V1839">
        <v>3</v>
      </c>
      <c r="W1839">
        <v>3</v>
      </c>
      <c r="X1839">
        <v>0</v>
      </c>
      <c r="Y1839">
        <v>4</v>
      </c>
      <c r="Z1839">
        <v>7</v>
      </c>
      <c r="AA1839">
        <v>8</v>
      </c>
      <c r="AB1839" t="str">
        <f t="shared" si="86"/>
        <v>Below average customer</v>
      </c>
    </row>
    <row r="1840" spans="1:28" x14ac:dyDescent="0.35">
      <c r="A1840">
        <v>9797</v>
      </c>
      <c r="B1840">
        <v>1956</v>
      </c>
      <c r="C1840" t="s">
        <v>25</v>
      </c>
      <c r="D1840" t="s">
        <v>26</v>
      </c>
      <c r="E1840" t="s">
        <v>33</v>
      </c>
      <c r="F1840">
        <v>58116</v>
      </c>
      <c r="G1840" t="str">
        <f t="shared" si="84"/>
        <v>Mid-high</v>
      </c>
      <c r="H1840">
        <v>0</v>
      </c>
      <c r="I1840">
        <v>1</v>
      </c>
      <c r="J1840">
        <v>1</v>
      </c>
      <c r="K1840" s="1">
        <v>41742</v>
      </c>
      <c r="L1840">
        <v>38</v>
      </c>
      <c r="M1840" t="str">
        <f t="shared" si="85"/>
        <v>Active</v>
      </c>
      <c r="N1840">
        <v>0</v>
      </c>
      <c r="O1840">
        <v>228</v>
      </c>
      <c r="P1840">
        <v>19</v>
      </c>
      <c r="Q1840">
        <v>130</v>
      </c>
      <c r="R1840">
        <v>4</v>
      </c>
      <c r="S1840">
        <v>11</v>
      </c>
      <c r="T1840">
        <v>51</v>
      </c>
      <c r="U1840">
        <v>443</v>
      </c>
      <c r="V1840">
        <v>2</v>
      </c>
      <c r="W1840">
        <v>3</v>
      </c>
      <c r="X1840">
        <v>3</v>
      </c>
      <c r="Y1840">
        <v>8</v>
      </c>
      <c r="Z1840">
        <v>14</v>
      </c>
      <c r="AA1840">
        <v>2</v>
      </c>
      <c r="AB1840" t="str">
        <f t="shared" si="86"/>
        <v>Below average customer</v>
      </c>
    </row>
    <row r="1841" spans="1:28" x14ac:dyDescent="0.35">
      <c r="A1841">
        <v>10949</v>
      </c>
      <c r="B1841">
        <v>1963</v>
      </c>
      <c r="C1841" t="s">
        <v>28</v>
      </c>
      <c r="D1841" t="s">
        <v>32</v>
      </c>
      <c r="E1841" t="s">
        <v>35</v>
      </c>
      <c r="F1841">
        <v>72968</v>
      </c>
      <c r="G1841" t="str">
        <f t="shared" si="84"/>
        <v>High</v>
      </c>
      <c r="H1841">
        <v>0</v>
      </c>
      <c r="I1841">
        <v>0</v>
      </c>
      <c r="J1841">
        <v>0</v>
      </c>
      <c r="K1841" s="1">
        <v>41624</v>
      </c>
      <c r="L1841">
        <v>8</v>
      </c>
      <c r="M1841" t="str">
        <f t="shared" si="85"/>
        <v>Active</v>
      </c>
      <c r="N1841">
        <v>0</v>
      </c>
      <c r="O1841">
        <v>1092</v>
      </c>
      <c r="P1841">
        <v>37</v>
      </c>
      <c r="Q1841">
        <v>592</v>
      </c>
      <c r="R1841">
        <v>145</v>
      </c>
      <c r="S1841">
        <v>37</v>
      </c>
      <c r="T1841">
        <v>55</v>
      </c>
      <c r="U1841">
        <v>1958</v>
      </c>
      <c r="V1841">
        <v>1</v>
      </c>
      <c r="W1841">
        <v>5</v>
      </c>
      <c r="X1841">
        <v>5</v>
      </c>
      <c r="Y1841">
        <v>8</v>
      </c>
      <c r="Z1841">
        <v>18</v>
      </c>
      <c r="AA1841">
        <v>3</v>
      </c>
      <c r="AB1841" t="str">
        <f t="shared" si="86"/>
        <v>Above average customer</v>
      </c>
    </row>
    <row r="1842" spans="1:28" x14ac:dyDescent="0.35">
      <c r="A1842">
        <v>8212</v>
      </c>
      <c r="B1842">
        <v>1971</v>
      </c>
      <c r="C1842" t="s">
        <v>28</v>
      </c>
      <c r="D1842" t="s">
        <v>34</v>
      </c>
      <c r="E1842" t="s">
        <v>33</v>
      </c>
      <c r="F1842">
        <v>39791</v>
      </c>
      <c r="G1842" t="str">
        <f t="shared" si="84"/>
        <v>Mid-low</v>
      </c>
      <c r="H1842">
        <v>0</v>
      </c>
      <c r="I1842">
        <v>1</v>
      </c>
      <c r="J1842">
        <v>1</v>
      </c>
      <c r="K1842" s="1">
        <v>41361</v>
      </c>
      <c r="L1842">
        <v>89</v>
      </c>
      <c r="M1842" t="str">
        <f t="shared" si="85"/>
        <v>Inactive</v>
      </c>
      <c r="N1842">
        <v>0</v>
      </c>
      <c r="O1842">
        <v>85</v>
      </c>
      <c r="P1842">
        <v>15</v>
      </c>
      <c r="Q1842">
        <v>27</v>
      </c>
      <c r="R1842">
        <v>13</v>
      </c>
      <c r="S1842">
        <v>13</v>
      </c>
      <c r="T1842">
        <v>21</v>
      </c>
      <c r="U1842">
        <v>174</v>
      </c>
      <c r="V1842">
        <v>2</v>
      </c>
      <c r="W1842">
        <v>3</v>
      </c>
      <c r="X1842">
        <v>1</v>
      </c>
      <c r="Y1842">
        <v>4</v>
      </c>
      <c r="Z1842">
        <v>8</v>
      </c>
      <c r="AA1842">
        <v>7</v>
      </c>
      <c r="AB1842" t="str">
        <f t="shared" si="86"/>
        <v>Below average customer</v>
      </c>
    </row>
    <row r="1843" spans="1:28" x14ac:dyDescent="0.35">
      <c r="A1843">
        <v>6248</v>
      </c>
      <c r="B1843">
        <v>1947</v>
      </c>
      <c r="C1843" t="s">
        <v>36</v>
      </c>
      <c r="D1843" t="s">
        <v>34</v>
      </c>
      <c r="E1843" t="s">
        <v>27</v>
      </c>
      <c r="F1843">
        <v>91712</v>
      </c>
      <c r="G1843" t="str">
        <f t="shared" si="84"/>
        <v>High</v>
      </c>
      <c r="H1843">
        <v>0</v>
      </c>
      <c r="I1843">
        <v>0</v>
      </c>
      <c r="J1843">
        <v>0</v>
      </c>
      <c r="K1843" s="1">
        <v>41564</v>
      </c>
      <c r="L1843">
        <v>47</v>
      </c>
      <c r="M1843" t="str">
        <f t="shared" si="85"/>
        <v>Active</v>
      </c>
      <c r="N1843">
        <v>0</v>
      </c>
      <c r="O1843">
        <v>1276</v>
      </c>
      <c r="P1843">
        <v>24</v>
      </c>
      <c r="Q1843">
        <v>746</v>
      </c>
      <c r="R1843">
        <v>94</v>
      </c>
      <c r="S1843">
        <v>29</v>
      </c>
      <c r="T1843">
        <v>48</v>
      </c>
      <c r="U1843">
        <v>2217</v>
      </c>
      <c r="V1843">
        <v>0</v>
      </c>
      <c r="W1843">
        <v>9</v>
      </c>
      <c r="X1843">
        <v>7</v>
      </c>
      <c r="Y1843">
        <v>11</v>
      </c>
      <c r="Z1843">
        <v>27</v>
      </c>
      <c r="AA1843">
        <v>3</v>
      </c>
      <c r="AB1843" t="str">
        <f t="shared" si="86"/>
        <v>Above average customer</v>
      </c>
    </row>
    <row r="1844" spans="1:28" x14ac:dyDescent="0.35">
      <c r="A1844">
        <v>10164</v>
      </c>
      <c r="B1844">
        <v>1958</v>
      </c>
      <c r="C1844" t="s">
        <v>25</v>
      </c>
      <c r="D1844" t="s">
        <v>26</v>
      </c>
      <c r="E1844" t="s">
        <v>27</v>
      </c>
      <c r="F1844">
        <v>94472</v>
      </c>
      <c r="G1844" t="str">
        <f t="shared" si="84"/>
        <v>High</v>
      </c>
      <c r="H1844">
        <v>0</v>
      </c>
      <c r="I1844">
        <v>1</v>
      </c>
      <c r="J1844">
        <v>1</v>
      </c>
      <c r="K1844" s="1">
        <v>41732</v>
      </c>
      <c r="L1844">
        <v>75</v>
      </c>
      <c r="M1844" t="str">
        <f t="shared" si="85"/>
        <v>Inactive</v>
      </c>
      <c r="N1844">
        <v>0</v>
      </c>
      <c r="O1844">
        <v>1017</v>
      </c>
      <c r="P1844">
        <v>33</v>
      </c>
      <c r="Q1844">
        <v>417</v>
      </c>
      <c r="R1844">
        <v>108</v>
      </c>
      <c r="S1844">
        <v>100</v>
      </c>
      <c r="T1844">
        <v>16</v>
      </c>
      <c r="U1844">
        <v>1691</v>
      </c>
      <c r="V1844">
        <v>1</v>
      </c>
      <c r="W1844">
        <v>5</v>
      </c>
      <c r="X1844">
        <v>5</v>
      </c>
      <c r="Y1844">
        <v>5</v>
      </c>
      <c r="Z1844">
        <v>15</v>
      </c>
      <c r="AA1844">
        <v>5</v>
      </c>
      <c r="AB1844" t="str">
        <f t="shared" si="86"/>
        <v>Below average customer</v>
      </c>
    </row>
    <row r="1845" spans="1:28" x14ac:dyDescent="0.35">
      <c r="A1845">
        <v>4547</v>
      </c>
      <c r="B1845">
        <v>1960</v>
      </c>
      <c r="C1845" t="s">
        <v>25</v>
      </c>
      <c r="D1845" t="s">
        <v>26</v>
      </c>
      <c r="E1845" t="s">
        <v>29</v>
      </c>
      <c r="F1845">
        <v>13672</v>
      </c>
      <c r="G1845" t="str">
        <f t="shared" si="84"/>
        <v>Low</v>
      </c>
      <c r="H1845">
        <v>1</v>
      </c>
      <c r="I1845">
        <v>1</v>
      </c>
      <c r="J1845">
        <v>2</v>
      </c>
      <c r="K1845" s="1">
        <v>41381</v>
      </c>
      <c r="L1845">
        <v>86</v>
      </c>
      <c r="M1845" t="str">
        <f t="shared" si="85"/>
        <v>Inactive</v>
      </c>
      <c r="N1845">
        <v>0</v>
      </c>
      <c r="O1845">
        <v>6</v>
      </c>
      <c r="P1845">
        <v>2</v>
      </c>
      <c r="Q1845">
        <v>9</v>
      </c>
      <c r="R1845">
        <v>2</v>
      </c>
      <c r="S1845">
        <v>1</v>
      </c>
      <c r="T1845">
        <v>5</v>
      </c>
      <c r="U1845">
        <v>25</v>
      </c>
      <c r="V1845">
        <v>2</v>
      </c>
      <c r="W1845">
        <v>1</v>
      </c>
      <c r="X1845">
        <v>0</v>
      </c>
      <c r="Y1845">
        <v>3</v>
      </c>
      <c r="Z1845">
        <v>4</v>
      </c>
      <c r="AA1845">
        <v>8</v>
      </c>
      <c r="AB1845" t="str">
        <f t="shared" si="86"/>
        <v>Below average customer</v>
      </c>
    </row>
    <row r="1846" spans="1:28" x14ac:dyDescent="0.35">
      <c r="A1846">
        <v>6815</v>
      </c>
      <c r="B1846">
        <v>1980</v>
      </c>
      <c r="C1846" t="s">
        <v>31</v>
      </c>
      <c r="D1846" t="s">
        <v>34</v>
      </c>
      <c r="E1846" t="s">
        <v>33</v>
      </c>
      <c r="F1846">
        <v>96547</v>
      </c>
      <c r="G1846" t="str">
        <f t="shared" si="84"/>
        <v>High</v>
      </c>
      <c r="H1846">
        <v>0</v>
      </c>
      <c r="I1846">
        <v>0</v>
      </c>
      <c r="J1846">
        <v>0</v>
      </c>
      <c r="K1846" s="1">
        <v>41782</v>
      </c>
      <c r="L1846">
        <v>4</v>
      </c>
      <c r="M1846" t="str">
        <f t="shared" si="85"/>
        <v>Active</v>
      </c>
      <c r="N1846">
        <v>0</v>
      </c>
      <c r="O1846">
        <v>448</v>
      </c>
      <c r="P1846">
        <v>21</v>
      </c>
      <c r="Q1846">
        <v>125</v>
      </c>
      <c r="R1846">
        <v>52</v>
      </c>
      <c r="S1846">
        <v>101</v>
      </c>
      <c r="T1846">
        <v>62</v>
      </c>
      <c r="U1846">
        <v>809</v>
      </c>
      <c r="V1846">
        <v>0</v>
      </c>
      <c r="W1846">
        <v>7</v>
      </c>
      <c r="X1846">
        <v>6</v>
      </c>
      <c r="Y1846">
        <v>8</v>
      </c>
      <c r="Z1846">
        <v>21</v>
      </c>
      <c r="AA1846">
        <v>2</v>
      </c>
      <c r="AB1846" t="str">
        <f t="shared" si="86"/>
        <v>Above average customer</v>
      </c>
    </row>
    <row r="1847" spans="1:28" x14ac:dyDescent="0.35">
      <c r="A1847">
        <v>4122</v>
      </c>
      <c r="B1847">
        <v>1975</v>
      </c>
      <c r="C1847" t="s">
        <v>31</v>
      </c>
      <c r="D1847" t="s">
        <v>26</v>
      </c>
      <c r="E1847" t="s">
        <v>33</v>
      </c>
      <c r="F1847">
        <v>79205</v>
      </c>
      <c r="G1847" t="str">
        <f t="shared" si="84"/>
        <v>High</v>
      </c>
      <c r="H1847">
        <v>0</v>
      </c>
      <c r="I1847">
        <v>0</v>
      </c>
      <c r="J1847">
        <v>0</v>
      </c>
      <c r="K1847" s="1">
        <v>41150</v>
      </c>
      <c r="L1847">
        <v>73</v>
      </c>
      <c r="M1847" t="str">
        <f t="shared" si="85"/>
        <v>Inactive</v>
      </c>
      <c r="N1847">
        <v>0</v>
      </c>
      <c r="O1847">
        <v>504</v>
      </c>
      <c r="P1847">
        <v>23</v>
      </c>
      <c r="Q1847">
        <v>117</v>
      </c>
      <c r="R1847">
        <v>179</v>
      </c>
      <c r="S1847">
        <v>28</v>
      </c>
      <c r="T1847">
        <v>44</v>
      </c>
      <c r="U1847">
        <v>895</v>
      </c>
      <c r="V1847">
        <v>1</v>
      </c>
      <c r="W1847">
        <v>6</v>
      </c>
      <c r="X1847">
        <v>5</v>
      </c>
      <c r="Y1847">
        <v>4</v>
      </c>
      <c r="Z1847">
        <v>15</v>
      </c>
      <c r="AA1847">
        <v>4</v>
      </c>
      <c r="AB1847" t="str">
        <f t="shared" si="86"/>
        <v>Below average customer</v>
      </c>
    </row>
    <row r="1848" spans="1:28" x14ac:dyDescent="0.35">
      <c r="A1848">
        <v>10841</v>
      </c>
      <c r="B1848">
        <v>1975</v>
      </c>
      <c r="C1848" t="s">
        <v>31</v>
      </c>
      <c r="D1848" t="s">
        <v>32</v>
      </c>
      <c r="E1848" t="s">
        <v>29</v>
      </c>
      <c r="F1848">
        <v>56559</v>
      </c>
      <c r="G1848" t="str">
        <f t="shared" si="84"/>
        <v>Mid-high</v>
      </c>
      <c r="H1848">
        <v>0</v>
      </c>
      <c r="I1848">
        <v>1</v>
      </c>
      <c r="J1848">
        <v>1</v>
      </c>
      <c r="K1848" s="1">
        <v>41268</v>
      </c>
      <c r="L1848">
        <v>46</v>
      </c>
      <c r="M1848" t="str">
        <f t="shared" si="85"/>
        <v>Active</v>
      </c>
      <c r="N1848">
        <v>0</v>
      </c>
      <c r="O1848">
        <v>226</v>
      </c>
      <c r="P1848">
        <v>22</v>
      </c>
      <c r="Q1848">
        <v>133</v>
      </c>
      <c r="R1848">
        <v>41</v>
      </c>
      <c r="S1848">
        <v>31</v>
      </c>
      <c r="T1848">
        <v>31</v>
      </c>
      <c r="U1848">
        <v>484</v>
      </c>
      <c r="V1848">
        <v>3</v>
      </c>
      <c r="W1848">
        <v>4</v>
      </c>
      <c r="X1848">
        <v>3</v>
      </c>
      <c r="Y1848">
        <v>8</v>
      </c>
      <c r="Z1848">
        <v>15</v>
      </c>
      <c r="AA1848">
        <v>4</v>
      </c>
      <c r="AB1848" t="str">
        <f t="shared" si="86"/>
        <v>Below average customer</v>
      </c>
    </row>
    <row r="1849" spans="1:28" x14ac:dyDescent="0.35">
      <c r="A1849">
        <v>5370</v>
      </c>
      <c r="B1849">
        <v>1973</v>
      </c>
      <c r="C1849" t="s">
        <v>31</v>
      </c>
      <c r="D1849" t="s">
        <v>32</v>
      </c>
      <c r="E1849" t="s">
        <v>33</v>
      </c>
      <c r="F1849">
        <v>32644</v>
      </c>
      <c r="G1849" t="str">
        <f t="shared" si="84"/>
        <v>Low</v>
      </c>
      <c r="H1849">
        <v>1</v>
      </c>
      <c r="I1849">
        <v>0</v>
      </c>
      <c r="J1849">
        <v>1</v>
      </c>
      <c r="K1849" s="1">
        <v>41290</v>
      </c>
      <c r="L1849">
        <v>38</v>
      </c>
      <c r="M1849" t="str">
        <f t="shared" si="85"/>
        <v>Active</v>
      </c>
      <c r="N1849">
        <v>0</v>
      </c>
      <c r="O1849">
        <v>239</v>
      </c>
      <c r="P1849">
        <v>3</v>
      </c>
      <c r="Q1849">
        <v>141</v>
      </c>
      <c r="R1849">
        <v>0</v>
      </c>
      <c r="S1849">
        <v>7</v>
      </c>
      <c r="T1849">
        <v>23</v>
      </c>
      <c r="U1849">
        <v>413</v>
      </c>
      <c r="V1849">
        <v>4</v>
      </c>
      <c r="W1849">
        <v>7</v>
      </c>
      <c r="X1849">
        <v>1</v>
      </c>
      <c r="Y1849">
        <v>6</v>
      </c>
      <c r="Z1849">
        <v>14</v>
      </c>
      <c r="AA1849">
        <v>8</v>
      </c>
      <c r="AB1849" t="str">
        <f t="shared" si="86"/>
        <v>Below average customer</v>
      </c>
    </row>
    <row r="1850" spans="1:28" x14ac:dyDescent="0.35">
      <c r="A1850">
        <v>176</v>
      </c>
      <c r="B1850">
        <v>1980</v>
      </c>
      <c r="C1850" t="s">
        <v>31</v>
      </c>
      <c r="D1850" t="s">
        <v>34</v>
      </c>
      <c r="E1850" t="s">
        <v>27</v>
      </c>
      <c r="F1850">
        <v>67506</v>
      </c>
      <c r="G1850" t="str">
        <f t="shared" si="84"/>
        <v>Mid-high</v>
      </c>
      <c r="H1850">
        <v>0</v>
      </c>
      <c r="I1850">
        <v>1</v>
      </c>
      <c r="J1850">
        <v>1</v>
      </c>
      <c r="K1850" s="1">
        <v>41641</v>
      </c>
      <c r="L1850">
        <v>73</v>
      </c>
      <c r="M1850" t="str">
        <f t="shared" si="85"/>
        <v>Inactive</v>
      </c>
      <c r="N1850">
        <v>0</v>
      </c>
      <c r="O1850">
        <v>90</v>
      </c>
      <c r="P1850">
        <v>38</v>
      </c>
      <c r="Q1850">
        <v>67</v>
      </c>
      <c r="R1850">
        <v>33</v>
      </c>
      <c r="S1850">
        <v>36</v>
      </c>
      <c r="T1850">
        <v>67</v>
      </c>
      <c r="U1850">
        <v>331</v>
      </c>
      <c r="V1850">
        <v>1</v>
      </c>
      <c r="W1850">
        <v>4</v>
      </c>
      <c r="X1850">
        <v>1</v>
      </c>
      <c r="Y1850">
        <v>6</v>
      </c>
      <c r="Z1850">
        <v>11</v>
      </c>
      <c r="AA1850">
        <v>3</v>
      </c>
      <c r="AB1850" t="str">
        <f t="shared" si="86"/>
        <v>Below average customer</v>
      </c>
    </row>
    <row r="1851" spans="1:28" x14ac:dyDescent="0.35">
      <c r="A1851">
        <v>4860</v>
      </c>
      <c r="B1851">
        <v>1970</v>
      </c>
      <c r="C1851" t="s">
        <v>28</v>
      </c>
      <c r="D1851" t="s">
        <v>26</v>
      </c>
      <c r="E1851" t="s">
        <v>27</v>
      </c>
      <c r="F1851">
        <v>24206</v>
      </c>
      <c r="G1851" t="str">
        <f t="shared" si="84"/>
        <v>Low</v>
      </c>
      <c r="H1851">
        <v>1</v>
      </c>
      <c r="I1851">
        <v>0</v>
      </c>
      <c r="J1851">
        <v>1</v>
      </c>
      <c r="K1851" s="1">
        <v>41341</v>
      </c>
      <c r="L1851">
        <v>66</v>
      </c>
      <c r="M1851" t="str">
        <f t="shared" si="85"/>
        <v>Inactive</v>
      </c>
      <c r="N1851">
        <v>0</v>
      </c>
      <c r="O1851">
        <v>7</v>
      </c>
      <c r="P1851">
        <v>2</v>
      </c>
      <c r="Q1851">
        <v>8</v>
      </c>
      <c r="R1851">
        <v>3</v>
      </c>
      <c r="S1851">
        <v>2</v>
      </c>
      <c r="T1851">
        <v>3</v>
      </c>
      <c r="U1851">
        <v>25</v>
      </c>
      <c r="V1851">
        <v>1</v>
      </c>
      <c r="W1851">
        <v>1</v>
      </c>
      <c r="X1851">
        <v>0</v>
      </c>
      <c r="Y1851">
        <v>3</v>
      </c>
      <c r="Z1851">
        <v>4</v>
      </c>
      <c r="AA1851">
        <v>6</v>
      </c>
      <c r="AB1851" t="str">
        <f t="shared" si="86"/>
        <v>Below average customer</v>
      </c>
    </row>
    <row r="1852" spans="1:28" x14ac:dyDescent="0.35">
      <c r="A1852">
        <v>10757</v>
      </c>
      <c r="B1852">
        <v>1967</v>
      </c>
      <c r="C1852" t="s">
        <v>28</v>
      </c>
      <c r="D1852" t="s">
        <v>32</v>
      </c>
      <c r="E1852" t="s">
        <v>35</v>
      </c>
      <c r="F1852">
        <v>28420</v>
      </c>
      <c r="G1852" t="str">
        <f t="shared" si="84"/>
        <v>Low</v>
      </c>
      <c r="H1852">
        <v>1</v>
      </c>
      <c r="I1852">
        <v>0</v>
      </c>
      <c r="J1852">
        <v>1</v>
      </c>
      <c r="K1852" s="1">
        <v>41632</v>
      </c>
      <c r="L1852">
        <v>36</v>
      </c>
      <c r="M1852" t="str">
        <f t="shared" si="85"/>
        <v>Active</v>
      </c>
      <c r="N1852">
        <v>0</v>
      </c>
      <c r="O1852">
        <v>4</v>
      </c>
      <c r="P1852">
        <v>2</v>
      </c>
      <c r="Q1852">
        <v>5</v>
      </c>
      <c r="R1852">
        <v>2</v>
      </c>
      <c r="S1852">
        <v>0</v>
      </c>
      <c r="T1852">
        <v>0</v>
      </c>
      <c r="U1852">
        <v>13</v>
      </c>
      <c r="V1852">
        <v>1</v>
      </c>
      <c r="W1852">
        <v>1</v>
      </c>
      <c r="X1852">
        <v>0</v>
      </c>
      <c r="Y1852">
        <v>2</v>
      </c>
      <c r="Z1852">
        <v>3</v>
      </c>
      <c r="AA1852">
        <v>6</v>
      </c>
      <c r="AB1852" t="str">
        <f t="shared" si="86"/>
        <v>Below average customer</v>
      </c>
    </row>
    <row r="1853" spans="1:28" x14ac:dyDescent="0.35">
      <c r="A1853">
        <v>4023</v>
      </c>
      <c r="B1853">
        <v>1970</v>
      </c>
      <c r="C1853" t="s">
        <v>28</v>
      </c>
      <c r="D1853" t="s">
        <v>26</v>
      </c>
      <c r="E1853" t="s">
        <v>33</v>
      </c>
      <c r="F1853">
        <v>22979</v>
      </c>
      <c r="G1853" t="str">
        <f t="shared" si="84"/>
        <v>Low</v>
      </c>
      <c r="H1853">
        <v>1</v>
      </c>
      <c r="I1853">
        <v>0</v>
      </c>
      <c r="J1853">
        <v>1</v>
      </c>
      <c r="K1853" s="1">
        <v>41158</v>
      </c>
      <c r="L1853">
        <v>29</v>
      </c>
      <c r="M1853" t="str">
        <f t="shared" si="85"/>
        <v>Active</v>
      </c>
      <c r="N1853">
        <v>0</v>
      </c>
      <c r="O1853">
        <v>16</v>
      </c>
      <c r="P1853">
        <v>17</v>
      </c>
      <c r="Q1853">
        <v>19</v>
      </c>
      <c r="R1853">
        <v>20</v>
      </c>
      <c r="S1853">
        <v>21</v>
      </c>
      <c r="T1853">
        <v>22</v>
      </c>
      <c r="U1853">
        <v>115</v>
      </c>
      <c r="V1853">
        <v>3</v>
      </c>
      <c r="W1853">
        <v>3</v>
      </c>
      <c r="X1853">
        <v>2</v>
      </c>
      <c r="Y1853">
        <v>2</v>
      </c>
      <c r="Z1853">
        <v>7</v>
      </c>
      <c r="AA1853">
        <v>8</v>
      </c>
      <c r="AB1853" t="str">
        <f t="shared" si="86"/>
        <v>Below average customer</v>
      </c>
    </row>
    <row r="1854" spans="1:28" x14ac:dyDescent="0.35">
      <c r="A1854">
        <v>6679</v>
      </c>
      <c r="B1854">
        <v>1966</v>
      </c>
      <c r="C1854" t="s">
        <v>28</v>
      </c>
      <c r="D1854" t="s">
        <v>26</v>
      </c>
      <c r="E1854" t="s">
        <v>27</v>
      </c>
      <c r="F1854">
        <v>33279</v>
      </c>
      <c r="G1854" t="str">
        <f t="shared" si="84"/>
        <v>Low</v>
      </c>
      <c r="H1854">
        <v>0</v>
      </c>
      <c r="I1854">
        <v>0</v>
      </c>
      <c r="J1854">
        <v>0</v>
      </c>
      <c r="K1854" s="1">
        <v>41802</v>
      </c>
      <c r="L1854">
        <v>29</v>
      </c>
      <c r="M1854" t="str">
        <f t="shared" si="85"/>
        <v>Active</v>
      </c>
      <c r="N1854">
        <v>0</v>
      </c>
      <c r="O1854">
        <v>10</v>
      </c>
      <c r="P1854">
        <v>3</v>
      </c>
      <c r="Q1854">
        <v>3</v>
      </c>
      <c r="R1854">
        <v>0</v>
      </c>
      <c r="S1854">
        <v>0</v>
      </c>
      <c r="T1854">
        <v>0</v>
      </c>
      <c r="U1854">
        <v>16</v>
      </c>
      <c r="V1854">
        <v>1</v>
      </c>
      <c r="W1854">
        <v>0</v>
      </c>
      <c r="X1854">
        <v>0</v>
      </c>
      <c r="Y1854">
        <v>3</v>
      </c>
      <c r="Z1854">
        <v>3</v>
      </c>
      <c r="AA1854">
        <v>3</v>
      </c>
      <c r="AB1854" t="str">
        <f t="shared" si="86"/>
        <v>Below average customer</v>
      </c>
    </row>
    <row r="1855" spans="1:28" x14ac:dyDescent="0.35">
      <c r="A1855">
        <v>7181</v>
      </c>
      <c r="B1855">
        <v>1977</v>
      </c>
      <c r="C1855" t="s">
        <v>31</v>
      </c>
      <c r="D1855" t="s">
        <v>26</v>
      </c>
      <c r="E1855" t="s">
        <v>33</v>
      </c>
      <c r="F1855">
        <v>30368</v>
      </c>
      <c r="G1855" t="str">
        <f t="shared" si="84"/>
        <v>Low</v>
      </c>
      <c r="H1855">
        <v>0</v>
      </c>
      <c r="I1855">
        <v>1</v>
      </c>
      <c r="J1855">
        <v>1</v>
      </c>
      <c r="K1855" s="1">
        <v>41585</v>
      </c>
      <c r="L1855">
        <v>97</v>
      </c>
      <c r="M1855" t="str">
        <f t="shared" si="85"/>
        <v>Inactive</v>
      </c>
      <c r="N1855">
        <v>0</v>
      </c>
      <c r="O1855">
        <v>35</v>
      </c>
      <c r="P1855">
        <v>0</v>
      </c>
      <c r="Q1855">
        <v>13</v>
      </c>
      <c r="R1855">
        <v>2</v>
      </c>
      <c r="S1855">
        <v>0</v>
      </c>
      <c r="T1855">
        <v>2</v>
      </c>
      <c r="U1855">
        <v>52</v>
      </c>
      <c r="V1855">
        <v>2</v>
      </c>
      <c r="W1855">
        <v>2</v>
      </c>
      <c r="X1855">
        <v>0</v>
      </c>
      <c r="Y1855">
        <v>3</v>
      </c>
      <c r="Z1855">
        <v>5</v>
      </c>
      <c r="AA1855">
        <v>8</v>
      </c>
      <c r="AB1855" t="str">
        <f t="shared" si="86"/>
        <v>Below average customer</v>
      </c>
    </row>
    <row r="1856" spans="1:28" x14ac:dyDescent="0.35">
      <c r="A1856">
        <v>3599</v>
      </c>
      <c r="B1856">
        <v>1970</v>
      </c>
      <c r="C1856" t="s">
        <v>28</v>
      </c>
      <c r="D1856" t="s">
        <v>26</v>
      </c>
      <c r="E1856" t="s">
        <v>33</v>
      </c>
      <c r="F1856">
        <v>63684</v>
      </c>
      <c r="G1856" t="str">
        <f t="shared" si="84"/>
        <v>Mid-high</v>
      </c>
      <c r="H1856">
        <v>0</v>
      </c>
      <c r="I1856">
        <v>1</v>
      </c>
      <c r="J1856">
        <v>1</v>
      </c>
      <c r="K1856" s="1">
        <v>41239</v>
      </c>
      <c r="L1856">
        <v>61</v>
      </c>
      <c r="M1856" t="str">
        <f t="shared" si="85"/>
        <v>Inactive</v>
      </c>
      <c r="N1856">
        <v>0</v>
      </c>
      <c r="O1856">
        <v>575</v>
      </c>
      <c r="P1856">
        <v>80</v>
      </c>
      <c r="Q1856">
        <v>428</v>
      </c>
      <c r="R1856">
        <v>208</v>
      </c>
      <c r="S1856">
        <v>93</v>
      </c>
      <c r="T1856">
        <v>80</v>
      </c>
      <c r="U1856">
        <v>1464</v>
      </c>
      <c r="V1856">
        <v>3</v>
      </c>
      <c r="W1856">
        <v>8</v>
      </c>
      <c r="X1856">
        <v>4</v>
      </c>
      <c r="Y1856">
        <v>8</v>
      </c>
      <c r="Z1856">
        <v>20</v>
      </c>
      <c r="AA1856">
        <v>5</v>
      </c>
      <c r="AB1856" t="str">
        <f t="shared" si="86"/>
        <v>Below average customer</v>
      </c>
    </row>
    <row r="1857" spans="1:28" x14ac:dyDescent="0.35">
      <c r="A1857">
        <v>405</v>
      </c>
      <c r="B1857">
        <v>1964</v>
      </c>
      <c r="C1857" t="s">
        <v>28</v>
      </c>
      <c r="D1857" t="s">
        <v>26</v>
      </c>
      <c r="E1857" t="s">
        <v>35</v>
      </c>
      <c r="F1857">
        <v>41638</v>
      </c>
      <c r="G1857" t="str">
        <f t="shared" si="84"/>
        <v>Mid-low</v>
      </c>
      <c r="H1857">
        <v>0</v>
      </c>
      <c r="I1857">
        <v>1</v>
      </c>
      <c r="J1857">
        <v>1</v>
      </c>
      <c r="K1857" s="1">
        <v>41318</v>
      </c>
      <c r="L1857">
        <v>68</v>
      </c>
      <c r="M1857" t="str">
        <f t="shared" si="85"/>
        <v>Inactive</v>
      </c>
      <c r="N1857">
        <v>0</v>
      </c>
      <c r="O1857">
        <v>315</v>
      </c>
      <c r="P1857">
        <v>0</v>
      </c>
      <c r="Q1857">
        <v>31</v>
      </c>
      <c r="R1857">
        <v>4</v>
      </c>
      <c r="S1857">
        <v>0</v>
      </c>
      <c r="T1857">
        <v>91</v>
      </c>
      <c r="U1857">
        <v>441</v>
      </c>
      <c r="V1857">
        <v>4</v>
      </c>
      <c r="W1857">
        <v>5</v>
      </c>
      <c r="X1857">
        <v>5</v>
      </c>
      <c r="Y1857">
        <v>3</v>
      </c>
      <c r="Z1857">
        <v>13</v>
      </c>
      <c r="AA1857">
        <v>8</v>
      </c>
      <c r="AB1857" t="str">
        <f t="shared" si="86"/>
        <v>Below average customer</v>
      </c>
    </row>
    <row r="1858" spans="1:28" x14ac:dyDescent="0.35">
      <c r="A1858">
        <v>6870</v>
      </c>
      <c r="B1858">
        <v>1959</v>
      </c>
      <c r="C1858" t="s">
        <v>25</v>
      </c>
      <c r="D1858" t="s">
        <v>32</v>
      </c>
      <c r="E1858" t="s">
        <v>35</v>
      </c>
      <c r="F1858">
        <v>68805</v>
      </c>
      <c r="G1858" t="str">
        <f t="shared" ref="G1858:G1921" si="87">IF(F1858&lt;=_xlfn.PERCENTILE.INC($F$2:$F$2056,0.25),"Low",IF(F1858&lt;=_xlfn.PERCENTILE.INC($F$2:$F$2056,0.5),"Mid-low",IF(F1858&lt;=_xlfn.PERCENTILE.INC($F$2:$F$2056,0.75),"Mid-high","High")))</f>
        <v>High</v>
      </c>
      <c r="H1858">
        <v>0</v>
      </c>
      <c r="I1858">
        <v>1</v>
      </c>
      <c r="J1858">
        <v>1</v>
      </c>
      <c r="K1858" s="1">
        <v>41534</v>
      </c>
      <c r="L1858">
        <v>73</v>
      </c>
      <c r="M1858" t="str">
        <f t="shared" ref="M1858:M1921" si="88">IF(L1858&gt;AVERAGE($L$2:$L$2056),"Inactive","Active")</f>
        <v>Inactive</v>
      </c>
      <c r="N1858">
        <v>0</v>
      </c>
      <c r="O1858">
        <v>182</v>
      </c>
      <c r="P1858">
        <v>2</v>
      </c>
      <c r="Q1858">
        <v>49</v>
      </c>
      <c r="R1858">
        <v>17</v>
      </c>
      <c r="S1858">
        <v>13</v>
      </c>
      <c r="T1858">
        <v>20</v>
      </c>
      <c r="U1858">
        <v>283</v>
      </c>
      <c r="V1858">
        <v>1</v>
      </c>
      <c r="W1858">
        <v>3</v>
      </c>
      <c r="X1858">
        <v>1</v>
      </c>
      <c r="Y1858">
        <v>7</v>
      </c>
      <c r="Z1858">
        <v>11</v>
      </c>
      <c r="AA1858">
        <v>2</v>
      </c>
      <c r="AB1858" t="str">
        <f t="shared" ref="AB1858:AB1921" si="89">IF(AND(Z1858&gt;AVERAGE($Z$2:$Z$2056),U1858&gt;AVERAGE($U$2:$U$2056),N1858=0,L1858&lt;AVERAGE($L$2:$L$2056),F1858&gt;AVERAGE($F$2:$F$2240)),"Above average customer","Below average customer")</f>
        <v>Below average customer</v>
      </c>
    </row>
    <row r="1859" spans="1:28" x14ac:dyDescent="0.35">
      <c r="A1859">
        <v>832</v>
      </c>
      <c r="B1859">
        <v>1966</v>
      </c>
      <c r="C1859" t="s">
        <v>28</v>
      </c>
      <c r="D1859" t="s">
        <v>32</v>
      </c>
      <c r="E1859" t="s">
        <v>29</v>
      </c>
      <c r="F1859">
        <v>65814</v>
      </c>
      <c r="G1859" t="str">
        <f t="shared" si="87"/>
        <v>Mid-high</v>
      </c>
      <c r="H1859">
        <v>0</v>
      </c>
      <c r="I1859">
        <v>1</v>
      </c>
      <c r="J1859">
        <v>1</v>
      </c>
      <c r="K1859" s="1">
        <v>41700</v>
      </c>
      <c r="L1859">
        <v>90</v>
      </c>
      <c r="M1859" t="str">
        <f t="shared" si="88"/>
        <v>Inactive</v>
      </c>
      <c r="N1859">
        <v>0</v>
      </c>
      <c r="O1859">
        <v>561</v>
      </c>
      <c r="P1859">
        <v>14</v>
      </c>
      <c r="Q1859">
        <v>113</v>
      </c>
      <c r="R1859">
        <v>10</v>
      </c>
      <c r="S1859">
        <v>14</v>
      </c>
      <c r="T1859">
        <v>35</v>
      </c>
      <c r="U1859">
        <v>747</v>
      </c>
      <c r="V1859">
        <v>3</v>
      </c>
      <c r="W1859">
        <v>8</v>
      </c>
      <c r="X1859">
        <v>2</v>
      </c>
      <c r="Y1859">
        <v>10</v>
      </c>
      <c r="Z1859">
        <v>20</v>
      </c>
      <c r="AA1859">
        <v>5</v>
      </c>
      <c r="AB1859" t="str">
        <f t="shared" si="89"/>
        <v>Below average customer</v>
      </c>
    </row>
    <row r="1860" spans="1:28" x14ac:dyDescent="0.35">
      <c r="A1860">
        <v>2002</v>
      </c>
      <c r="B1860">
        <v>1958</v>
      </c>
      <c r="C1860" t="s">
        <v>25</v>
      </c>
      <c r="D1860" t="s">
        <v>26</v>
      </c>
      <c r="E1860" t="s">
        <v>35</v>
      </c>
      <c r="F1860">
        <v>71964</v>
      </c>
      <c r="G1860" t="str">
        <f t="shared" si="87"/>
        <v>High</v>
      </c>
      <c r="H1860">
        <v>0</v>
      </c>
      <c r="I1860">
        <v>0</v>
      </c>
      <c r="J1860">
        <v>0</v>
      </c>
      <c r="K1860" s="1">
        <v>41414</v>
      </c>
      <c r="L1860">
        <v>81</v>
      </c>
      <c r="M1860" t="str">
        <f t="shared" si="88"/>
        <v>Inactive</v>
      </c>
      <c r="N1860">
        <v>0</v>
      </c>
      <c r="O1860">
        <v>587</v>
      </c>
      <c r="P1860">
        <v>51</v>
      </c>
      <c r="Q1860">
        <v>932</v>
      </c>
      <c r="R1860">
        <v>180</v>
      </c>
      <c r="S1860">
        <v>34</v>
      </c>
      <c r="T1860">
        <v>86</v>
      </c>
      <c r="U1860">
        <v>1870</v>
      </c>
      <c r="V1860">
        <v>1</v>
      </c>
      <c r="W1860">
        <v>5</v>
      </c>
      <c r="X1860">
        <v>6</v>
      </c>
      <c r="Y1860">
        <v>5</v>
      </c>
      <c r="Z1860">
        <v>16</v>
      </c>
      <c r="AA1860">
        <v>3</v>
      </c>
      <c r="AB1860" t="str">
        <f t="shared" si="89"/>
        <v>Below average customer</v>
      </c>
    </row>
    <row r="1861" spans="1:28" x14ac:dyDescent="0.35">
      <c r="A1861">
        <v>3657</v>
      </c>
      <c r="B1861">
        <v>1986</v>
      </c>
      <c r="C1861" t="s">
        <v>30</v>
      </c>
      <c r="D1861" t="s">
        <v>26</v>
      </c>
      <c r="E1861" t="s">
        <v>27</v>
      </c>
      <c r="F1861">
        <v>39146</v>
      </c>
      <c r="G1861" t="str">
        <f t="shared" si="87"/>
        <v>Mid-low</v>
      </c>
      <c r="H1861">
        <v>1</v>
      </c>
      <c r="I1861">
        <v>0</v>
      </c>
      <c r="J1861">
        <v>1</v>
      </c>
      <c r="K1861" s="1">
        <v>41319</v>
      </c>
      <c r="L1861">
        <v>1</v>
      </c>
      <c r="M1861" t="str">
        <f t="shared" si="88"/>
        <v>Active</v>
      </c>
      <c r="N1861">
        <v>0</v>
      </c>
      <c r="O1861">
        <v>94</v>
      </c>
      <c r="P1861">
        <v>1</v>
      </c>
      <c r="Q1861">
        <v>33</v>
      </c>
      <c r="R1861">
        <v>13</v>
      </c>
      <c r="S1861">
        <v>12</v>
      </c>
      <c r="T1861">
        <v>12</v>
      </c>
      <c r="U1861">
        <v>165</v>
      </c>
      <c r="V1861">
        <v>3</v>
      </c>
      <c r="W1861">
        <v>4</v>
      </c>
      <c r="X1861">
        <v>0</v>
      </c>
      <c r="Y1861">
        <v>4</v>
      </c>
      <c r="Z1861">
        <v>8</v>
      </c>
      <c r="AA1861">
        <v>8</v>
      </c>
      <c r="AB1861" t="str">
        <f t="shared" si="89"/>
        <v>Below average customer</v>
      </c>
    </row>
    <row r="1862" spans="1:28" x14ac:dyDescent="0.35">
      <c r="A1862">
        <v>500</v>
      </c>
      <c r="B1862">
        <v>1977</v>
      </c>
      <c r="C1862" t="s">
        <v>31</v>
      </c>
      <c r="D1862" t="s">
        <v>26</v>
      </c>
      <c r="E1862" t="s">
        <v>29</v>
      </c>
      <c r="F1862">
        <v>96876</v>
      </c>
      <c r="G1862" t="str">
        <f t="shared" si="87"/>
        <v>High</v>
      </c>
      <c r="H1862">
        <v>0</v>
      </c>
      <c r="I1862">
        <v>0</v>
      </c>
      <c r="J1862">
        <v>0</v>
      </c>
      <c r="K1862" s="1">
        <v>41492</v>
      </c>
      <c r="L1862">
        <v>79</v>
      </c>
      <c r="M1862" t="str">
        <f t="shared" si="88"/>
        <v>Inactive</v>
      </c>
      <c r="N1862">
        <v>0</v>
      </c>
      <c r="O1862">
        <v>908</v>
      </c>
      <c r="P1862">
        <v>43</v>
      </c>
      <c r="Q1862">
        <v>735</v>
      </c>
      <c r="R1862">
        <v>40</v>
      </c>
      <c r="S1862">
        <v>194</v>
      </c>
      <c r="T1862">
        <v>21</v>
      </c>
      <c r="U1862">
        <v>1941</v>
      </c>
      <c r="V1862">
        <v>1</v>
      </c>
      <c r="W1862">
        <v>7</v>
      </c>
      <c r="X1862">
        <v>7</v>
      </c>
      <c r="Y1862">
        <v>9</v>
      </c>
      <c r="Z1862">
        <v>23</v>
      </c>
      <c r="AA1862">
        <v>2</v>
      </c>
      <c r="AB1862" t="str">
        <f t="shared" si="89"/>
        <v>Below average customer</v>
      </c>
    </row>
    <row r="1863" spans="1:28" x14ac:dyDescent="0.35">
      <c r="A1863">
        <v>1951</v>
      </c>
      <c r="B1863">
        <v>1981</v>
      </c>
      <c r="C1863" t="s">
        <v>31</v>
      </c>
      <c r="D1863" t="s">
        <v>37</v>
      </c>
      <c r="E1863" t="s">
        <v>33</v>
      </c>
      <c r="F1863">
        <v>34445</v>
      </c>
      <c r="G1863" t="str">
        <f t="shared" si="87"/>
        <v>Low</v>
      </c>
      <c r="H1863">
        <v>0</v>
      </c>
      <c r="I1863">
        <v>0</v>
      </c>
      <c r="J1863">
        <v>0</v>
      </c>
      <c r="K1863" s="1">
        <v>41301</v>
      </c>
      <c r="L1863">
        <v>92</v>
      </c>
      <c r="M1863" t="str">
        <f t="shared" si="88"/>
        <v>Inactive</v>
      </c>
      <c r="N1863">
        <v>0</v>
      </c>
      <c r="O1863">
        <v>228</v>
      </c>
      <c r="P1863">
        <v>122</v>
      </c>
      <c r="Q1863">
        <v>122</v>
      </c>
      <c r="R1863">
        <v>208</v>
      </c>
      <c r="S1863">
        <v>129</v>
      </c>
      <c r="T1863">
        <v>30</v>
      </c>
      <c r="U1863">
        <v>839</v>
      </c>
      <c r="V1863">
        <v>6</v>
      </c>
      <c r="W1863">
        <v>11</v>
      </c>
      <c r="X1863">
        <v>2</v>
      </c>
      <c r="Y1863">
        <v>8</v>
      </c>
      <c r="Z1863">
        <v>21</v>
      </c>
      <c r="AA1863">
        <v>9</v>
      </c>
      <c r="AB1863" t="str">
        <f t="shared" si="89"/>
        <v>Below average customer</v>
      </c>
    </row>
    <row r="1864" spans="1:28" x14ac:dyDescent="0.35">
      <c r="A1864">
        <v>3262</v>
      </c>
      <c r="B1864">
        <v>1958</v>
      </c>
      <c r="C1864" t="s">
        <v>25</v>
      </c>
      <c r="D1864" t="s">
        <v>26</v>
      </c>
      <c r="E1864" t="s">
        <v>27</v>
      </c>
      <c r="F1864">
        <v>68281</v>
      </c>
      <c r="G1864" t="str">
        <f t="shared" si="87"/>
        <v>Mid-high</v>
      </c>
      <c r="H1864">
        <v>0</v>
      </c>
      <c r="I1864">
        <v>0</v>
      </c>
      <c r="J1864">
        <v>0</v>
      </c>
      <c r="K1864" s="1">
        <v>41128</v>
      </c>
      <c r="L1864">
        <v>31</v>
      </c>
      <c r="M1864" t="str">
        <f t="shared" si="88"/>
        <v>Active</v>
      </c>
      <c r="N1864">
        <v>0</v>
      </c>
      <c r="O1864">
        <v>995</v>
      </c>
      <c r="P1864">
        <v>112</v>
      </c>
      <c r="Q1864">
        <v>417</v>
      </c>
      <c r="R1864">
        <v>42</v>
      </c>
      <c r="S1864">
        <v>48</v>
      </c>
      <c r="T1864">
        <v>41</v>
      </c>
      <c r="U1864">
        <v>1655</v>
      </c>
      <c r="V1864">
        <v>1</v>
      </c>
      <c r="W1864">
        <v>2</v>
      </c>
      <c r="X1864">
        <v>9</v>
      </c>
      <c r="Y1864">
        <v>13</v>
      </c>
      <c r="Z1864">
        <v>24</v>
      </c>
      <c r="AA1864">
        <v>5</v>
      </c>
      <c r="AB1864" t="str">
        <f t="shared" si="89"/>
        <v>Above average customer</v>
      </c>
    </row>
    <row r="1865" spans="1:28" x14ac:dyDescent="0.35">
      <c r="A1865">
        <v>7042</v>
      </c>
      <c r="B1865">
        <v>1983</v>
      </c>
      <c r="C1865" t="s">
        <v>30</v>
      </c>
      <c r="D1865" t="s">
        <v>26</v>
      </c>
      <c r="E1865" t="s">
        <v>33</v>
      </c>
      <c r="F1865">
        <v>36790</v>
      </c>
      <c r="G1865" t="str">
        <f t="shared" si="87"/>
        <v>Mid-low</v>
      </c>
      <c r="H1865">
        <v>0</v>
      </c>
      <c r="I1865">
        <v>0</v>
      </c>
      <c r="J1865">
        <v>0</v>
      </c>
      <c r="K1865" s="1">
        <v>41334</v>
      </c>
      <c r="L1865">
        <v>14</v>
      </c>
      <c r="M1865" t="str">
        <f t="shared" si="88"/>
        <v>Active</v>
      </c>
      <c r="N1865">
        <v>0</v>
      </c>
      <c r="O1865">
        <v>3</v>
      </c>
      <c r="P1865">
        <v>3</v>
      </c>
      <c r="Q1865">
        <v>14</v>
      </c>
      <c r="R1865">
        <v>15</v>
      </c>
      <c r="S1865">
        <v>21</v>
      </c>
      <c r="T1865">
        <v>10</v>
      </c>
      <c r="U1865">
        <v>66</v>
      </c>
      <c r="V1865">
        <v>1</v>
      </c>
      <c r="W1865">
        <v>2</v>
      </c>
      <c r="X1865">
        <v>1</v>
      </c>
      <c r="Y1865">
        <v>2</v>
      </c>
      <c r="Z1865">
        <v>5</v>
      </c>
      <c r="AA1865">
        <v>9</v>
      </c>
      <c r="AB1865" t="str">
        <f t="shared" si="89"/>
        <v>Below average customer</v>
      </c>
    </row>
    <row r="1866" spans="1:28" x14ac:dyDescent="0.35">
      <c r="A1866">
        <v>10598</v>
      </c>
      <c r="B1866">
        <v>1967</v>
      </c>
      <c r="C1866" t="s">
        <v>28</v>
      </c>
      <c r="D1866" t="s">
        <v>26</v>
      </c>
      <c r="E1866" t="s">
        <v>29</v>
      </c>
      <c r="F1866">
        <v>27943</v>
      </c>
      <c r="G1866" t="str">
        <f t="shared" si="87"/>
        <v>Low</v>
      </c>
      <c r="H1866">
        <v>1</v>
      </c>
      <c r="I1866">
        <v>1</v>
      </c>
      <c r="J1866">
        <v>2</v>
      </c>
      <c r="K1866" s="1">
        <v>41379</v>
      </c>
      <c r="L1866">
        <v>89</v>
      </c>
      <c r="M1866" t="str">
        <f t="shared" si="88"/>
        <v>Inactive</v>
      </c>
      <c r="N1866">
        <v>0</v>
      </c>
      <c r="O1866">
        <v>12</v>
      </c>
      <c r="P1866">
        <v>1</v>
      </c>
      <c r="Q1866">
        <v>16</v>
      </c>
      <c r="R1866">
        <v>4</v>
      </c>
      <c r="S1866">
        <v>1</v>
      </c>
      <c r="T1866">
        <v>3</v>
      </c>
      <c r="U1866">
        <v>37</v>
      </c>
      <c r="V1866">
        <v>3</v>
      </c>
      <c r="W1866">
        <v>2</v>
      </c>
      <c r="X1866">
        <v>0</v>
      </c>
      <c r="Y1866">
        <v>3</v>
      </c>
      <c r="Z1866">
        <v>5</v>
      </c>
      <c r="AA1866">
        <v>8</v>
      </c>
      <c r="AB1866" t="str">
        <f t="shared" si="89"/>
        <v>Below average customer</v>
      </c>
    </row>
    <row r="1867" spans="1:28" x14ac:dyDescent="0.35">
      <c r="A1867">
        <v>255</v>
      </c>
      <c r="B1867">
        <v>1951</v>
      </c>
      <c r="C1867" t="s">
        <v>36</v>
      </c>
      <c r="D1867" t="s">
        <v>26</v>
      </c>
      <c r="E1867" t="s">
        <v>35</v>
      </c>
      <c r="F1867">
        <v>22263</v>
      </c>
      <c r="G1867" t="str">
        <f t="shared" si="87"/>
        <v>Low</v>
      </c>
      <c r="H1867">
        <v>1</v>
      </c>
      <c r="I1867">
        <v>1</v>
      </c>
      <c r="J1867">
        <v>2</v>
      </c>
      <c r="K1867" s="1">
        <v>41728</v>
      </c>
      <c r="L1867">
        <v>31</v>
      </c>
      <c r="M1867" t="str">
        <f t="shared" si="88"/>
        <v>Active</v>
      </c>
      <c r="N1867">
        <v>1</v>
      </c>
      <c r="O1867">
        <v>17</v>
      </c>
      <c r="P1867">
        <v>0</v>
      </c>
      <c r="Q1867">
        <v>2</v>
      </c>
      <c r="R1867">
        <v>0</v>
      </c>
      <c r="S1867">
        <v>0</v>
      </c>
      <c r="T1867">
        <v>2</v>
      </c>
      <c r="U1867">
        <v>21</v>
      </c>
      <c r="V1867">
        <v>2</v>
      </c>
      <c r="W1867">
        <v>1</v>
      </c>
      <c r="X1867">
        <v>0</v>
      </c>
      <c r="Y1867">
        <v>3</v>
      </c>
      <c r="Z1867">
        <v>4</v>
      </c>
      <c r="AA1867">
        <v>6</v>
      </c>
      <c r="AB1867" t="str">
        <f t="shared" si="89"/>
        <v>Below average customer</v>
      </c>
    </row>
    <row r="1868" spans="1:28" x14ac:dyDescent="0.35">
      <c r="A1868">
        <v>2375</v>
      </c>
      <c r="B1868">
        <v>1972</v>
      </c>
      <c r="C1868" t="s">
        <v>28</v>
      </c>
      <c r="D1868" t="s">
        <v>26</v>
      </c>
      <c r="E1868" t="s">
        <v>29</v>
      </c>
      <c r="F1868">
        <v>30261</v>
      </c>
      <c r="G1868" t="str">
        <f t="shared" si="87"/>
        <v>Low</v>
      </c>
      <c r="H1868">
        <v>1</v>
      </c>
      <c r="I1868">
        <v>2</v>
      </c>
      <c r="J1868">
        <v>3</v>
      </c>
      <c r="K1868" s="1">
        <v>41177</v>
      </c>
      <c r="L1868">
        <v>75</v>
      </c>
      <c r="M1868" t="str">
        <f t="shared" si="88"/>
        <v>Inactive</v>
      </c>
      <c r="N1868">
        <v>0</v>
      </c>
      <c r="O1868">
        <v>8</v>
      </c>
      <c r="P1868">
        <v>0</v>
      </c>
      <c r="Q1868">
        <v>5</v>
      </c>
      <c r="R1868">
        <v>0</v>
      </c>
      <c r="S1868">
        <v>3</v>
      </c>
      <c r="T1868">
        <v>6</v>
      </c>
      <c r="U1868">
        <v>22</v>
      </c>
      <c r="V1868">
        <v>1</v>
      </c>
      <c r="W1868">
        <v>0</v>
      </c>
      <c r="X1868">
        <v>0</v>
      </c>
      <c r="Y1868">
        <v>3</v>
      </c>
      <c r="Z1868">
        <v>3</v>
      </c>
      <c r="AA1868">
        <v>8</v>
      </c>
      <c r="AB1868" t="str">
        <f t="shared" si="89"/>
        <v>Below average customer</v>
      </c>
    </row>
    <row r="1869" spans="1:28" x14ac:dyDescent="0.35">
      <c r="A1869">
        <v>9829</v>
      </c>
      <c r="B1869">
        <v>1978</v>
      </c>
      <c r="C1869" t="s">
        <v>31</v>
      </c>
      <c r="D1869" t="s">
        <v>26</v>
      </c>
      <c r="E1869" t="s">
        <v>29</v>
      </c>
      <c r="F1869">
        <v>28587</v>
      </c>
      <c r="G1869" t="str">
        <f t="shared" si="87"/>
        <v>Low</v>
      </c>
      <c r="H1869">
        <v>1</v>
      </c>
      <c r="I1869">
        <v>0</v>
      </c>
      <c r="J1869">
        <v>1</v>
      </c>
      <c r="K1869" s="1">
        <v>41682</v>
      </c>
      <c r="L1869">
        <v>42</v>
      </c>
      <c r="M1869" t="str">
        <f t="shared" si="88"/>
        <v>Active</v>
      </c>
      <c r="N1869">
        <v>0</v>
      </c>
      <c r="O1869">
        <v>22</v>
      </c>
      <c r="P1869">
        <v>4</v>
      </c>
      <c r="Q1869">
        <v>17</v>
      </c>
      <c r="R1869">
        <v>12</v>
      </c>
      <c r="S1869">
        <v>10</v>
      </c>
      <c r="T1869">
        <v>13</v>
      </c>
      <c r="U1869">
        <v>78</v>
      </c>
      <c r="V1869">
        <v>3</v>
      </c>
      <c r="W1869">
        <v>2</v>
      </c>
      <c r="X1869">
        <v>0</v>
      </c>
      <c r="Y1869">
        <v>4</v>
      </c>
      <c r="Z1869">
        <v>6</v>
      </c>
      <c r="AA1869">
        <v>6</v>
      </c>
      <c r="AB1869" t="str">
        <f t="shared" si="89"/>
        <v>Below average customer</v>
      </c>
    </row>
    <row r="1870" spans="1:28" x14ac:dyDescent="0.35">
      <c r="A1870">
        <v>6214</v>
      </c>
      <c r="B1870">
        <v>1982</v>
      </c>
      <c r="C1870" t="s">
        <v>31</v>
      </c>
      <c r="D1870" t="s">
        <v>34</v>
      </c>
      <c r="E1870" t="s">
        <v>33</v>
      </c>
      <c r="F1870">
        <v>43815</v>
      </c>
      <c r="G1870" t="str">
        <f t="shared" si="87"/>
        <v>Mid-low</v>
      </c>
      <c r="H1870">
        <v>1</v>
      </c>
      <c r="I1870">
        <v>0</v>
      </c>
      <c r="J1870">
        <v>1</v>
      </c>
      <c r="K1870" s="1">
        <v>41369</v>
      </c>
      <c r="L1870">
        <v>53</v>
      </c>
      <c r="M1870" t="str">
        <f t="shared" si="88"/>
        <v>Inactive</v>
      </c>
      <c r="N1870">
        <v>0</v>
      </c>
      <c r="O1870">
        <v>14</v>
      </c>
      <c r="P1870">
        <v>10</v>
      </c>
      <c r="Q1870">
        <v>29</v>
      </c>
      <c r="R1870">
        <v>4</v>
      </c>
      <c r="S1870">
        <v>7</v>
      </c>
      <c r="T1870">
        <v>15</v>
      </c>
      <c r="U1870">
        <v>79</v>
      </c>
      <c r="V1870">
        <v>1</v>
      </c>
      <c r="W1870">
        <v>2</v>
      </c>
      <c r="X1870">
        <v>0</v>
      </c>
      <c r="Y1870">
        <v>3</v>
      </c>
      <c r="Z1870">
        <v>5</v>
      </c>
      <c r="AA1870">
        <v>6</v>
      </c>
      <c r="AB1870" t="str">
        <f t="shared" si="89"/>
        <v>Below average customer</v>
      </c>
    </row>
    <row r="1871" spans="1:28" x14ac:dyDescent="0.35">
      <c r="A1871">
        <v>4954</v>
      </c>
      <c r="B1871">
        <v>1956</v>
      </c>
      <c r="C1871" t="s">
        <v>25</v>
      </c>
      <c r="D1871" t="s">
        <v>26</v>
      </c>
      <c r="E1871" t="s">
        <v>33</v>
      </c>
      <c r="F1871">
        <v>48195</v>
      </c>
      <c r="G1871" t="str">
        <f t="shared" si="87"/>
        <v>Mid-low</v>
      </c>
      <c r="H1871">
        <v>1</v>
      </c>
      <c r="I1871">
        <v>1</v>
      </c>
      <c r="J1871">
        <v>2</v>
      </c>
      <c r="K1871" s="1">
        <v>41660</v>
      </c>
      <c r="L1871">
        <v>53</v>
      </c>
      <c r="M1871" t="str">
        <f t="shared" si="88"/>
        <v>Inactive</v>
      </c>
      <c r="N1871">
        <v>0</v>
      </c>
      <c r="O1871">
        <v>106</v>
      </c>
      <c r="P1871">
        <v>27</v>
      </c>
      <c r="Q1871">
        <v>68</v>
      </c>
      <c r="R1871">
        <v>52</v>
      </c>
      <c r="S1871">
        <v>7</v>
      </c>
      <c r="T1871">
        <v>5</v>
      </c>
      <c r="U1871">
        <v>265</v>
      </c>
      <c r="V1871">
        <v>6</v>
      </c>
      <c r="W1871">
        <v>4</v>
      </c>
      <c r="X1871">
        <v>2</v>
      </c>
      <c r="Y1871">
        <v>5</v>
      </c>
      <c r="Z1871">
        <v>11</v>
      </c>
      <c r="AA1871">
        <v>6</v>
      </c>
      <c r="AB1871" t="str">
        <f t="shared" si="89"/>
        <v>Below average customer</v>
      </c>
    </row>
    <row r="1872" spans="1:28" x14ac:dyDescent="0.35">
      <c r="A1872">
        <v>7861</v>
      </c>
      <c r="B1872">
        <v>1952</v>
      </c>
      <c r="C1872" t="s">
        <v>36</v>
      </c>
      <c r="D1872" t="s">
        <v>34</v>
      </c>
      <c r="E1872" t="s">
        <v>33</v>
      </c>
      <c r="F1872">
        <v>77027</v>
      </c>
      <c r="G1872" t="str">
        <f t="shared" si="87"/>
        <v>High</v>
      </c>
      <c r="H1872">
        <v>0</v>
      </c>
      <c r="I1872">
        <v>1</v>
      </c>
      <c r="J1872">
        <v>1</v>
      </c>
      <c r="K1872" s="1">
        <v>41675</v>
      </c>
      <c r="L1872">
        <v>23</v>
      </c>
      <c r="M1872" t="str">
        <f t="shared" si="88"/>
        <v>Active</v>
      </c>
      <c r="N1872">
        <v>0</v>
      </c>
      <c r="O1872">
        <v>820</v>
      </c>
      <c r="P1872">
        <v>57</v>
      </c>
      <c r="Q1872">
        <v>242</v>
      </c>
      <c r="R1872">
        <v>45</v>
      </c>
      <c r="S1872">
        <v>0</v>
      </c>
      <c r="T1872">
        <v>11</v>
      </c>
      <c r="U1872">
        <v>1175</v>
      </c>
      <c r="V1872">
        <v>2</v>
      </c>
      <c r="W1872">
        <v>8</v>
      </c>
      <c r="X1872">
        <v>3</v>
      </c>
      <c r="Y1872">
        <v>6</v>
      </c>
      <c r="Z1872">
        <v>17</v>
      </c>
      <c r="AA1872">
        <v>4</v>
      </c>
      <c r="AB1872" t="str">
        <f t="shared" si="89"/>
        <v>Above average customer</v>
      </c>
    </row>
    <row r="1873" spans="1:28" x14ac:dyDescent="0.35">
      <c r="A1873">
        <v>4837</v>
      </c>
      <c r="B1873">
        <v>1965</v>
      </c>
      <c r="C1873" t="s">
        <v>28</v>
      </c>
      <c r="D1873" t="s">
        <v>32</v>
      </c>
      <c r="E1873" t="s">
        <v>33</v>
      </c>
      <c r="F1873">
        <v>71322</v>
      </c>
      <c r="G1873" t="str">
        <f t="shared" si="87"/>
        <v>High</v>
      </c>
      <c r="H1873">
        <v>0</v>
      </c>
      <c r="I1873">
        <v>1</v>
      </c>
      <c r="J1873">
        <v>1</v>
      </c>
      <c r="K1873" s="1">
        <v>41321</v>
      </c>
      <c r="L1873">
        <v>57</v>
      </c>
      <c r="M1873" t="str">
        <f t="shared" si="88"/>
        <v>Inactive</v>
      </c>
      <c r="N1873">
        <v>0</v>
      </c>
      <c r="O1873">
        <v>753</v>
      </c>
      <c r="P1873">
        <v>43</v>
      </c>
      <c r="Q1873">
        <v>226</v>
      </c>
      <c r="R1873">
        <v>69</v>
      </c>
      <c r="S1873">
        <v>10</v>
      </c>
      <c r="T1873">
        <v>204</v>
      </c>
      <c r="U1873">
        <v>1305</v>
      </c>
      <c r="V1873">
        <v>2</v>
      </c>
      <c r="W1873">
        <v>8</v>
      </c>
      <c r="X1873">
        <v>5</v>
      </c>
      <c r="Y1873">
        <v>13</v>
      </c>
      <c r="Z1873">
        <v>26</v>
      </c>
      <c r="AA1873">
        <v>4</v>
      </c>
      <c r="AB1873" t="str">
        <f t="shared" si="89"/>
        <v>Below average customer</v>
      </c>
    </row>
    <row r="1874" spans="1:28" x14ac:dyDescent="0.35">
      <c r="A1874">
        <v>9423</v>
      </c>
      <c r="B1874">
        <v>1979</v>
      </c>
      <c r="C1874" t="s">
        <v>31</v>
      </c>
      <c r="D1874" t="s">
        <v>34</v>
      </c>
      <c r="E1874" t="s">
        <v>33</v>
      </c>
      <c r="F1874">
        <v>32765</v>
      </c>
      <c r="G1874" t="str">
        <f t="shared" si="87"/>
        <v>Low</v>
      </c>
      <c r="H1874">
        <v>1</v>
      </c>
      <c r="I1874">
        <v>0</v>
      </c>
      <c r="J1874">
        <v>1</v>
      </c>
      <c r="K1874" s="1">
        <v>41693</v>
      </c>
      <c r="L1874">
        <v>49</v>
      </c>
      <c r="M1874" t="str">
        <f t="shared" si="88"/>
        <v>Inactive</v>
      </c>
      <c r="N1874">
        <v>0</v>
      </c>
      <c r="O1874">
        <v>13</v>
      </c>
      <c r="P1874">
        <v>3</v>
      </c>
      <c r="Q1874">
        <v>17</v>
      </c>
      <c r="R1874">
        <v>7</v>
      </c>
      <c r="S1874">
        <v>3</v>
      </c>
      <c r="T1874">
        <v>3</v>
      </c>
      <c r="U1874">
        <v>46</v>
      </c>
      <c r="V1874">
        <v>2</v>
      </c>
      <c r="W1874">
        <v>2</v>
      </c>
      <c r="X1874">
        <v>0</v>
      </c>
      <c r="Y1874">
        <v>4</v>
      </c>
      <c r="Z1874">
        <v>6</v>
      </c>
      <c r="AA1874">
        <v>5</v>
      </c>
      <c r="AB1874" t="str">
        <f t="shared" si="89"/>
        <v>Below average customer</v>
      </c>
    </row>
    <row r="1875" spans="1:28" x14ac:dyDescent="0.35">
      <c r="A1875">
        <v>153</v>
      </c>
      <c r="B1875">
        <v>1953</v>
      </c>
      <c r="C1875" t="s">
        <v>25</v>
      </c>
      <c r="D1875" t="s">
        <v>26</v>
      </c>
      <c r="E1875" t="s">
        <v>35</v>
      </c>
      <c r="F1875">
        <v>23272</v>
      </c>
      <c r="G1875" t="str">
        <f t="shared" si="87"/>
        <v>Low</v>
      </c>
      <c r="H1875">
        <v>0</v>
      </c>
      <c r="I1875">
        <v>0</v>
      </c>
      <c r="J1875">
        <v>0</v>
      </c>
      <c r="K1875" s="1">
        <v>41564</v>
      </c>
      <c r="L1875">
        <v>29</v>
      </c>
      <c r="M1875" t="str">
        <f t="shared" si="88"/>
        <v>Active</v>
      </c>
      <c r="N1875">
        <v>0</v>
      </c>
      <c r="O1875">
        <v>19</v>
      </c>
      <c r="P1875">
        <v>3</v>
      </c>
      <c r="Q1875">
        <v>6</v>
      </c>
      <c r="R1875">
        <v>4</v>
      </c>
      <c r="S1875">
        <v>2</v>
      </c>
      <c r="T1875">
        <v>12</v>
      </c>
      <c r="U1875">
        <v>46</v>
      </c>
      <c r="V1875">
        <v>1</v>
      </c>
      <c r="W1875">
        <v>1</v>
      </c>
      <c r="X1875">
        <v>0</v>
      </c>
      <c r="Y1875">
        <v>3</v>
      </c>
      <c r="Z1875">
        <v>4</v>
      </c>
      <c r="AA1875">
        <v>4</v>
      </c>
      <c r="AB1875" t="str">
        <f t="shared" si="89"/>
        <v>Below average customer</v>
      </c>
    </row>
    <row r="1876" spans="1:28" x14ac:dyDescent="0.35">
      <c r="A1876">
        <v>9323</v>
      </c>
      <c r="B1876">
        <v>1949</v>
      </c>
      <c r="C1876" t="s">
        <v>36</v>
      </c>
      <c r="D1876" t="s">
        <v>34</v>
      </c>
      <c r="E1876" t="s">
        <v>29</v>
      </c>
      <c r="F1876">
        <v>49912</v>
      </c>
      <c r="G1876" t="str">
        <f t="shared" si="87"/>
        <v>Mid-low</v>
      </c>
      <c r="H1876">
        <v>0</v>
      </c>
      <c r="I1876">
        <v>1</v>
      </c>
      <c r="J1876">
        <v>1</v>
      </c>
      <c r="K1876" s="1">
        <v>41159</v>
      </c>
      <c r="L1876">
        <v>5</v>
      </c>
      <c r="M1876" t="str">
        <f t="shared" si="88"/>
        <v>Active</v>
      </c>
      <c r="N1876">
        <v>0</v>
      </c>
      <c r="O1876">
        <v>520</v>
      </c>
      <c r="P1876">
        <v>8</v>
      </c>
      <c r="Q1876">
        <v>223</v>
      </c>
      <c r="R1876">
        <v>32</v>
      </c>
      <c r="S1876">
        <v>49</v>
      </c>
      <c r="T1876">
        <v>42</v>
      </c>
      <c r="U1876">
        <v>874</v>
      </c>
      <c r="V1876">
        <v>4</v>
      </c>
      <c r="W1876">
        <v>10</v>
      </c>
      <c r="X1876">
        <v>5</v>
      </c>
      <c r="Y1876">
        <v>7</v>
      </c>
      <c r="Z1876">
        <v>22</v>
      </c>
      <c r="AA1876">
        <v>8</v>
      </c>
      <c r="AB1876" t="str">
        <f t="shared" si="89"/>
        <v>Below average customer</v>
      </c>
    </row>
    <row r="1877" spans="1:28" x14ac:dyDescent="0.35">
      <c r="A1877">
        <v>10001</v>
      </c>
      <c r="B1877">
        <v>1985</v>
      </c>
      <c r="C1877" t="s">
        <v>30</v>
      </c>
      <c r="D1877" t="s">
        <v>34</v>
      </c>
      <c r="E1877" t="s">
        <v>29</v>
      </c>
      <c r="F1877">
        <v>7500</v>
      </c>
      <c r="G1877" t="str">
        <f t="shared" si="87"/>
        <v>Low</v>
      </c>
      <c r="H1877">
        <v>1</v>
      </c>
      <c r="I1877">
        <v>0</v>
      </c>
      <c r="J1877">
        <v>1</v>
      </c>
      <c r="K1877" s="1">
        <v>41122</v>
      </c>
      <c r="L1877">
        <v>98</v>
      </c>
      <c r="M1877" t="str">
        <f t="shared" si="88"/>
        <v>Inactive</v>
      </c>
      <c r="N1877">
        <v>0</v>
      </c>
      <c r="O1877">
        <v>5</v>
      </c>
      <c r="P1877">
        <v>17</v>
      </c>
      <c r="Q1877">
        <v>17</v>
      </c>
      <c r="R1877">
        <v>13</v>
      </c>
      <c r="S1877">
        <v>14</v>
      </c>
      <c r="T1877">
        <v>34</v>
      </c>
      <c r="U1877">
        <v>100</v>
      </c>
      <c r="V1877">
        <v>4</v>
      </c>
      <c r="W1877">
        <v>2</v>
      </c>
      <c r="X1877">
        <v>1</v>
      </c>
      <c r="Y1877">
        <v>3</v>
      </c>
      <c r="Z1877">
        <v>6</v>
      </c>
      <c r="AA1877">
        <v>9</v>
      </c>
      <c r="AB1877" t="str">
        <f t="shared" si="89"/>
        <v>Below average customer</v>
      </c>
    </row>
    <row r="1878" spans="1:28" x14ac:dyDescent="0.35">
      <c r="A1878">
        <v>3945</v>
      </c>
      <c r="B1878">
        <v>1947</v>
      </c>
      <c r="C1878" t="s">
        <v>36</v>
      </c>
      <c r="D1878" t="s">
        <v>32</v>
      </c>
      <c r="E1878" t="s">
        <v>38</v>
      </c>
      <c r="F1878">
        <v>68117</v>
      </c>
      <c r="G1878" t="str">
        <f t="shared" si="87"/>
        <v>Mid-high</v>
      </c>
      <c r="H1878">
        <v>0</v>
      </c>
      <c r="I1878">
        <v>1</v>
      </c>
      <c r="J1878">
        <v>1</v>
      </c>
      <c r="K1878" s="1">
        <v>41343</v>
      </c>
      <c r="L1878">
        <v>80</v>
      </c>
      <c r="M1878" t="str">
        <f t="shared" si="88"/>
        <v>Inactive</v>
      </c>
      <c r="N1878">
        <v>0</v>
      </c>
      <c r="O1878">
        <v>618</v>
      </c>
      <c r="P1878">
        <v>44</v>
      </c>
      <c r="Q1878">
        <v>215</v>
      </c>
      <c r="R1878">
        <v>0</v>
      </c>
      <c r="S1878">
        <v>17</v>
      </c>
      <c r="T1878">
        <v>36</v>
      </c>
      <c r="U1878">
        <v>930</v>
      </c>
      <c r="V1878">
        <v>2</v>
      </c>
      <c r="W1878">
        <v>11</v>
      </c>
      <c r="X1878">
        <v>8</v>
      </c>
      <c r="Y1878">
        <v>4</v>
      </c>
      <c r="Z1878">
        <v>23</v>
      </c>
      <c r="AA1878">
        <v>6</v>
      </c>
      <c r="AB1878" t="str">
        <f t="shared" si="89"/>
        <v>Below average customer</v>
      </c>
    </row>
    <row r="1879" spans="1:28" x14ac:dyDescent="0.35">
      <c r="A1879">
        <v>3799</v>
      </c>
      <c r="B1879">
        <v>1955</v>
      </c>
      <c r="C1879" t="s">
        <v>25</v>
      </c>
      <c r="D1879" t="s">
        <v>26</v>
      </c>
      <c r="E1879" t="s">
        <v>33</v>
      </c>
      <c r="F1879">
        <v>67225</v>
      </c>
      <c r="G1879" t="str">
        <f t="shared" si="87"/>
        <v>Mid-high</v>
      </c>
      <c r="H1879">
        <v>0</v>
      </c>
      <c r="I1879">
        <v>1</v>
      </c>
      <c r="J1879">
        <v>1</v>
      </c>
      <c r="K1879" s="1">
        <v>41604</v>
      </c>
      <c r="L1879">
        <v>4</v>
      </c>
      <c r="M1879" t="str">
        <f t="shared" si="88"/>
        <v>Active</v>
      </c>
      <c r="N1879">
        <v>0</v>
      </c>
      <c r="O1879">
        <v>315</v>
      </c>
      <c r="P1879">
        <v>35</v>
      </c>
      <c r="Q1879">
        <v>322</v>
      </c>
      <c r="R1879">
        <v>46</v>
      </c>
      <c r="S1879">
        <v>7</v>
      </c>
      <c r="T1879">
        <v>143</v>
      </c>
      <c r="U1879">
        <v>868</v>
      </c>
      <c r="V1879">
        <v>3</v>
      </c>
      <c r="W1879">
        <v>7</v>
      </c>
      <c r="X1879">
        <v>2</v>
      </c>
      <c r="Y1879">
        <v>11</v>
      </c>
      <c r="Z1879">
        <v>20</v>
      </c>
      <c r="AA1879">
        <v>5</v>
      </c>
      <c r="AB1879" t="str">
        <f t="shared" si="89"/>
        <v>Above average customer</v>
      </c>
    </row>
    <row r="1880" spans="1:28" x14ac:dyDescent="0.35">
      <c r="A1880">
        <v>8625</v>
      </c>
      <c r="B1880">
        <v>1976</v>
      </c>
      <c r="C1880" t="s">
        <v>31</v>
      </c>
      <c r="D1880" t="s">
        <v>26</v>
      </c>
      <c r="E1880" t="s">
        <v>33</v>
      </c>
      <c r="F1880">
        <v>17649</v>
      </c>
      <c r="G1880" t="str">
        <f t="shared" si="87"/>
        <v>Low</v>
      </c>
      <c r="H1880">
        <v>1</v>
      </c>
      <c r="I1880">
        <v>0</v>
      </c>
      <c r="J1880">
        <v>1</v>
      </c>
      <c r="K1880" s="1">
        <v>41590</v>
      </c>
      <c r="L1880">
        <v>70</v>
      </c>
      <c r="M1880" t="str">
        <f t="shared" si="88"/>
        <v>Inactive</v>
      </c>
      <c r="N1880">
        <v>0</v>
      </c>
      <c r="O1880">
        <v>15</v>
      </c>
      <c r="P1880">
        <v>1</v>
      </c>
      <c r="Q1880">
        <v>23</v>
      </c>
      <c r="R1880">
        <v>0</v>
      </c>
      <c r="S1880">
        <v>5</v>
      </c>
      <c r="T1880">
        <v>1</v>
      </c>
      <c r="U1880">
        <v>45</v>
      </c>
      <c r="V1880">
        <v>3</v>
      </c>
      <c r="W1880">
        <v>3</v>
      </c>
      <c r="X1880">
        <v>0</v>
      </c>
      <c r="Y1880">
        <v>3</v>
      </c>
      <c r="Z1880">
        <v>6</v>
      </c>
      <c r="AA1880">
        <v>8</v>
      </c>
      <c r="AB1880" t="str">
        <f t="shared" si="89"/>
        <v>Below average customer</v>
      </c>
    </row>
    <row r="1881" spans="1:28" x14ac:dyDescent="0.35">
      <c r="A1881">
        <v>3491</v>
      </c>
      <c r="B1881">
        <v>1975</v>
      </c>
      <c r="C1881" t="s">
        <v>31</v>
      </c>
      <c r="D1881" t="s">
        <v>26</v>
      </c>
      <c r="E1881" t="s">
        <v>29</v>
      </c>
      <c r="F1881">
        <v>55914</v>
      </c>
      <c r="G1881" t="str">
        <f t="shared" si="87"/>
        <v>Mid-high</v>
      </c>
      <c r="H1881">
        <v>0</v>
      </c>
      <c r="I1881">
        <v>1</v>
      </c>
      <c r="J1881">
        <v>1</v>
      </c>
      <c r="K1881" s="1">
        <v>41393</v>
      </c>
      <c r="L1881">
        <v>32</v>
      </c>
      <c r="M1881" t="str">
        <f t="shared" si="88"/>
        <v>Active</v>
      </c>
      <c r="N1881">
        <v>0</v>
      </c>
      <c r="O1881">
        <v>384</v>
      </c>
      <c r="P1881">
        <v>60</v>
      </c>
      <c r="Q1881">
        <v>364</v>
      </c>
      <c r="R1881">
        <v>119</v>
      </c>
      <c r="S1881">
        <v>101</v>
      </c>
      <c r="T1881">
        <v>232</v>
      </c>
      <c r="U1881">
        <v>1260</v>
      </c>
      <c r="V1881">
        <v>4</v>
      </c>
      <c r="W1881">
        <v>11</v>
      </c>
      <c r="X1881">
        <v>6</v>
      </c>
      <c r="Y1881">
        <v>8</v>
      </c>
      <c r="Z1881">
        <v>25</v>
      </c>
      <c r="AA1881">
        <v>7</v>
      </c>
      <c r="AB1881" t="str">
        <f t="shared" si="89"/>
        <v>Above average customer</v>
      </c>
    </row>
    <row r="1882" spans="1:28" x14ac:dyDescent="0.35">
      <c r="A1882">
        <v>983</v>
      </c>
      <c r="B1882">
        <v>1984</v>
      </c>
      <c r="C1882" t="s">
        <v>30</v>
      </c>
      <c r="D1882" t="s">
        <v>26</v>
      </c>
      <c r="E1882" t="s">
        <v>33</v>
      </c>
      <c r="F1882">
        <v>40059</v>
      </c>
      <c r="G1882" t="str">
        <f t="shared" si="87"/>
        <v>Mid-low</v>
      </c>
      <c r="H1882">
        <v>1</v>
      </c>
      <c r="I1882">
        <v>0</v>
      </c>
      <c r="J1882">
        <v>1</v>
      </c>
      <c r="K1882" s="1">
        <v>41545</v>
      </c>
      <c r="L1882">
        <v>82</v>
      </c>
      <c r="M1882" t="str">
        <f t="shared" si="88"/>
        <v>Inactive</v>
      </c>
      <c r="N1882">
        <v>0</v>
      </c>
      <c r="O1882">
        <v>110</v>
      </c>
      <c r="P1882">
        <v>29</v>
      </c>
      <c r="Q1882">
        <v>92</v>
      </c>
      <c r="R1882">
        <v>28</v>
      </c>
      <c r="S1882">
        <v>10</v>
      </c>
      <c r="T1882">
        <v>145</v>
      </c>
      <c r="U1882">
        <v>414</v>
      </c>
      <c r="V1882">
        <v>1</v>
      </c>
      <c r="W1882">
        <v>6</v>
      </c>
      <c r="X1882">
        <v>2</v>
      </c>
      <c r="Y1882">
        <v>3</v>
      </c>
      <c r="Z1882">
        <v>11</v>
      </c>
      <c r="AA1882">
        <v>8</v>
      </c>
      <c r="AB1882" t="str">
        <f t="shared" si="89"/>
        <v>Below average customer</v>
      </c>
    </row>
    <row r="1883" spans="1:28" x14ac:dyDescent="0.35">
      <c r="A1883">
        <v>9119</v>
      </c>
      <c r="B1883">
        <v>1950</v>
      </c>
      <c r="C1883" t="s">
        <v>36</v>
      </c>
      <c r="D1883" t="s">
        <v>26</v>
      </c>
      <c r="E1883" t="s">
        <v>29</v>
      </c>
      <c r="F1883">
        <v>60905</v>
      </c>
      <c r="G1883" t="str">
        <f t="shared" si="87"/>
        <v>Mid-high</v>
      </c>
      <c r="H1883">
        <v>0</v>
      </c>
      <c r="I1883">
        <v>1</v>
      </c>
      <c r="J1883">
        <v>1</v>
      </c>
      <c r="K1883" s="1">
        <v>41613</v>
      </c>
      <c r="L1883">
        <v>27</v>
      </c>
      <c r="M1883" t="str">
        <f t="shared" si="88"/>
        <v>Active</v>
      </c>
      <c r="N1883">
        <v>0</v>
      </c>
      <c r="O1883">
        <v>208</v>
      </c>
      <c r="P1883">
        <v>17</v>
      </c>
      <c r="Q1883">
        <v>76</v>
      </c>
      <c r="R1883">
        <v>36</v>
      </c>
      <c r="S1883">
        <v>17</v>
      </c>
      <c r="T1883">
        <v>38</v>
      </c>
      <c r="U1883">
        <v>392</v>
      </c>
      <c r="V1883">
        <v>2</v>
      </c>
      <c r="W1883">
        <v>3</v>
      </c>
      <c r="X1883">
        <v>3</v>
      </c>
      <c r="Y1883">
        <v>7</v>
      </c>
      <c r="Z1883">
        <v>13</v>
      </c>
      <c r="AA1883">
        <v>2</v>
      </c>
      <c r="AB1883" t="str">
        <f t="shared" si="89"/>
        <v>Below average customer</v>
      </c>
    </row>
    <row r="1884" spans="1:28" x14ac:dyDescent="0.35">
      <c r="A1884">
        <v>4786</v>
      </c>
      <c r="B1884">
        <v>1977</v>
      </c>
      <c r="C1884" t="s">
        <v>31</v>
      </c>
      <c r="D1884" t="s">
        <v>26</v>
      </c>
      <c r="E1884" t="s">
        <v>33</v>
      </c>
      <c r="F1884">
        <v>75330</v>
      </c>
      <c r="G1884" t="str">
        <f t="shared" si="87"/>
        <v>High</v>
      </c>
      <c r="H1884">
        <v>1</v>
      </c>
      <c r="I1884">
        <v>1</v>
      </c>
      <c r="J1884">
        <v>2</v>
      </c>
      <c r="K1884" s="1">
        <v>41186</v>
      </c>
      <c r="L1884">
        <v>94</v>
      </c>
      <c r="M1884" t="str">
        <f t="shared" si="88"/>
        <v>Inactive</v>
      </c>
      <c r="N1884">
        <v>0</v>
      </c>
      <c r="O1884">
        <v>555</v>
      </c>
      <c r="P1884">
        <v>82</v>
      </c>
      <c r="Q1884">
        <v>257</v>
      </c>
      <c r="R1884">
        <v>93</v>
      </c>
      <c r="S1884">
        <v>61</v>
      </c>
      <c r="T1884">
        <v>61</v>
      </c>
      <c r="U1884">
        <v>1109</v>
      </c>
      <c r="V1884">
        <v>4</v>
      </c>
      <c r="W1884">
        <v>10</v>
      </c>
      <c r="X1884">
        <v>3</v>
      </c>
      <c r="Y1884">
        <v>12</v>
      </c>
      <c r="Z1884">
        <v>25</v>
      </c>
      <c r="AA1884">
        <v>6</v>
      </c>
      <c r="AB1884" t="str">
        <f t="shared" si="89"/>
        <v>Below average customer</v>
      </c>
    </row>
    <row r="1885" spans="1:28" x14ac:dyDescent="0.35">
      <c r="A1885">
        <v>5872</v>
      </c>
      <c r="B1885">
        <v>1951</v>
      </c>
      <c r="C1885" t="s">
        <v>36</v>
      </c>
      <c r="D1885" t="s">
        <v>26</v>
      </c>
      <c r="E1885" t="s">
        <v>27</v>
      </c>
      <c r="F1885">
        <v>60689</v>
      </c>
      <c r="G1885" t="str">
        <f t="shared" si="87"/>
        <v>Mid-high</v>
      </c>
      <c r="H1885">
        <v>0</v>
      </c>
      <c r="I1885">
        <v>1</v>
      </c>
      <c r="J1885">
        <v>1</v>
      </c>
      <c r="K1885" s="1">
        <v>41426</v>
      </c>
      <c r="L1885">
        <v>23</v>
      </c>
      <c r="M1885" t="str">
        <f t="shared" si="88"/>
        <v>Active</v>
      </c>
      <c r="N1885">
        <v>0</v>
      </c>
      <c r="O1885">
        <v>240</v>
      </c>
      <c r="P1885">
        <v>90</v>
      </c>
      <c r="Q1885">
        <v>216</v>
      </c>
      <c r="R1885">
        <v>63</v>
      </c>
      <c r="S1885">
        <v>6</v>
      </c>
      <c r="T1885">
        <v>24</v>
      </c>
      <c r="U1885">
        <v>639</v>
      </c>
      <c r="V1885">
        <v>4</v>
      </c>
      <c r="W1885">
        <v>4</v>
      </c>
      <c r="X1885">
        <v>4</v>
      </c>
      <c r="Y1885">
        <v>10</v>
      </c>
      <c r="Z1885">
        <v>18</v>
      </c>
      <c r="AA1885">
        <v>3</v>
      </c>
      <c r="AB1885" t="str">
        <f t="shared" si="89"/>
        <v>Above average customer</v>
      </c>
    </row>
    <row r="1886" spans="1:28" x14ac:dyDescent="0.35">
      <c r="A1886">
        <v>6568</v>
      </c>
      <c r="B1886">
        <v>1984</v>
      </c>
      <c r="C1886" t="s">
        <v>30</v>
      </c>
      <c r="D1886" t="s">
        <v>26</v>
      </c>
      <c r="E1886" t="s">
        <v>33</v>
      </c>
      <c r="F1886">
        <v>38680</v>
      </c>
      <c r="G1886" t="str">
        <f t="shared" si="87"/>
        <v>Mid-low</v>
      </c>
      <c r="H1886">
        <v>1</v>
      </c>
      <c r="I1886">
        <v>0</v>
      </c>
      <c r="J1886">
        <v>1</v>
      </c>
      <c r="K1886" s="1">
        <v>41361</v>
      </c>
      <c r="L1886">
        <v>97</v>
      </c>
      <c r="M1886" t="str">
        <f t="shared" si="88"/>
        <v>Inactive</v>
      </c>
      <c r="N1886">
        <v>0</v>
      </c>
      <c r="O1886">
        <v>11</v>
      </c>
      <c r="P1886">
        <v>0</v>
      </c>
      <c r="Q1886">
        <v>36</v>
      </c>
      <c r="R1886">
        <v>15</v>
      </c>
      <c r="S1886">
        <v>5</v>
      </c>
      <c r="T1886">
        <v>12</v>
      </c>
      <c r="U1886">
        <v>79</v>
      </c>
      <c r="V1886">
        <v>1</v>
      </c>
      <c r="W1886">
        <v>2</v>
      </c>
      <c r="X1886">
        <v>0</v>
      </c>
      <c r="Y1886">
        <v>3</v>
      </c>
      <c r="Z1886">
        <v>5</v>
      </c>
      <c r="AA1886">
        <v>7</v>
      </c>
      <c r="AB1886" t="str">
        <f t="shared" si="89"/>
        <v>Below average customer</v>
      </c>
    </row>
    <row r="1887" spans="1:28" x14ac:dyDescent="0.35">
      <c r="A1887">
        <v>5628</v>
      </c>
      <c r="B1887">
        <v>1982</v>
      </c>
      <c r="C1887" t="s">
        <v>31</v>
      </c>
      <c r="D1887" t="s">
        <v>26</v>
      </c>
      <c r="E1887" t="s">
        <v>29</v>
      </c>
      <c r="F1887">
        <v>61416</v>
      </c>
      <c r="G1887" t="str">
        <f t="shared" si="87"/>
        <v>Mid-high</v>
      </c>
      <c r="H1887">
        <v>0</v>
      </c>
      <c r="I1887">
        <v>0</v>
      </c>
      <c r="J1887">
        <v>0</v>
      </c>
      <c r="K1887" s="1">
        <v>41313</v>
      </c>
      <c r="L1887">
        <v>25</v>
      </c>
      <c r="M1887" t="str">
        <f t="shared" si="88"/>
        <v>Active</v>
      </c>
      <c r="N1887">
        <v>0</v>
      </c>
      <c r="O1887">
        <v>848</v>
      </c>
      <c r="P1887">
        <v>154</v>
      </c>
      <c r="Q1887">
        <v>323</v>
      </c>
      <c r="R1887">
        <v>201</v>
      </c>
      <c r="S1887">
        <v>61</v>
      </c>
      <c r="T1887">
        <v>78</v>
      </c>
      <c r="U1887">
        <v>1665</v>
      </c>
      <c r="V1887">
        <v>1</v>
      </c>
      <c r="W1887">
        <v>10</v>
      </c>
      <c r="X1887">
        <v>3</v>
      </c>
      <c r="Y1887">
        <v>10</v>
      </c>
      <c r="Z1887">
        <v>23</v>
      </c>
      <c r="AA1887">
        <v>6</v>
      </c>
      <c r="AB1887" t="str">
        <f t="shared" si="89"/>
        <v>Above average customer</v>
      </c>
    </row>
    <row r="1888" spans="1:28" x14ac:dyDescent="0.35">
      <c r="A1888">
        <v>5631</v>
      </c>
      <c r="B1888">
        <v>1991</v>
      </c>
      <c r="C1888" t="s">
        <v>30</v>
      </c>
      <c r="D1888" t="s">
        <v>26</v>
      </c>
      <c r="E1888" t="s">
        <v>27</v>
      </c>
      <c r="F1888">
        <v>49767</v>
      </c>
      <c r="G1888" t="str">
        <f t="shared" si="87"/>
        <v>Mid-low</v>
      </c>
      <c r="H1888">
        <v>0</v>
      </c>
      <c r="I1888">
        <v>0</v>
      </c>
      <c r="J1888">
        <v>0</v>
      </c>
      <c r="K1888" s="1">
        <v>41396</v>
      </c>
      <c r="L1888">
        <v>92</v>
      </c>
      <c r="M1888" t="str">
        <f t="shared" si="88"/>
        <v>Inactive</v>
      </c>
      <c r="N1888">
        <v>0</v>
      </c>
      <c r="O1888">
        <v>202</v>
      </c>
      <c r="P1888">
        <v>47</v>
      </c>
      <c r="Q1888">
        <v>197</v>
      </c>
      <c r="R1888">
        <v>55</v>
      </c>
      <c r="S1888">
        <v>42</v>
      </c>
      <c r="T1888">
        <v>149</v>
      </c>
      <c r="U1888">
        <v>692</v>
      </c>
      <c r="V1888">
        <v>1</v>
      </c>
      <c r="W1888">
        <v>5</v>
      </c>
      <c r="X1888">
        <v>4</v>
      </c>
      <c r="Y1888">
        <v>8</v>
      </c>
      <c r="Z1888">
        <v>17</v>
      </c>
      <c r="AA1888">
        <v>4</v>
      </c>
      <c r="AB1888" t="str">
        <f t="shared" si="89"/>
        <v>Below average customer</v>
      </c>
    </row>
    <row r="1889" spans="1:28" x14ac:dyDescent="0.35">
      <c r="A1889">
        <v>4974</v>
      </c>
      <c r="B1889">
        <v>1970</v>
      </c>
      <c r="C1889" t="s">
        <v>28</v>
      </c>
      <c r="D1889" t="s">
        <v>26</v>
      </c>
      <c r="E1889" t="s">
        <v>27</v>
      </c>
      <c r="F1889">
        <v>83273</v>
      </c>
      <c r="G1889" t="str">
        <f t="shared" si="87"/>
        <v>High</v>
      </c>
      <c r="H1889">
        <v>1</v>
      </c>
      <c r="I1889">
        <v>2</v>
      </c>
      <c r="J1889">
        <v>3</v>
      </c>
      <c r="K1889" s="1">
        <v>41177</v>
      </c>
      <c r="L1889">
        <v>98</v>
      </c>
      <c r="M1889" t="str">
        <f t="shared" si="88"/>
        <v>Inactive</v>
      </c>
      <c r="N1889">
        <v>0</v>
      </c>
      <c r="O1889">
        <v>433</v>
      </c>
      <c r="P1889">
        <v>89</v>
      </c>
      <c r="Q1889">
        <v>650</v>
      </c>
      <c r="R1889">
        <v>16</v>
      </c>
      <c r="S1889">
        <v>102</v>
      </c>
      <c r="T1889">
        <v>102</v>
      </c>
      <c r="U1889">
        <v>1392</v>
      </c>
      <c r="V1889">
        <v>10</v>
      </c>
      <c r="W1889">
        <v>4</v>
      </c>
      <c r="X1889">
        <v>6</v>
      </c>
      <c r="Y1889">
        <v>9</v>
      </c>
      <c r="Z1889">
        <v>19</v>
      </c>
      <c r="AA1889">
        <v>7</v>
      </c>
      <c r="AB1889" t="str">
        <f t="shared" si="89"/>
        <v>Below average customer</v>
      </c>
    </row>
    <row r="1890" spans="1:28" x14ac:dyDescent="0.35">
      <c r="A1890">
        <v>8416</v>
      </c>
      <c r="B1890">
        <v>1981</v>
      </c>
      <c r="C1890" t="s">
        <v>31</v>
      </c>
      <c r="D1890" t="s">
        <v>26</v>
      </c>
      <c r="E1890" t="s">
        <v>33</v>
      </c>
      <c r="F1890">
        <v>29009</v>
      </c>
      <c r="G1890" t="str">
        <f t="shared" si="87"/>
        <v>Low</v>
      </c>
      <c r="H1890">
        <v>1</v>
      </c>
      <c r="I1890">
        <v>0</v>
      </c>
      <c r="J1890">
        <v>1</v>
      </c>
      <c r="K1890" s="1">
        <v>41607</v>
      </c>
      <c r="L1890">
        <v>19</v>
      </c>
      <c r="M1890" t="str">
        <f t="shared" si="88"/>
        <v>Active</v>
      </c>
      <c r="N1890">
        <v>0</v>
      </c>
      <c r="O1890">
        <v>6</v>
      </c>
      <c r="P1890">
        <v>6</v>
      </c>
      <c r="Q1890">
        <v>15</v>
      </c>
      <c r="R1890">
        <v>10</v>
      </c>
      <c r="S1890">
        <v>5</v>
      </c>
      <c r="T1890">
        <v>2</v>
      </c>
      <c r="U1890">
        <v>44</v>
      </c>
      <c r="V1890">
        <v>2</v>
      </c>
      <c r="W1890">
        <v>2</v>
      </c>
      <c r="X1890">
        <v>0</v>
      </c>
      <c r="Y1890">
        <v>3</v>
      </c>
      <c r="Z1890">
        <v>5</v>
      </c>
      <c r="AA1890">
        <v>6</v>
      </c>
      <c r="AB1890" t="str">
        <f t="shared" si="89"/>
        <v>Below average customer</v>
      </c>
    </row>
    <row r="1891" spans="1:28" x14ac:dyDescent="0.35">
      <c r="A1891">
        <v>5454</v>
      </c>
      <c r="B1891">
        <v>1979</v>
      </c>
      <c r="C1891" t="s">
        <v>31</v>
      </c>
      <c r="D1891" t="s">
        <v>34</v>
      </c>
      <c r="E1891" t="s">
        <v>33</v>
      </c>
      <c r="F1891">
        <v>45057</v>
      </c>
      <c r="G1891" t="str">
        <f t="shared" si="87"/>
        <v>Mid-low</v>
      </c>
      <c r="H1891">
        <v>1</v>
      </c>
      <c r="I1891">
        <v>0</v>
      </c>
      <c r="J1891">
        <v>1</v>
      </c>
      <c r="K1891" s="1">
        <v>41609</v>
      </c>
      <c r="L1891">
        <v>80</v>
      </c>
      <c r="M1891" t="str">
        <f t="shared" si="88"/>
        <v>Inactive</v>
      </c>
      <c r="N1891">
        <v>0</v>
      </c>
      <c r="O1891">
        <v>37</v>
      </c>
      <c r="P1891">
        <v>0</v>
      </c>
      <c r="Q1891">
        <v>7</v>
      </c>
      <c r="R1891">
        <v>3</v>
      </c>
      <c r="S1891">
        <v>0</v>
      </c>
      <c r="T1891">
        <v>3</v>
      </c>
      <c r="U1891">
        <v>50</v>
      </c>
      <c r="V1891">
        <v>1</v>
      </c>
      <c r="W1891">
        <v>2</v>
      </c>
      <c r="X1891">
        <v>0</v>
      </c>
      <c r="Y1891">
        <v>3</v>
      </c>
      <c r="Z1891">
        <v>5</v>
      </c>
      <c r="AA1891">
        <v>5</v>
      </c>
      <c r="AB1891" t="str">
        <f t="shared" si="89"/>
        <v>Below average customer</v>
      </c>
    </row>
    <row r="1892" spans="1:28" x14ac:dyDescent="0.35">
      <c r="A1892">
        <v>4095</v>
      </c>
      <c r="B1892">
        <v>1971</v>
      </c>
      <c r="C1892" t="s">
        <v>28</v>
      </c>
      <c r="D1892" t="s">
        <v>26</v>
      </c>
      <c r="E1892" t="s">
        <v>33</v>
      </c>
      <c r="F1892">
        <v>37150</v>
      </c>
      <c r="G1892" t="str">
        <f t="shared" si="87"/>
        <v>Mid-low</v>
      </c>
      <c r="H1892">
        <v>1</v>
      </c>
      <c r="I1892">
        <v>0</v>
      </c>
      <c r="J1892">
        <v>1</v>
      </c>
      <c r="K1892" s="1">
        <v>41163</v>
      </c>
      <c r="L1892">
        <v>80</v>
      </c>
      <c r="M1892" t="str">
        <f t="shared" si="88"/>
        <v>Inactive</v>
      </c>
      <c r="N1892">
        <v>0</v>
      </c>
      <c r="O1892">
        <v>167</v>
      </c>
      <c r="P1892">
        <v>37</v>
      </c>
      <c r="Q1892">
        <v>64</v>
      </c>
      <c r="R1892">
        <v>49</v>
      </c>
      <c r="S1892">
        <v>34</v>
      </c>
      <c r="T1892">
        <v>116</v>
      </c>
      <c r="U1892">
        <v>467</v>
      </c>
      <c r="V1892">
        <v>8</v>
      </c>
      <c r="W1892">
        <v>4</v>
      </c>
      <c r="X1892">
        <v>3</v>
      </c>
      <c r="Y1892">
        <v>6</v>
      </c>
      <c r="Z1892">
        <v>13</v>
      </c>
      <c r="AA1892">
        <v>7</v>
      </c>
      <c r="AB1892" t="str">
        <f t="shared" si="89"/>
        <v>Below average customer</v>
      </c>
    </row>
    <row r="1893" spans="1:28" x14ac:dyDescent="0.35">
      <c r="A1893">
        <v>5474</v>
      </c>
      <c r="B1893">
        <v>1970</v>
      </c>
      <c r="C1893" t="s">
        <v>28</v>
      </c>
      <c r="D1893" t="s">
        <v>26</v>
      </c>
      <c r="E1893" t="s">
        <v>27</v>
      </c>
      <c r="F1893">
        <v>43020</v>
      </c>
      <c r="G1893" t="str">
        <f t="shared" si="87"/>
        <v>Mid-low</v>
      </c>
      <c r="H1893">
        <v>1</v>
      </c>
      <c r="I1893">
        <v>0</v>
      </c>
      <c r="J1893">
        <v>1</v>
      </c>
      <c r="K1893" s="1">
        <v>41608</v>
      </c>
      <c r="L1893">
        <v>79</v>
      </c>
      <c r="M1893" t="str">
        <f t="shared" si="88"/>
        <v>Inactive</v>
      </c>
      <c r="N1893">
        <v>0</v>
      </c>
      <c r="O1893">
        <v>45</v>
      </c>
      <c r="P1893">
        <v>7</v>
      </c>
      <c r="Q1893">
        <v>99</v>
      </c>
      <c r="R1893">
        <v>4</v>
      </c>
      <c r="S1893">
        <v>25</v>
      </c>
      <c r="T1893">
        <v>43</v>
      </c>
      <c r="U1893">
        <v>223</v>
      </c>
      <c r="V1893">
        <v>3</v>
      </c>
      <c r="W1893">
        <v>4</v>
      </c>
      <c r="X1893">
        <v>1</v>
      </c>
      <c r="Y1893">
        <v>4</v>
      </c>
      <c r="Z1893">
        <v>9</v>
      </c>
      <c r="AA1893">
        <v>6</v>
      </c>
      <c r="AB1893" t="str">
        <f t="shared" si="89"/>
        <v>Below average customer</v>
      </c>
    </row>
    <row r="1894" spans="1:28" x14ac:dyDescent="0.35">
      <c r="A1894">
        <v>4268</v>
      </c>
      <c r="B1894">
        <v>1959</v>
      </c>
      <c r="C1894" t="s">
        <v>25</v>
      </c>
      <c r="D1894" t="s">
        <v>26</v>
      </c>
      <c r="E1894" t="s">
        <v>33</v>
      </c>
      <c r="F1894">
        <v>53154</v>
      </c>
      <c r="G1894" t="str">
        <f t="shared" si="87"/>
        <v>Mid-high</v>
      </c>
      <c r="H1894">
        <v>0</v>
      </c>
      <c r="I1894">
        <v>1</v>
      </c>
      <c r="J1894">
        <v>1</v>
      </c>
      <c r="K1894" s="1">
        <v>41799</v>
      </c>
      <c r="L1894">
        <v>50</v>
      </c>
      <c r="M1894" t="str">
        <f t="shared" si="88"/>
        <v>Inactive</v>
      </c>
      <c r="N1894">
        <v>0</v>
      </c>
      <c r="O1894">
        <v>129</v>
      </c>
      <c r="P1894">
        <v>0</v>
      </c>
      <c r="Q1894">
        <v>21</v>
      </c>
      <c r="R1894">
        <v>0</v>
      </c>
      <c r="S1894">
        <v>1</v>
      </c>
      <c r="T1894">
        <v>7</v>
      </c>
      <c r="U1894">
        <v>158</v>
      </c>
      <c r="V1894">
        <v>1</v>
      </c>
      <c r="W1894">
        <v>3</v>
      </c>
      <c r="X1894">
        <v>1</v>
      </c>
      <c r="Y1894">
        <v>4</v>
      </c>
      <c r="Z1894">
        <v>8</v>
      </c>
      <c r="AA1894">
        <v>4</v>
      </c>
      <c r="AB1894" t="str">
        <f t="shared" si="89"/>
        <v>Below average customer</v>
      </c>
    </row>
    <row r="1895" spans="1:28" x14ac:dyDescent="0.35">
      <c r="A1895">
        <v>10701</v>
      </c>
      <c r="B1895">
        <v>1973</v>
      </c>
      <c r="C1895" t="s">
        <v>31</v>
      </c>
      <c r="D1895" t="s">
        <v>26</v>
      </c>
      <c r="E1895" t="s">
        <v>33</v>
      </c>
      <c r="F1895">
        <v>65308</v>
      </c>
      <c r="G1895" t="str">
        <f t="shared" si="87"/>
        <v>Mid-high</v>
      </c>
      <c r="H1895">
        <v>0</v>
      </c>
      <c r="I1895">
        <v>0</v>
      </c>
      <c r="J1895">
        <v>0</v>
      </c>
      <c r="K1895" s="1">
        <v>41528</v>
      </c>
      <c r="L1895">
        <v>60</v>
      </c>
      <c r="M1895" t="str">
        <f t="shared" si="88"/>
        <v>Inactive</v>
      </c>
      <c r="N1895">
        <v>0</v>
      </c>
      <c r="O1895">
        <v>713</v>
      </c>
      <c r="P1895">
        <v>0</v>
      </c>
      <c r="Q1895">
        <v>264</v>
      </c>
      <c r="R1895">
        <v>120</v>
      </c>
      <c r="S1895">
        <v>80</v>
      </c>
      <c r="T1895">
        <v>34</v>
      </c>
      <c r="U1895">
        <v>1211</v>
      </c>
      <c r="V1895">
        <v>1</v>
      </c>
      <c r="W1895">
        <v>7</v>
      </c>
      <c r="X1895">
        <v>8</v>
      </c>
      <c r="Y1895">
        <v>12</v>
      </c>
      <c r="Z1895">
        <v>27</v>
      </c>
      <c r="AA1895">
        <v>4</v>
      </c>
      <c r="AB1895" t="str">
        <f t="shared" si="89"/>
        <v>Below average customer</v>
      </c>
    </row>
    <row r="1896" spans="1:28" x14ac:dyDescent="0.35">
      <c r="A1896">
        <v>3507</v>
      </c>
      <c r="B1896">
        <v>1970</v>
      </c>
      <c r="C1896" t="s">
        <v>28</v>
      </c>
      <c r="D1896" t="s">
        <v>26</v>
      </c>
      <c r="E1896" t="s">
        <v>27</v>
      </c>
      <c r="F1896">
        <v>76467</v>
      </c>
      <c r="G1896" t="str">
        <f t="shared" si="87"/>
        <v>High</v>
      </c>
      <c r="H1896">
        <v>1</v>
      </c>
      <c r="I1896">
        <v>0</v>
      </c>
      <c r="J1896">
        <v>1</v>
      </c>
      <c r="K1896" s="1">
        <v>41138</v>
      </c>
      <c r="L1896">
        <v>44</v>
      </c>
      <c r="M1896" t="str">
        <f t="shared" si="88"/>
        <v>Active</v>
      </c>
      <c r="N1896">
        <v>0</v>
      </c>
      <c r="O1896">
        <v>676</v>
      </c>
      <c r="P1896">
        <v>161</v>
      </c>
      <c r="Q1896">
        <v>426</v>
      </c>
      <c r="R1896">
        <v>210</v>
      </c>
      <c r="S1896">
        <v>44</v>
      </c>
      <c r="T1896">
        <v>58</v>
      </c>
      <c r="U1896">
        <v>1575</v>
      </c>
      <c r="V1896">
        <v>2</v>
      </c>
      <c r="W1896">
        <v>2</v>
      </c>
      <c r="X1896">
        <v>5</v>
      </c>
      <c r="Y1896">
        <v>5</v>
      </c>
      <c r="Z1896">
        <v>12</v>
      </c>
      <c r="AA1896">
        <v>6</v>
      </c>
      <c r="AB1896" t="str">
        <f t="shared" si="89"/>
        <v>Below average customer</v>
      </c>
    </row>
    <row r="1897" spans="1:28" x14ac:dyDescent="0.35">
      <c r="A1897">
        <v>2079</v>
      </c>
      <c r="B1897">
        <v>1947</v>
      </c>
      <c r="C1897" t="s">
        <v>36</v>
      </c>
      <c r="D1897" t="s">
        <v>34</v>
      </c>
      <c r="E1897" t="s">
        <v>33</v>
      </c>
      <c r="F1897">
        <v>81044</v>
      </c>
      <c r="G1897" t="str">
        <f t="shared" si="87"/>
        <v>High</v>
      </c>
      <c r="H1897">
        <v>0</v>
      </c>
      <c r="I1897">
        <v>0</v>
      </c>
      <c r="J1897">
        <v>0</v>
      </c>
      <c r="K1897" s="1">
        <v>41635</v>
      </c>
      <c r="L1897">
        <v>0</v>
      </c>
      <c r="M1897" t="str">
        <f t="shared" si="88"/>
        <v>Active</v>
      </c>
      <c r="N1897">
        <v>0</v>
      </c>
      <c r="O1897">
        <v>450</v>
      </c>
      <c r="P1897">
        <v>26</v>
      </c>
      <c r="Q1897">
        <v>535</v>
      </c>
      <c r="R1897">
        <v>73</v>
      </c>
      <c r="S1897">
        <v>98</v>
      </c>
      <c r="T1897">
        <v>26</v>
      </c>
      <c r="U1897">
        <v>1208</v>
      </c>
      <c r="V1897">
        <v>1</v>
      </c>
      <c r="W1897">
        <v>5</v>
      </c>
      <c r="X1897">
        <v>6</v>
      </c>
      <c r="Y1897">
        <v>10</v>
      </c>
      <c r="Z1897">
        <v>21</v>
      </c>
      <c r="AA1897">
        <v>1</v>
      </c>
      <c r="AB1897" t="str">
        <f t="shared" si="89"/>
        <v>Above average customer</v>
      </c>
    </row>
    <row r="1898" spans="1:28" x14ac:dyDescent="0.35">
      <c r="A1898">
        <v>626</v>
      </c>
      <c r="B1898">
        <v>1951</v>
      </c>
      <c r="C1898" t="s">
        <v>36</v>
      </c>
      <c r="D1898" t="s">
        <v>26</v>
      </c>
      <c r="E1898" t="s">
        <v>33</v>
      </c>
      <c r="F1898">
        <v>32871</v>
      </c>
      <c r="G1898" t="str">
        <f t="shared" si="87"/>
        <v>Low</v>
      </c>
      <c r="H1898">
        <v>1</v>
      </c>
      <c r="I1898">
        <v>1</v>
      </c>
      <c r="J1898">
        <v>2</v>
      </c>
      <c r="K1898" s="1">
        <v>41342</v>
      </c>
      <c r="L1898">
        <v>28</v>
      </c>
      <c r="M1898" t="str">
        <f t="shared" si="88"/>
        <v>Active</v>
      </c>
      <c r="N1898">
        <v>0</v>
      </c>
      <c r="O1898">
        <v>22</v>
      </c>
      <c r="P1898">
        <v>2</v>
      </c>
      <c r="Q1898">
        <v>12</v>
      </c>
      <c r="R1898">
        <v>0</v>
      </c>
      <c r="S1898">
        <v>2</v>
      </c>
      <c r="T1898">
        <v>5</v>
      </c>
      <c r="U1898">
        <v>43</v>
      </c>
      <c r="V1898">
        <v>1</v>
      </c>
      <c r="W1898">
        <v>1</v>
      </c>
      <c r="X1898">
        <v>0</v>
      </c>
      <c r="Y1898">
        <v>3</v>
      </c>
      <c r="Z1898">
        <v>4</v>
      </c>
      <c r="AA1898">
        <v>4</v>
      </c>
      <c r="AB1898" t="str">
        <f t="shared" si="89"/>
        <v>Below average customer</v>
      </c>
    </row>
    <row r="1899" spans="1:28" x14ac:dyDescent="0.35">
      <c r="A1899">
        <v>4426</v>
      </c>
      <c r="B1899">
        <v>1975</v>
      </c>
      <c r="C1899" t="s">
        <v>31</v>
      </c>
      <c r="D1899" t="s">
        <v>26</v>
      </c>
      <c r="E1899" t="s">
        <v>27</v>
      </c>
      <c r="F1899">
        <v>55801</v>
      </c>
      <c r="G1899" t="str">
        <f t="shared" si="87"/>
        <v>Mid-high</v>
      </c>
      <c r="H1899">
        <v>1</v>
      </c>
      <c r="I1899">
        <v>1</v>
      </c>
      <c r="J1899">
        <v>2</v>
      </c>
      <c r="K1899" s="1">
        <v>41539</v>
      </c>
      <c r="L1899">
        <v>35</v>
      </c>
      <c r="M1899" t="str">
        <f t="shared" si="88"/>
        <v>Active</v>
      </c>
      <c r="N1899">
        <v>0</v>
      </c>
      <c r="O1899">
        <v>367</v>
      </c>
      <c r="P1899">
        <v>4</v>
      </c>
      <c r="Q1899">
        <v>51</v>
      </c>
      <c r="R1899">
        <v>6</v>
      </c>
      <c r="S1899">
        <v>4</v>
      </c>
      <c r="T1899">
        <v>95</v>
      </c>
      <c r="U1899">
        <v>527</v>
      </c>
      <c r="V1899">
        <v>6</v>
      </c>
      <c r="W1899">
        <v>7</v>
      </c>
      <c r="X1899">
        <v>2</v>
      </c>
      <c r="Y1899">
        <v>6</v>
      </c>
      <c r="Z1899">
        <v>15</v>
      </c>
      <c r="AA1899">
        <v>7</v>
      </c>
      <c r="AB1899" t="str">
        <f t="shared" si="89"/>
        <v>Below average customer</v>
      </c>
    </row>
    <row r="1900" spans="1:28" x14ac:dyDescent="0.35">
      <c r="A1900">
        <v>2591</v>
      </c>
      <c r="B1900">
        <v>1959</v>
      </c>
      <c r="C1900" t="s">
        <v>25</v>
      </c>
      <c r="D1900" t="s">
        <v>26</v>
      </c>
      <c r="E1900" t="s">
        <v>38</v>
      </c>
      <c r="F1900">
        <v>76320</v>
      </c>
      <c r="G1900" t="str">
        <f t="shared" si="87"/>
        <v>High</v>
      </c>
      <c r="H1900">
        <v>0</v>
      </c>
      <c r="I1900">
        <v>1</v>
      </c>
      <c r="J1900">
        <v>1</v>
      </c>
      <c r="K1900" s="1">
        <v>41812</v>
      </c>
      <c r="L1900">
        <v>49</v>
      </c>
      <c r="M1900" t="str">
        <f t="shared" si="88"/>
        <v>Inactive</v>
      </c>
      <c r="N1900">
        <v>0</v>
      </c>
      <c r="O1900">
        <v>526</v>
      </c>
      <c r="P1900">
        <v>35</v>
      </c>
      <c r="Q1900">
        <v>214</v>
      </c>
      <c r="R1900">
        <v>69</v>
      </c>
      <c r="S1900">
        <v>53</v>
      </c>
      <c r="T1900">
        <v>35</v>
      </c>
      <c r="U1900">
        <v>932</v>
      </c>
      <c r="V1900">
        <v>2</v>
      </c>
      <c r="W1900">
        <v>6</v>
      </c>
      <c r="X1900">
        <v>3</v>
      </c>
      <c r="Y1900">
        <v>4</v>
      </c>
      <c r="Z1900">
        <v>13</v>
      </c>
      <c r="AA1900">
        <v>2</v>
      </c>
      <c r="AB1900" t="str">
        <f t="shared" si="89"/>
        <v>Below average customer</v>
      </c>
    </row>
    <row r="1901" spans="1:28" x14ac:dyDescent="0.35">
      <c r="A1901">
        <v>10509</v>
      </c>
      <c r="B1901">
        <v>1955</v>
      </c>
      <c r="C1901" t="s">
        <v>25</v>
      </c>
      <c r="D1901" t="s">
        <v>34</v>
      </c>
      <c r="E1901" t="s">
        <v>27</v>
      </c>
      <c r="F1901">
        <v>36927</v>
      </c>
      <c r="G1901" t="str">
        <f t="shared" si="87"/>
        <v>Mid-low</v>
      </c>
      <c r="H1901">
        <v>1</v>
      </c>
      <c r="I1901">
        <v>1</v>
      </c>
      <c r="J1901">
        <v>2</v>
      </c>
      <c r="K1901" s="1">
        <v>41792</v>
      </c>
      <c r="L1901">
        <v>46</v>
      </c>
      <c r="M1901" t="str">
        <f t="shared" si="88"/>
        <v>Active</v>
      </c>
      <c r="N1901">
        <v>0</v>
      </c>
      <c r="O1901">
        <v>51</v>
      </c>
      <c r="P1901">
        <v>0</v>
      </c>
      <c r="Q1901">
        <v>16</v>
      </c>
      <c r="R1901">
        <v>0</v>
      </c>
      <c r="S1901">
        <v>0</v>
      </c>
      <c r="T1901">
        <v>4</v>
      </c>
      <c r="U1901">
        <v>71</v>
      </c>
      <c r="V1901">
        <v>2</v>
      </c>
      <c r="W1901">
        <v>3</v>
      </c>
      <c r="X1901">
        <v>0</v>
      </c>
      <c r="Y1901">
        <v>3</v>
      </c>
      <c r="Z1901">
        <v>6</v>
      </c>
      <c r="AA1901">
        <v>8</v>
      </c>
      <c r="AB1901" t="str">
        <f t="shared" si="89"/>
        <v>Below average customer</v>
      </c>
    </row>
    <row r="1902" spans="1:28" x14ac:dyDescent="0.35">
      <c r="A1902">
        <v>6382</v>
      </c>
      <c r="B1902">
        <v>1953</v>
      </c>
      <c r="C1902" t="s">
        <v>25</v>
      </c>
      <c r="D1902" t="s">
        <v>26</v>
      </c>
      <c r="E1902" t="s">
        <v>29</v>
      </c>
      <c r="F1902">
        <v>48794</v>
      </c>
      <c r="G1902" t="str">
        <f t="shared" si="87"/>
        <v>Mid-low</v>
      </c>
      <c r="H1902">
        <v>1</v>
      </c>
      <c r="I1902">
        <v>1</v>
      </c>
      <c r="J1902">
        <v>2</v>
      </c>
      <c r="K1902" s="1">
        <v>41816</v>
      </c>
      <c r="L1902">
        <v>97</v>
      </c>
      <c r="M1902" t="str">
        <f t="shared" si="88"/>
        <v>Inactive</v>
      </c>
      <c r="N1902">
        <v>0</v>
      </c>
      <c r="O1902">
        <v>25</v>
      </c>
      <c r="P1902">
        <v>0</v>
      </c>
      <c r="Q1902">
        <v>11</v>
      </c>
      <c r="R1902">
        <v>3</v>
      </c>
      <c r="S1902">
        <v>0</v>
      </c>
      <c r="T1902">
        <v>15</v>
      </c>
      <c r="U1902">
        <v>54</v>
      </c>
      <c r="V1902">
        <v>1</v>
      </c>
      <c r="W1902">
        <v>1</v>
      </c>
      <c r="X1902">
        <v>0</v>
      </c>
      <c r="Y1902">
        <v>3</v>
      </c>
      <c r="Z1902">
        <v>4</v>
      </c>
      <c r="AA1902">
        <v>4</v>
      </c>
      <c r="AB1902" t="str">
        <f t="shared" si="89"/>
        <v>Below average customer</v>
      </c>
    </row>
    <row r="1903" spans="1:28" x14ac:dyDescent="0.35">
      <c r="A1903">
        <v>6673</v>
      </c>
      <c r="B1903">
        <v>1965</v>
      </c>
      <c r="C1903" t="s">
        <v>28</v>
      </c>
      <c r="D1903" t="s">
        <v>26</v>
      </c>
      <c r="E1903" t="s">
        <v>27</v>
      </c>
      <c r="F1903">
        <v>23478</v>
      </c>
      <c r="G1903" t="str">
        <f t="shared" si="87"/>
        <v>Low</v>
      </c>
      <c r="H1903">
        <v>0</v>
      </c>
      <c r="I1903">
        <v>0</v>
      </c>
      <c r="J1903">
        <v>0</v>
      </c>
      <c r="K1903" s="1">
        <v>41352</v>
      </c>
      <c r="L1903">
        <v>51</v>
      </c>
      <c r="M1903" t="str">
        <f t="shared" si="88"/>
        <v>Inactive</v>
      </c>
      <c r="N1903">
        <v>0</v>
      </c>
      <c r="O1903">
        <v>28</v>
      </c>
      <c r="P1903">
        <v>6</v>
      </c>
      <c r="Q1903">
        <v>27</v>
      </c>
      <c r="R1903">
        <v>12</v>
      </c>
      <c r="S1903">
        <v>17</v>
      </c>
      <c r="T1903">
        <v>39</v>
      </c>
      <c r="U1903">
        <v>129</v>
      </c>
      <c r="V1903">
        <v>1</v>
      </c>
      <c r="W1903">
        <v>3</v>
      </c>
      <c r="X1903">
        <v>0</v>
      </c>
      <c r="Y1903">
        <v>3</v>
      </c>
      <c r="Z1903">
        <v>6</v>
      </c>
      <c r="AA1903">
        <v>8</v>
      </c>
      <c r="AB1903" t="str">
        <f t="shared" si="89"/>
        <v>Below average customer</v>
      </c>
    </row>
    <row r="1904" spans="1:28" x14ac:dyDescent="0.35">
      <c r="A1904">
        <v>7441</v>
      </c>
      <c r="B1904">
        <v>1973</v>
      </c>
      <c r="C1904" t="s">
        <v>31</v>
      </c>
      <c r="D1904" t="s">
        <v>26</v>
      </c>
      <c r="E1904" t="s">
        <v>35</v>
      </c>
      <c r="F1904">
        <v>71128</v>
      </c>
      <c r="G1904" t="str">
        <f t="shared" si="87"/>
        <v>High</v>
      </c>
      <c r="H1904">
        <v>1</v>
      </c>
      <c r="I1904">
        <v>0</v>
      </c>
      <c r="J1904">
        <v>1</v>
      </c>
      <c r="K1904" s="1">
        <v>41188</v>
      </c>
      <c r="L1904">
        <v>80</v>
      </c>
      <c r="M1904" t="str">
        <f t="shared" si="88"/>
        <v>Inactive</v>
      </c>
      <c r="N1904">
        <v>0</v>
      </c>
      <c r="O1904">
        <v>958</v>
      </c>
      <c r="P1904">
        <v>159</v>
      </c>
      <c r="Q1904">
        <v>447</v>
      </c>
      <c r="R1904">
        <v>20</v>
      </c>
      <c r="S1904">
        <v>0</v>
      </c>
      <c r="T1904">
        <v>31</v>
      </c>
      <c r="U1904">
        <v>1615</v>
      </c>
      <c r="V1904">
        <v>3</v>
      </c>
      <c r="W1904">
        <v>2</v>
      </c>
      <c r="X1904">
        <v>10</v>
      </c>
      <c r="Y1904">
        <v>12</v>
      </c>
      <c r="Z1904">
        <v>24</v>
      </c>
      <c r="AA1904">
        <v>7</v>
      </c>
      <c r="AB1904" t="str">
        <f t="shared" si="89"/>
        <v>Below average customer</v>
      </c>
    </row>
    <row r="1905" spans="1:28" x14ac:dyDescent="0.35">
      <c r="A1905">
        <v>10061</v>
      </c>
      <c r="B1905">
        <v>1950</v>
      </c>
      <c r="C1905" t="s">
        <v>36</v>
      </c>
      <c r="D1905" t="s">
        <v>26</v>
      </c>
      <c r="E1905" t="s">
        <v>33</v>
      </c>
      <c r="F1905">
        <v>59462</v>
      </c>
      <c r="G1905" t="str">
        <f t="shared" si="87"/>
        <v>Mid-high</v>
      </c>
      <c r="H1905">
        <v>0</v>
      </c>
      <c r="I1905">
        <v>1</v>
      </c>
      <c r="J1905">
        <v>1</v>
      </c>
      <c r="K1905" s="1">
        <v>41279</v>
      </c>
      <c r="L1905">
        <v>29</v>
      </c>
      <c r="M1905" t="str">
        <f t="shared" si="88"/>
        <v>Active</v>
      </c>
      <c r="N1905">
        <v>0</v>
      </c>
      <c r="O1905">
        <v>724</v>
      </c>
      <c r="P1905">
        <v>17</v>
      </c>
      <c r="Q1905">
        <v>143</v>
      </c>
      <c r="R1905">
        <v>0</v>
      </c>
      <c r="S1905">
        <v>8</v>
      </c>
      <c r="T1905">
        <v>196</v>
      </c>
      <c r="U1905">
        <v>1088</v>
      </c>
      <c r="V1905">
        <v>2</v>
      </c>
      <c r="W1905">
        <v>9</v>
      </c>
      <c r="X1905">
        <v>2</v>
      </c>
      <c r="Y1905">
        <v>12</v>
      </c>
      <c r="Z1905">
        <v>23</v>
      </c>
      <c r="AA1905">
        <v>7</v>
      </c>
      <c r="AB1905" t="str">
        <f t="shared" si="89"/>
        <v>Above average customer</v>
      </c>
    </row>
    <row r="1906" spans="1:28" x14ac:dyDescent="0.35">
      <c r="A1906">
        <v>7187</v>
      </c>
      <c r="B1906">
        <v>1969</v>
      </c>
      <c r="C1906" t="s">
        <v>28</v>
      </c>
      <c r="D1906" t="s">
        <v>34</v>
      </c>
      <c r="E1906" t="s">
        <v>29</v>
      </c>
      <c r="G1906" t="str">
        <f t="shared" si="87"/>
        <v>Low</v>
      </c>
      <c r="H1906">
        <v>1</v>
      </c>
      <c r="I1906">
        <v>1</v>
      </c>
      <c r="J1906">
        <v>2</v>
      </c>
      <c r="K1906" s="1">
        <v>41412</v>
      </c>
      <c r="L1906">
        <v>52</v>
      </c>
      <c r="M1906" t="str">
        <f t="shared" si="88"/>
        <v>Inactive</v>
      </c>
      <c r="N1906">
        <v>0</v>
      </c>
      <c r="O1906">
        <v>375</v>
      </c>
      <c r="P1906">
        <v>42</v>
      </c>
      <c r="Q1906">
        <v>48</v>
      </c>
      <c r="R1906">
        <v>94</v>
      </c>
      <c r="S1906">
        <v>66</v>
      </c>
      <c r="T1906">
        <v>96</v>
      </c>
      <c r="U1906">
        <v>721</v>
      </c>
      <c r="V1906">
        <v>7</v>
      </c>
      <c r="W1906">
        <v>4</v>
      </c>
      <c r="X1906">
        <v>10</v>
      </c>
      <c r="Y1906">
        <v>4</v>
      </c>
      <c r="Z1906">
        <v>18</v>
      </c>
      <c r="AA1906">
        <v>3</v>
      </c>
      <c r="AB1906" t="str">
        <f t="shared" si="89"/>
        <v>Below average customer</v>
      </c>
    </row>
    <row r="1907" spans="1:28" x14ac:dyDescent="0.35">
      <c r="A1907">
        <v>1612</v>
      </c>
      <c r="B1907">
        <v>1981</v>
      </c>
      <c r="C1907" t="s">
        <v>31</v>
      </c>
      <c r="D1907" t="s">
        <v>32</v>
      </c>
      <c r="E1907" t="s">
        <v>27</v>
      </c>
      <c r="G1907" t="str">
        <f t="shared" si="87"/>
        <v>Low</v>
      </c>
      <c r="H1907">
        <v>1</v>
      </c>
      <c r="I1907">
        <v>0</v>
      </c>
      <c r="J1907">
        <v>1</v>
      </c>
      <c r="K1907" s="1">
        <v>41425</v>
      </c>
      <c r="L1907">
        <v>82</v>
      </c>
      <c r="M1907" t="str">
        <f t="shared" si="88"/>
        <v>Inactive</v>
      </c>
      <c r="N1907">
        <v>0</v>
      </c>
      <c r="O1907">
        <v>23</v>
      </c>
      <c r="P1907">
        <v>0</v>
      </c>
      <c r="Q1907">
        <v>15</v>
      </c>
      <c r="R1907">
        <v>0</v>
      </c>
      <c r="S1907">
        <v>2</v>
      </c>
      <c r="T1907">
        <v>7</v>
      </c>
      <c r="U1907">
        <v>47</v>
      </c>
      <c r="V1907">
        <v>2</v>
      </c>
      <c r="W1907">
        <v>3</v>
      </c>
      <c r="X1907">
        <v>0</v>
      </c>
      <c r="Y1907">
        <v>3</v>
      </c>
      <c r="Z1907">
        <v>6</v>
      </c>
      <c r="AA1907">
        <v>6</v>
      </c>
      <c r="AB1907" t="str">
        <f t="shared" si="89"/>
        <v>Below average customer</v>
      </c>
    </row>
    <row r="1908" spans="1:28" x14ac:dyDescent="0.35">
      <c r="A1908">
        <v>322</v>
      </c>
      <c r="B1908">
        <v>1978</v>
      </c>
      <c r="C1908" t="s">
        <v>31</v>
      </c>
      <c r="D1908" t="s">
        <v>26</v>
      </c>
      <c r="E1908" t="s">
        <v>29</v>
      </c>
      <c r="F1908">
        <v>42554</v>
      </c>
      <c r="G1908" t="str">
        <f t="shared" si="87"/>
        <v>Mid-low</v>
      </c>
      <c r="H1908">
        <v>1</v>
      </c>
      <c r="I1908">
        <v>1</v>
      </c>
      <c r="J1908">
        <v>2</v>
      </c>
      <c r="K1908" s="1">
        <v>41286</v>
      </c>
      <c r="L1908">
        <v>93</v>
      </c>
      <c r="M1908" t="str">
        <f t="shared" si="88"/>
        <v>Inactive</v>
      </c>
      <c r="N1908">
        <v>0</v>
      </c>
      <c r="O1908">
        <v>29</v>
      </c>
      <c r="P1908">
        <v>1</v>
      </c>
      <c r="Q1908">
        <v>11</v>
      </c>
      <c r="R1908">
        <v>0</v>
      </c>
      <c r="S1908">
        <v>0</v>
      </c>
      <c r="T1908">
        <v>0</v>
      </c>
      <c r="U1908">
        <v>41</v>
      </c>
      <c r="V1908">
        <v>2</v>
      </c>
      <c r="W1908">
        <v>2</v>
      </c>
      <c r="X1908">
        <v>0</v>
      </c>
      <c r="Y1908">
        <v>3</v>
      </c>
      <c r="Z1908">
        <v>5</v>
      </c>
      <c r="AA1908">
        <v>4</v>
      </c>
      <c r="AB1908" t="str">
        <f t="shared" si="89"/>
        <v>Below average customer</v>
      </c>
    </row>
    <row r="1909" spans="1:28" x14ac:dyDescent="0.35">
      <c r="A1909">
        <v>123</v>
      </c>
      <c r="B1909">
        <v>1951</v>
      </c>
      <c r="C1909" t="s">
        <v>36</v>
      </c>
      <c r="D1909" t="s">
        <v>26</v>
      </c>
      <c r="E1909" t="s">
        <v>38</v>
      </c>
      <c r="F1909">
        <v>67046</v>
      </c>
      <c r="G1909" t="str">
        <f t="shared" si="87"/>
        <v>Mid-high</v>
      </c>
      <c r="H1909">
        <v>0</v>
      </c>
      <c r="I1909">
        <v>1</v>
      </c>
      <c r="J1909">
        <v>1</v>
      </c>
      <c r="K1909" s="1">
        <v>41280</v>
      </c>
      <c r="L1909">
        <v>92</v>
      </c>
      <c r="M1909" t="str">
        <f t="shared" si="88"/>
        <v>Inactive</v>
      </c>
      <c r="N1909">
        <v>0</v>
      </c>
      <c r="O1909">
        <v>544</v>
      </c>
      <c r="P1909">
        <v>35</v>
      </c>
      <c r="Q1909">
        <v>133</v>
      </c>
      <c r="R1909">
        <v>23</v>
      </c>
      <c r="S1909">
        <v>151</v>
      </c>
      <c r="T1909">
        <v>107</v>
      </c>
      <c r="U1909">
        <v>993</v>
      </c>
      <c r="V1909">
        <v>2</v>
      </c>
      <c r="W1909">
        <v>4</v>
      </c>
      <c r="X1909">
        <v>5</v>
      </c>
      <c r="Y1909">
        <v>4</v>
      </c>
      <c r="Z1909">
        <v>13</v>
      </c>
      <c r="AA1909">
        <v>2</v>
      </c>
      <c r="AB1909" t="str">
        <f t="shared" si="89"/>
        <v>Below average customer</v>
      </c>
    </row>
    <row r="1910" spans="1:28" x14ac:dyDescent="0.35">
      <c r="A1910">
        <v>6103</v>
      </c>
      <c r="B1910">
        <v>1948</v>
      </c>
      <c r="C1910" t="s">
        <v>36</v>
      </c>
      <c r="D1910" t="s">
        <v>26</v>
      </c>
      <c r="E1910" t="s">
        <v>33</v>
      </c>
      <c r="F1910">
        <v>42192</v>
      </c>
      <c r="G1910" t="str">
        <f t="shared" si="87"/>
        <v>Mid-low</v>
      </c>
      <c r="H1910">
        <v>0</v>
      </c>
      <c r="I1910">
        <v>0</v>
      </c>
      <c r="J1910">
        <v>0</v>
      </c>
      <c r="K1910" s="1">
        <v>41523</v>
      </c>
      <c r="L1910">
        <v>40</v>
      </c>
      <c r="M1910" t="str">
        <f t="shared" si="88"/>
        <v>Active</v>
      </c>
      <c r="N1910">
        <v>0</v>
      </c>
      <c r="O1910">
        <v>40</v>
      </c>
      <c r="P1910">
        <v>15</v>
      </c>
      <c r="Q1910">
        <v>15</v>
      </c>
      <c r="R1910">
        <v>17</v>
      </c>
      <c r="S1910">
        <v>6</v>
      </c>
      <c r="T1910">
        <v>7</v>
      </c>
      <c r="U1910">
        <v>100</v>
      </c>
      <c r="V1910">
        <v>1</v>
      </c>
      <c r="W1910">
        <v>2</v>
      </c>
      <c r="X1910">
        <v>1</v>
      </c>
      <c r="Y1910">
        <v>3</v>
      </c>
      <c r="Z1910">
        <v>6</v>
      </c>
      <c r="AA1910">
        <v>4</v>
      </c>
      <c r="AB1910" t="str">
        <f t="shared" si="89"/>
        <v>Below average customer</v>
      </c>
    </row>
    <row r="1911" spans="1:28" x14ac:dyDescent="0.35">
      <c r="A1911">
        <v>7899</v>
      </c>
      <c r="B1911">
        <v>1952</v>
      </c>
      <c r="C1911" t="s">
        <v>36</v>
      </c>
      <c r="D1911" t="s">
        <v>32</v>
      </c>
      <c r="E1911" t="s">
        <v>33</v>
      </c>
      <c r="F1911">
        <v>77610</v>
      </c>
      <c r="G1911" t="str">
        <f t="shared" si="87"/>
        <v>High</v>
      </c>
      <c r="H1911">
        <v>0</v>
      </c>
      <c r="I1911">
        <v>1</v>
      </c>
      <c r="J1911">
        <v>1</v>
      </c>
      <c r="K1911" s="1">
        <v>41211</v>
      </c>
      <c r="L1911">
        <v>70</v>
      </c>
      <c r="M1911" t="str">
        <f t="shared" si="88"/>
        <v>Inactive</v>
      </c>
      <c r="N1911">
        <v>0</v>
      </c>
      <c r="O1911">
        <v>1245</v>
      </c>
      <c r="P1911">
        <v>33</v>
      </c>
      <c r="Q1911">
        <v>332</v>
      </c>
      <c r="R1911">
        <v>21</v>
      </c>
      <c r="S1911">
        <v>33</v>
      </c>
      <c r="T1911">
        <v>16</v>
      </c>
      <c r="U1911">
        <v>1680</v>
      </c>
      <c r="V1911">
        <v>2</v>
      </c>
      <c r="W1911">
        <v>4</v>
      </c>
      <c r="X1911">
        <v>7</v>
      </c>
      <c r="Y1911">
        <v>4</v>
      </c>
      <c r="Z1911">
        <v>15</v>
      </c>
      <c r="AA1911">
        <v>7</v>
      </c>
      <c r="AB1911" t="str">
        <f t="shared" si="89"/>
        <v>Below average customer</v>
      </c>
    </row>
    <row r="1912" spans="1:28" x14ac:dyDescent="0.35">
      <c r="A1912">
        <v>10500</v>
      </c>
      <c r="B1912">
        <v>1984</v>
      </c>
      <c r="C1912" t="s">
        <v>30</v>
      </c>
      <c r="D1912" t="s">
        <v>26</v>
      </c>
      <c r="E1912" t="s">
        <v>33</v>
      </c>
      <c r="F1912">
        <v>31761</v>
      </c>
      <c r="G1912" t="str">
        <f t="shared" si="87"/>
        <v>Low</v>
      </c>
      <c r="H1912">
        <v>1</v>
      </c>
      <c r="I1912">
        <v>0</v>
      </c>
      <c r="J1912">
        <v>1</v>
      </c>
      <c r="K1912" s="1">
        <v>41734</v>
      </c>
      <c r="L1912">
        <v>96</v>
      </c>
      <c r="M1912" t="str">
        <f t="shared" si="88"/>
        <v>Inactive</v>
      </c>
      <c r="N1912">
        <v>0</v>
      </c>
      <c r="O1912">
        <v>19</v>
      </c>
      <c r="P1912">
        <v>1</v>
      </c>
      <c r="Q1912">
        <v>20</v>
      </c>
      <c r="R1912">
        <v>16</v>
      </c>
      <c r="S1912">
        <v>14</v>
      </c>
      <c r="T1912">
        <v>28</v>
      </c>
      <c r="U1912">
        <v>98</v>
      </c>
      <c r="V1912">
        <v>2</v>
      </c>
      <c r="W1912">
        <v>3</v>
      </c>
      <c r="X1912">
        <v>0</v>
      </c>
      <c r="Y1912">
        <v>4</v>
      </c>
      <c r="Z1912">
        <v>7</v>
      </c>
      <c r="AA1912">
        <v>5</v>
      </c>
      <c r="AB1912" t="str">
        <f t="shared" si="89"/>
        <v>Below average customer</v>
      </c>
    </row>
    <row r="1913" spans="1:28" x14ac:dyDescent="0.35">
      <c r="A1913">
        <v>1655</v>
      </c>
      <c r="B1913">
        <v>1979</v>
      </c>
      <c r="C1913" t="s">
        <v>31</v>
      </c>
      <c r="D1913" t="s">
        <v>26</v>
      </c>
      <c r="E1913" t="s">
        <v>29</v>
      </c>
      <c r="F1913">
        <v>34350</v>
      </c>
      <c r="G1913" t="str">
        <f t="shared" si="87"/>
        <v>Low</v>
      </c>
      <c r="H1913">
        <v>1</v>
      </c>
      <c r="I1913">
        <v>0</v>
      </c>
      <c r="J1913">
        <v>1</v>
      </c>
      <c r="K1913" s="1">
        <v>41566</v>
      </c>
      <c r="L1913">
        <v>81</v>
      </c>
      <c r="M1913" t="str">
        <f t="shared" si="88"/>
        <v>Inactive</v>
      </c>
      <c r="N1913">
        <v>0</v>
      </c>
      <c r="O1913">
        <v>16</v>
      </c>
      <c r="P1913">
        <v>3</v>
      </c>
      <c r="Q1913">
        <v>15</v>
      </c>
      <c r="R1913">
        <v>2</v>
      </c>
      <c r="S1913">
        <v>1</v>
      </c>
      <c r="T1913">
        <v>11</v>
      </c>
      <c r="U1913">
        <v>48</v>
      </c>
      <c r="V1913">
        <v>1</v>
      </c>
      <c r="W1913">
        <v>1</v>
      </c>
      <c r="X1913">
        <v>0</v>
      </c>
      <c r="Y1913">
        <v>3</v>
      </c>
      <c r="Z1913">
        <v>4</v>
      </c>
      <c r="AA1913">
        <v>7</v>
      </c>
      <c r="AB1913" t="str">
        <f t="shared" si="89"/>
        <v>Below average customer</v>
      </c>
    </row>
    <row r="1914" spans="1:28" x14ac:dyDescent="0.35">
      <c r="A1914">
        <v>2406</v>
      </c>
      <c r="B1914">
        <v>1949</v>
      </c>
      <c r="C1914" t="s">
        <v>36</v>
      </c>
      <c r="D1914" t="s">
        <v>26</v>
      </c>
      <c r="E1914" t="s">
        <v>29</v>
      </c>
      <c r="F1914">
        <v>54591</v>
      </c>
      <c r="G1914" t="str">
        <f t="shared" si="87"/>
        <v>Mid-high</v>
      </c>
      <c r="H1914">
        <v>0</v>
      </c>
      <c r="I1914">
        <v>1</v>
      </c>
      <c r="J1914">
        <v>1</v>
      </c>
      <c r="K1914" s="1">
        <v>41491</v>
      </c>
      <c r="L1914">
        <v>63</v>
      </c>
      <c r="M1914" t="str">
        <f t="shared" si="88"/>
        <v>Inactive</v>
      </c>
      <c r="N1914">
        <v>0</v>
      </c>
      <c r="O1914">
        <v>376</v>
      </c>
      <c r="P1914">
        <v>4</v>
      </c>
      <c r="Q1914">
        <v>94</v>
      </c>
      <c r="R1914">
        <v>12</v>
      </c>
      <c r="S1914">
        <v>9</v>
      </c>
      <c r="T1914">
        <v>24</v>
      </c>
      <c r="U1914">
        <v>519</v>
      </c>
      <c r="V1914">
        <v>3</v>
      </c>
      <c r="W1914">
        <v>6</v>
      </c>
      <c r="X1914">
        <v>2</v>
      </c>
      <c r="Y1914">
        <v>8</v>
      </c>
      <c r="Z1914">
        <v>16</v>
      </c>
      <c r="AA1914">
        <v>5</v>
      </c>
      <c r="AB1914" t="str">
        <f t="shared" si="89"/>
        <v>Below average customer</v>
      </c>
    </row>
    <row r="1915" spans="1:28" x14ac:dyDescent="0.35">
      <c r="A1915">
        <v>2712</v>
      </c>
      <c r="B1915">
        <v>1956</v>
      </c>
      <c r="C1915" t="s">
        <v>25</v>
      </c>
      <c r="D1915" t="s">
        <v>26</v>
      </c>
      <c r="E1915" t="s">
        <v>33</v>
      </c>
      <c r="F1915">
        <v>71866</v>
      </c>
      <c r="G1915" t="str">
        <f t="shared" si="87"/>
        <v>High</v>
      </c>
      <c r="H1915">
        <v>0</v>
      </c>
      <c r="I1915">
        <v>1</v>
      </c>
      <c r="J1915">
        <v>1</v>
      </c>
      <c r="K1915" s="1">
        <v>41633</v>
      </c>
      <c r="L1915">
        <v>85</v>
      </c>
      <c r="M1915" t="str">
        <f t="shared" si="88"/>
        <v>Inactive</v>
      </c>
      <c r="N1915">
        <v>0</v>
      </c>
      <c r="O1915">
        <v>184</v>
      </c>
      <c r="P1915">
        <v>178</v>
      </c>
      <c r="Q1915">
        <v>178</v>
      </c>
      <c r="R1915">
        <v>103</v>
      </c>
      <c r="S1915">
        <v>39</v>
      </c>
      <c r="T1915">
        <v>33</v>
      </c>
      <c r="U1915">
        <v>715</v>
      </c>
      <c r="V1915">
        <v>1</v>
      </c>
      <c r="W1915">
        <v>6</v>
      </c>
      <c r="X1915">
        <v>3</v>
      </c>
      <c r="Y1915">
        <v>10</v>
      </c>
      <c r="Z1915">
        <v>19</v>
      </c>
      <c r="AA1915">
        <v>3</v>
      </c>
      <c r="AB1915" t="str">
        <f t="shared" si="89"/>
        <v>Below average customer</v>
      </c>
    </row>
    <row r="1916" spans="1:28" x14ac:dyDescent="0.35">
      <c r="A1916">
        <v>2254</v>
      </c>
      <c r="B1916">
        <v>1983</v>
      </c>
      <c r="C1916" t="s">
        <v>30</v>
      </c>
      <c r="D1916" t="s">
        <v>26</v>
      </c>
      <c r="E1916" t="s">
        <v>33</v>
      </c>
      <c r="F1916">
        <v>69520</v>
      </c>
      <c r="G1916" t="str">
        <f t="shared" si="87"/>
        <v>High</v>
      </c>
      <c r="H1916">
        <v>0</v>
      </c>
      <c r="I1916">
        <v>0</v>
      </c>
      <c r="J1916">
        <v>0</v>
      </c>
      <c r="K1916" s="1">
        <v>41462</v>
      </c>
      <c r="L1916">
        <v>95</v>
      </c>
      <c r="M1916" t="str">
        <f t="shared" si="88"/>
        <v>Inactive</v>
      </c>
      <c r="N1916">
        <v>0</v>
      </c>
      <c r="O1916">
        <v>627</v>
      </c>
      <c r="P1916">
        <v>120</v>
      </c>
      <c r="Q1916">
        <v>414</v>
      </c>
      <c r="R1916">
        <v>121</v>
      </c>
      <c r="S1916">
        <v>80</v>
      </c>
      <c r="T1916">
        <v>93</v>
      </c>
      <c r="U1916">
        <v>1455</v>
      </c>
      <c r="V1916">
        <v>1</v>
      </c>
      <c r="W1916">
        <v>9</v>
      </c>
      <c r="X1916">
        <v>6</v>
      </c>
      <c r="Y1916">
        <v>5</v>
      </c>
      <c r="Z1916">
        <v>20</v>
      </c>
      <c r="AA1916">
        <v>5</v>
      </c>
      <c r="AB1916" t="str">
        <f t="shared" si="89"/>
        <v>Below average customer</v>
      </c>
    </row>
    <row r="1917" spans="1:28" x14ac:dyDescent="0.35">
      <c r="A1917">
        <v>10281</v>
      </c>
      <c r="B1917">
        <v>1970</v>
      </c>
      <c r="C1917" t="s">
        <v>28</v>
      </c>
      <c r="D1917" t="s">
        <v>26</v>
      </c>
      <c r="E1917" t="s">
        <v>35</v>
      </c>
      <c r="F1917">
        <v>64713</v>
      </c>
      <c r="G1917" t="str">
        <f t="shared" si="87"/>
        <v>Mid-high</v>
      </c>
      <c r="H1917">
        <v>1</v>
      </c>
      <c r="I1917">
        <v>0</v>
      </c>
      <c r="J1917">
        <v>1</v>
      </c>
      <c r="K1917" s="1">
        <v>41677</v>
      </c>
      <c r="L1917">
        <v>11</v>
      </c>
      <c r="M1917" t="str">
        <f t="shared" si="88"/>
        <v>Active</v>
      </c>
      <c r="N1917">
        <v>0</v>
      </c>
      <c r="O1917">
        <v>180</v>
      </c>
      <c r="P1917">
        <v>60</v>
      </c>
      <c r="Q1917">
        <v>241</v>
      </c>
      <c r="R1917">
        <v>13</v>
      </c>
      <c r="S1917">
        <v>54</v>
      </c>
      <c r="T1917">
        <v>54</v>
      </c>
      <c r="U1917">
        <v>602</v>
      </c>
      <c r="V1917">
        <v>2</v>
      </c>
      <c r="W1917">
        <v>5</v>
      </c>
      <c r="X1917">
        <v>5</v>
      </c>
      <c r="Y1917">
        <v>7</v>
      </c>
      <c r="Z1917">
        <v>17</v>
      </c>
      <c r="AA1917">
        <v>4</v>
      </c>
      <c r="AB1917" t="str">
        <f t="shared" si="89"/>
        <v>Below average customer</v>
      </c>
    </row>
    <row r="1918" spans="1:28" x14ac:dyDescent="0.35">
      <c r="A1918">
        <v>6958</v>
      </c>
      <c r="B1918">
        <v>1977</v>
      </c>
      <c r="C1918" t="s">
        <v>31</v>
      </c>
      <c r="D1918" t="s">
        <v>34</v>
      </c>
      <c r="E1918" t="s">
        <v>33</v>
      </c>
      <c r="F1918">
        <v>27889</v>
      </c>
      <c r="G1918" t="str">
        <f t="shared" si="87"/>
        <v>Low</v>
      </c>
      <c r="H1918">
        <v>1</v>
      </c>
      <c r="I1918">
        <v>0</v>
      </c>
      <c r="J1918">
        <v>1</v>
      </c>
      <c r="K1918" s="1">
        <v>41460</v>
      </c>
      <c r="L1918">
        <v>42</v>
      </c>
      <c r="M1918" t="str">
        <f t="shared" si="88"/>
        <v>Active</v>
      </c>
      <c r="N1918">
        <v>0</v>
      </c>
      <c r="O1918">
        <v>14</v>
      </c>
      <c r="P1918">
        <v>0</v>
      </c>
      <c r="Q1918">
        <v>4</v>
      </c>
      <c r="R1918">
        <v>0</v>
      </c>
      <c r="S1918">
        <v>0</v>
      </c>
      <c r="T1918">
        <v>8</v>
      </c>
      <c r="U1918">
        <v>26</v>
      </c>
      <c r="V1918">
        <v>1</v>
      </c>
      <c r="W1918">
        <v>1</v>
      </c>
      <c r="X1918">
        <v>1</v>
      </c>
      <c r="Y1918">
        <v>2</v>
      </c>
      <c r="Z1918">
        <v>4</v>
      </c>
      <c r="AA1918">
        <v>6</v>
      </c>
      <c r="AB1918" t="str">
        <f t="shared" si="89"/>
        <v>Below average customer</v>
      </c>
    </row>
    <row r="1919" spans="1:28" x14ac:dyDescent="0.35">
      <c r="A1919">
        <v>954</v>
      </c>
      <c r="B1919">
        <v>1960</v>
      </c>
      <c r="C1919" t="s">
        <v>25</v>
      </c>
      <c r="D1919" t="s">
        <v>37</v>
      </c>
      <c r="E1919" t="s">
        <v>38</v>
      </c>
      <c r="F1919">
        <v>22123</v>
      </c>
      <c r="G1919" t="str">
        <f t="shared" si="87"/>
        <v>Low</v>
      </c>
      <c r="H1919">
        <v>0</v>
      </c>
      <c r="I1919">
        <v>0</v>
      </c>
      <c r="J1919">
        <v>0</v>
      </c>
      <c r="K1919" s="1">
        <v>41725</v>
      </c>
      <c r="L1919">
        <v>77</v>
      </c>
      <c r="M1919" t="str">
        <f t="shared" si="88"/>
        <v>Inactive</v>
      </c>
      <c r="N1919">
        <v>0</v>
      </c>
      <c r="O1919">
        <v>3</v>
      </c>
      <c r="P1919">
        <v>3</v>
      </c>
      <c r="Q1919">
        <v>24</v>
      </c>
      <c r="R1919">
        <v>34</v>
      </c>
      <c r="S1919">
        <v>7</v>
      </c>
      <c r="T1919">
        <v>31</v>
      </c>
      <c r="U1919">
        <v>102</v>
      </c>
      <c r="V1919">
        <v>1</v>
      </c>
      <c r="W1919">
        <v>2</v>
      </c>
      <c r="X1919">
        <v>1</v>
      </c>
      <c r="Y1919">
        <v>3</v>
      </c>
      <c r="Z1919">
        <v>6</v>
      </c>
      <c r="AA1919">
        <v>5</v>
      </c>
      <c r="AB1919" t="str">
        <f t="shared" si="89"/>
        <v>Below average customer</v>
      </c>
    </row>
    <row r="1920" spans="1:28" x14ac:dyDescent="0.35">
      <c r="A1920">
        <v>5079</v>
      </c>
      <c r="B1920">
        <v>1971</v>
      </c>
      <c r="C1920" t="s">
        <v>28</v>
      </c>
      <c r="D1920" t="s">
        <v>26</v>
      </c>
      <c r="E1920" t="s">
        <v>33</v>
      </c>
      <c r="G1920" t="str">
        <f t="shared" si="87"/>
        <v>Low</v>
      </c>
      <c r="H1920">
        <v>1</v>
      </c>
      <c r="I1920">
        <v>1</v>
      </c>
      <c r="J1920">
        <v>2</v>
      </c>
      <c r="K1920" s="1">
        <v>41336</v>
      </c>
      <c r="L1920">
        <v>82</v>
      </c>
      <c r="M1920" t="str">
        <f t="shared" si="88"/>
        <v>Inactive</v>
      </c>
      <c r="N1920">
        <v>0</v>
      </c>
      <c r="O1920">
        <v>71</v>
      </c>
      <c r="P1920">
        <v>1</v>
      </c>
      <c r="Q1920">
        <v>16</v>
      </c>
      <c r="R1920">
        <v>0</v>
      </c>
      <c r="S1920">
        <v>0</v>
      </c>
      <c r="T1920">
        <v>9</v>
      </c>
      <c r="U1920">
        <v>97</v>
      </c>
      <c r="V1920">
        <v>4</v>
      </c>
      <c r="W1920">
        <v>2</v>
      </c>
      <c r="X1920">
        <v>1</v>
      </c>
      <c r="Y1920">
        <v>3</v>
      </c>
      <c r="Z1920">
        <v>6</v>
      </c>
      <c r="AA1920">
        <v>8</v>
      </c>
      <c r="AB1920" t="str">
        <f t="shared" si="89"/>
        <v>Below average customer</v>
      </c>
    </row>
    <row r="1921" spans="1:28" x14ac:dyDescent="0.35">
      <c r="A1921">
        <v>10339</v>
      </c>
      <c r="B1921">
        <v>1954</v>
      </c>
      <c r="C1921" t="s">
        <v>25</v>
      </c>
      <c r="D1921" t="s">
        <v>34</v>
      </c>
      <c r="E1921" t="s">
        <v>29</v>
      </c>
      <c r="G1921" t="str">
        <f t="shared" si="87"/>
        <v>Low</v>
      </c>
      <c r="H1921">
        <v>0</v>
      </c>
      <c r="I1921">
        <v>1</v>
      </c>
      <c r="J1921">
        <v>1</v>
      </c>
      <c r="K1921" s="1">
        <v>41448</v>
      </c>
      <c r="L1921">
        <v>83</v>
      </c>
      <c r="M1921" t="str">
        <f t="shared" si="88"/>
        <v>Inactive</v>
      </c>
      <c r="N1921">
        <v>0</v>
      </c>
      <c r="O1921">
        <v>161</v>
      </c>
      <c r="P1921">
        <v>0</v>
      </c>
      <c r="Q1921">
        <v>22</v>
      </c>
      <c r="R1921">
        <v>0</v>
      </c>
      <c r="S1921">
        <v>0</v>
      </c>
      <c r="T1921">
        <v>24</v>
      </c>
      <c r="U1921">
        <v>207</v>
      </c>
      <c r="V1921">
        <v>2</v>
      </c>
      <c r="W1921">
        <v>4</v>
      </c>
      <c r="X1921">
        <v>1</v>
      </c>
      <c r="Y1921">
        <v>4</v>
      </c>
      <c r="Z1921">
        <v>9</v>
      </c>
      <c r="AA1921">
        <v>6</v>
      </c>
      <c r="AB1921" t="str">
        <f t="shared" si="89"/>
        <v>Below average customer</v>
      </c>
    </row>
    <row r="1922" spans="1:28" x14ac:dyDescent="0.35">
      <c r="A1922">
        <v>4643</v>
      </c>
      <c r="B1922">
        <v>1973</v>
      </c>
      <c r="C1922" t="s">
        <v>31</v>
      </c>
      <c r="D1922" t="s">
        <v>26</v>
      </c>
      <c r="E1922" t="s">
        <v>33</v>
      </c>
      <c r="F1922">
        <v>27803</v>
      </c>
      <c r="G1922" t="str">
        <f t="shared" ref="G1922:G1985" si="90">IF(F1922&lt;=_xlfn.PERCENTILE.INC($F$2:$F$2056,0.25),"Low",IF(F1922&lt;=_xlfn.PERCENTILE.INC($F$2:$F$2056,0.5),"Mid-low",IF(F1922&lt;=_xlfn.PERCENTILE.INC($F$2:$F$2056,0.75),"Mid-high","High")))</f>
        <v>Low</v>
      </c>
      <c r="H1922">
        <v>1</v>
      </c>
      <c r="I1922">
        <v>0</v>
      </c>
      <c r="J1922">
        <v>1</v>
      </c>
      <c r="K1922" s="1">
        <v>41147</v>
      </c>
      <c r="L1922">
        <v>40</v>
      </c>
      <c r="M1922" t="str">
        <f t="shared" ref="M1922:M1985" si="91">IF(L1922&gt;AVERAGE($L$2:$L$2056),"Inactive","Active")</f>
        <v>Active</v>
      </c>
      <c r="N1922">
        <v>0</v>
      </c>
      <c r="O1922">
        <v>8</v>
      </c>
      <c r="P1922">
        <v>26</v>
      </c>
      <c r="Q1922">
        <v>46</v>
      </c>
      <c r="R1922">
        <v>38</v>
      </c>
      <c r="S1922">
        <v>9</v>
      </c>
      <c r="T1922">
        <v>49</v>
      </c>
      <c r="U1922">
        <v>176</v>
      </c>
      <c r="V1922">
        <v>2</v>
      </c>
      <c r="W1922">
        <v>3</v>
      </c>
      <c r="X1922">
        <v>0</v>
      </c>
      <c r="Y1922">
        <v>4</v>
      </c>
      <c r="Z1922">
        <v>7</v>
      </c>
      <c r="AA1922">
        <v>8</v>
      </c>
      <c r="AB1922" t="str">
        <f t="shared" ref="AB1922:AB1985" si="92">IF(AND(Z1922&gt;AVERAGE($Z$2:$Z$2056),U1922&gt;AVERAGE($U$2:$U$2056),N1922=0,L1922&lt;AVERAGE($L$2:$L$2056),F1922&gt;AVERAGE($F$2:$F$2240)),"Above average customer","Below average customer")</f>
        <v>Below average customer</v>
      </c>
    </row>
    <row r="1923" spans="1:28" x14ac:dyDescent="0.35">
      <c r="A1923">
        <v>3117</v>
      </c>
      <c r="B1923">
        <v>1955</v>
      </c>
      <c r="C1923" t="s">
        <v>25</v>
      </c>
      <c r="D1923" t="s">
        <v>26</v>
      </c>
      <c r="E1923" t="s">
        <v>27</v>
      </c>
      <c r="G1923" t="str">
        <f t="shared" si="90"/>
        <v>Low</v>
      </c>
      <c r="H1923">
        <v>0</v>
      </c>
      <c r="I1923">
        <v>1</v>
      </c>
      <c r="J1923">
        <v>1</v>
      </c>
      <c r="K1923" s="1">
        <v>41565</v>
      </c>
      <c r="L1923">
        <v>95</v>
      </c>
      <c r="M1923" t="str">
        <f t="shared" si="91"/>
        <v>Inactive</v>
      </c>
      <c r="N1923">
        <v>0</v>
      </c>
      <c r="O1923">
        <v>264</v>
      </c>
      <c r="P1923">
        <v>0</v>
      </c>
      <c r="Q1923">
        <v>21</v>
      </c>
      <c r="R1923">
        <v>12</v>
      </c>
      <c r="S1923">
        <v>6</v>
      </c>
      <c r="T1923">
        <v>147</v>
      </c>
      <c r="U1923">
        <v>450</v>
      </c>
      <c r="V1923">
        <v>3</v>
      </c>
      <c r="W1923">
        <v>6</v>
      </c>
      <c r="X1923">
        <v>1</v>
      </c>
      <c r="Y1923">
        <v>5</v>
      </c>
      <c r="Z1923">
        <v>12</v>
      </c>
      <c r="AA1923">
        <v>7</v>
      </c>
      <c r="AB1923" t="str">
        <f t="shared" si="92"/>
        <v>Below average customer</v>
      </c>
    </row>
    <row r="1924" spans="1:28" x14ac:dyDescent="0.35">
      <c r="A1924">
        <v>6497</v>
      </c>
      <c r="B1924">
        <v>1960</v>
      </c>
      <c r="C1924" t="s">
        <v>25</v>
      </c>
      <c r="D1924" t="s">
        <v>26</v>
      </c>
      <c r="E1924" t="s">
        <v>33</v>
      </c>
      <c r="F1924">
        <v>51651</v>
      </c>
      <c r="G1924" t="str">
        <f t="shared" si="90"/>
        <v>Mid-high</v>
      </c>
      <c r="H1924">
        <v>0</v>
      </c>
      <c r="I1924">
        <v>1</v>
      </c>
      <c r="J1924">
        <v>1</v>
      </c>
      <c r="K1924" s="1">
        <v>41220</v>
      </c>
      <c r="L1924">
        <v>32</v>
      </c>
      <c r="M1924" t="str">
        <f t="shared" si="91"/>
        <v>Active</v>
      </c>
      <c r="N1924">
        <v>0</v>
      </c>
      <c r="O1924">
        <v>293</v>
      </c>
      <c r="P1924">
        <v>6</v>
      </c>
      <c r="Q1924">
        <v>23</v>
      </c>
      <c r="R1924">
        <v>13</v>
      </c>
      <c r="S1924">
        <v>6</v>
      </c>
      <c r="T1924">
        <v>92</v>
      </c>
      <c r="U1924">
        <v>433</v>
      </c>
      <c r="V1924">
        <v>4</v>
      </c>
      <c r="W1924">
        <v>6</v>
      </c>
      <c r="X1924">
        <v>2</v>
      </c>
      <c r="Y1924">
        <v>5</v>
      </c>
      <c r="Z1924">
        <v>13</v>
      </c>
      <c r="AA1924">
        <v>8</v>
      </c>
      <c r="AB1924" t="str">
        <f t="shared" si="92"/>
        <v>Below average customer</v>
      </c>
    </row>
    <row r="1925" spans="1:28" x14ac:dyDescent="0.35">
      <c r="A1925">
        <v>5250</v>
      </c>
      <c r="B1925">
        <v>1943</v>
      </c>
      <c r="C1925" t="s">
        <v>36</v>
      </c>
      <c r="D1925" t="s">
        <v>34</v>
      </c>
      <c r="E1925" t="s">
        <v>38</v>
      </c>
      <c r="G1925" t="str">
        <f t="shared" si="90"/>
        <v>Low</v>
      </c>
      <c r="H1925">
        <v>0</v>
      </c>
      <c r="I1925">
        <v>0</v>
      </c>
      <c r="J1925">
        <v>0</v>
      </c>
      <c r="K1925" s="1">
        <v>41577</v>
      </c>
      <c r="L1925">
        <v>75</v>
      </c>
      <c r="M1925" t="str">
        <f t="shared" si="91"/>
        <v>Inactive</v>
      </c>
      <c r="N1925">
        <v>0</v>
      </c>
      <c r="O1925">
        <v>532</v>
      </c>
      <c r="P1925">
        <v>126</v>
      </c>
      <c r="Q1925">
        <v>490</v>
      </c>
      <c r="R1925">
        <v>164</v>
      </c>
      <c r="S1925">
        <v>126</v>
      </c>
      <c r="T1925">
        <v>126</v>
      </c>
      <c r="U1925">
        <v>1564</v>
      </c>
      <c r="V1925">
        <v>1</v>
      </c>
      <c r="W1925">
        <v>5</v>
      </c>
      <c r="X1925">
        <v>5</v>
      </c>
      <c r="Y1925">
        <v>11</v>
      </c>
      <c r="Z1925">
        <v>21</v>
      </c>
      <c r="AA1925">
        <v>1</v>
      </c>
      <c r="AB1925" t="str">
        <f t="shared" si="92"/>
        <v>Below average customer</v>
      </c>
    </row>
    <row r="1926" spans="1:28" x14ac:dyDescent="0.35">
      <c r="A1926">
        <v>2802</v>
      </c>
      <c r="B1926">
        <v>1992</v>
      </c>
      <c r="C1926" t="s">
        <v>30</v>
      </c>
      <c r="D1926" t="s">
        <v>34</v>
      </c>
      <c r="E1926" t="s">
        <v>33</v>
      </c>
      <c r="F1926">
        <v>87000</v>
      </c>
      <c r="G1926" t="str">
        <f t="shared" si="90"/>
        <v>High</v>
      </c>
      <c r="H1926">
        <v>0</v>
      </c>
      <c r="I1926">
        <v>0</v>
      </c>
      <c r="J1926">
        <v>0</v>
      </c>
      <c r="K1926" s="1">
        <v>41258</v>
      </c>
      <c r="L1926">
        <v>61</v>
      </c>
      <c r="M1926" t="str">
        <f t="shared" si="91"/>
        <v>Inactive</v>
      </c>
      <c r="N1926">
        <v>0</v>
      </c>
      <c r="O1926">
        <v>196</v>
      </c>
      <c r="P1926">
        <v>25</v>
      </c>
      <c r="Q1926">
        <v>607</v>
      </c>
      <c r="R1926">
        <v>67</v>
      </c>
      <c r="S1926">
        <v>17</v>
      </c>
      <c r="T1926">
        <v>49</v>
      </c>
      <c r="U1926">
        <v>961</v>
      </c>
      <c r="V1926">
        <v>1</v>
      </c>
      <c r="W1926">
        <v>4</v>
      </c>
      <c r="X1926">
        <v>6</v>
      </c>
      <c r="Y1926">
        <v>7</v>
      </c>
      <c r="Z1926">
        <v>17</v>
      </c>
      <c r="AA1926">
        <v>2</v>
      </c>
      <c r="AB1926" t="str">
        <f t="shared" si="92"/>
        <v>Below average customer</v>
      </c>
    </row>
    <row r="1927" spans="1:28" x14ac:dyDescent="0.35">
      <c r="A1927">
        <v>6343</v>
      </c>
      <c r="B1927">
        <v>1959</v>
      </c>
      <c r="C1927" t="s">
        <v>25</v>
      </c>
      <c r="D1927" t="s">
        <v>26</v>
      </c>
      <c r="E1927" t="s">
        <v>33</v>
      </c>
      <c r="F1927">
        <v>79823</v>
      </c>
      <c r="G1927" t="str">
        <f t="shared" si="90"/>
        <v>High</v>
      </c>
      <c r="H1927">
        <v>0</v>
      </c>
      <c r="I1927">
        <v>1</v>
      </c>
      <c r="J1927">
        <v>1</v>
      </c>
      <c r="K1927" s="1">
        <v>41729</v>
      </c>
      <c r="L1927">
        <v>6</v>
      </c>
      <c r="M1927" t="str">
        <f t="shared" si="91"/>
        <v>Active</v>
      </c>
      <c r="N1927">
        <v>0</v>
      </c>
      <c r="O1927">
        <v>835</v>
      </c>
      <c r="P1927">
        <v>73</v>
      </c>
      <c r="Q1927">
        <v>380</v>
      </c>
      <c r="R1927">
        <v>114</v>
      </c>
      <c r="S1927">
        <v>73</v>
      </c>
      <c r="T1927">
        <v>43</v>
      </c>
      <c r="U1927">
        <v>1518</v>
      </c>
      <c r="V1927">
        <v>1</v>
      </c>
      <c r="W1927">
        <v>6</v>
      </c>
      <c r="X1927">
        <v>9</v>
      </c>
      <c r="Y1927">
        <v>7</v>
      </c>
      <c r="Z1927">
        <v>22</v>
      </c>
      <c r="AA1927">
        <v>2</v>
      </c>
      <c r="AB1927" t="str">
        <f t="shared" si="92"/>
        <v>Above average customer</v>
      </c>
    </row>
    <row r="1928" spans="1:28" x14ac:dyDescent="0.35">
      <c r="A1928">
        <v>6507</v>
      </c>
      <c r="B1928">
        <v>1980</v>
      </c>
      <c r="C1928" t="s">
        <v>31</v>
      </c>
      <c r="D1928" t="s">
        <v>26</v>
      </c>
      <c r="E1928" t="s">
        <v>27</v>
      </c>
      <c r="F1928">
        <v>30828</v>
      </c>
      <c r="G1928" t="str">
        <f t="shared" si="90"/>
        <v>Low</v>
      </c>
      <c r="H1928">
        <v>1</v>
      </c>
      <c r="I1928">
        <v>0</v>
      </c>
      <c r="J1928">
        <v>1</v>
      </c>
      <c r="K1928" s="1">
        <v>41551</v>
      </c>
      <c r="L1928">
        <v>16</v>
      </c>
      <c r="M1928" t="str">
        <f t="shared" si="91"/>
        <v>Active</v>
      </c>
      <c r="N1928">
        <v>0</v>
      </c>
      <c r="O1928">
        <v>16</v>
      </c>
      <c r="P1928">
        <v>11</v>
      </c>
      <c r="Q1928">
        <v>15</v>
      </c>
      <c r="R1928">
        <v>2</v>
      </c>
      <c r="S1928">
        <v>0</v>
      </c>
      <c r="T1928">
        <v>12</v>
      </c>
      <c r="U1928">
        <v>56</v>
      </c>
      <c r="V1928">
        <v>2</v>
      </c>
      <c r="W1928">
        <v>1</v>
      </c>
      <c r="X1928">
        <v>1</v>
      </c>
      <c r="Y1928">
        <v>4</v>
      </c>
      <c r="Z1928">
        <v>6</v>
      </c>
      <c r="AA1928">
        <v>3</v>
      </c>
      <c r="AB1928" t="str">
        <f t="shared" si="92"/>
        <v>Below average customer</v>
      </c>
    </row>
    <row r="1929" spans="1:28" x14ac:dyDescent="0.35">
      <c r="A1929">
        <v>7901</v>
      </c>
      <c r="B1929">
        <v>1971</v>
      </c>
      <c r="C1929" t="s">
        <v>28</v>
      </c>
      <c r="D1929" t="s">
        <v>34</v>
      </c>
      <c r="E1929" t="s">
        <v>33</v>
      </c>
      <c r="F1929">
        <v>34109</v>
      </c>
      <c r="G1929" t="str">
        <f t="shared" si="90"/>
        <v>Low</v>
      </c>
      <c r="H1929">
        <v>0</v>
      </c>
      <c r="I1929">
        <v>1</v>
      </c>
      <c r="J1929">
        <v>1</v>
      </c>
      <c r="K1929" s="1">
        <v>41584</v>
      </c>
      <c r="L1929">
        <v>39</v>
      </c>
      <c r="M1929" t="str">
        <f t="shared" si="91"/>
        <v>Active</v>
      </c>
      <c r="N1929">
        <v>0</v>
      </c>
      <c r="O1929">
        <v>9</v>
      </c>
      <c r="P1929">
        <v>1</v>
      </c>
      <c r="Q1929">
        <v>5</v>
      </c>
      <c r="R1929">
        <v>2</v>
      </c>
      <c r="S1929">
        <v>1</v>
      </c>
      <c r="T1929">
        <v>4</v>
      </c>
      <c r="U1929">
        <v>22</v>
      </c>
      <c r="V1929">
        <v>1</v>
      </c>
      <c r="W1929">
        <v>0</v>
      </c>
      <c r="X1929">
        <v>0</v>
      </c>
      <c r="Y1929">
        <v>3</v>
      </c>
      <c r="Z1929">
        <v>3</v>
      </c>
      <c r="AA1929">
        <v>4</v>
      </c>
      <c r="AB1929" t="str">
        <f t="shared" si="92"/>
        <v>Below average customer</v>
      </c>
    </row>
    <row r="1930" spans="1:28" x14ac:dyDescent="0.35">
      <c r="A1930">
        <v>4865</v>
      </c>
      <c r="B1930">
        <v>1974</v>
      </c>
      <c r="C1930" t="s">
        <v>31</v>
      </c>
      <c r="D1930" t="s">
        <v>34</v>
      </c>
      <c r="E1930" t="s">
        <v>35</v>
      </c>
      <c r="F1930">
        <v>53367</v>
      </c>
      <c r="G1930" t="str">
        <f t="shared" si="90"/>
        <v>Mid-high</v>
      </c>
      <c r="H1930">
        <v>1</v>
      </c>
      <c r="I1930">
        <v>1</v>
      </c>
      <c r="J1930">
        <v>2</v>
      </c>
      <c r="K1930" s="1">
        <v>41517</v>
      </c>
      <c r="L1930">
        <v>2</v>
      </c>
      <c r="M1930" t="str">
        <f t="shared" si="91"/>
        <v>Active</v>
      </c>
      <c r="N1930">
        <v>0</v>
      </c>
      <c r="O1930">
        <v>229</v>
      </c>
      <c r="P1930">
        <v>7</v>
      </c>
      <c r="Q1930">
        <v>140</v>
      </c>
      <c r="R1930">
        <v>10</v>
      </c>
      <c r="S1930">
        <v>3</v>
      </c>
      <c r="T1930">
        <v>11</v>
      </c>
      <c r="U1930">
        <v>400</v>
      </c>
      <c r="V1930">
        <v>7</v>
      </c>
      <c r="W1930">
        <v>5</v>
      </c>
      <c r="X1930">
        <v>1</v>
      </c>
      <c r="Y1930">
        <v>8</v>
      </c>
      <c r="Z1930">
        <v>14</v>
      </c>
      <c r="AA1930">
        <v>7</v>
      </c>
      <c r="AB1930" t="str">
        <f t="shared" si="92"/>
        <v>Below average customer</v>
      </c>
    </row>
    <row r="1931" spans="1:28" x14ac:dyDescent="0.35">
      <c r="A1931">
        <v>2686</v>
      </c>
      <c r="B1931">
        <v>1969</v>
      </c>
      <c r="C1931" t="s">
        <v>28</v>
      </c>
      <c r="D1931" t="s">
        <v>37</v>
      </c>
      <c r="E1931" t="s">
        <v>29</v>
      </c>
      <c r="F1931">
        <v>22390</v>
      </c>
      <c r="G1931" t="str">
        <f t="shared" si="90"/>
        <v>Low</v>
      </c>
      <c r="H1931">
        <v>0</v>
      </c>
      <c r="I1931">
        <v>0</v>
      </c>
      <c r="J1931">
        <v>0</v>
      </c>
      <c r="K1931" s="1">
        <v>41568</v>
      </c>
      <c r="L1931">
        <v>49</v>
      </c>
      <c r="M1931" t="str">
        <f t="shared" si="91"/>
        <v>Inactive</v>
      </c>
      <c r="N1931">
        <v>0</v>
      </c>
      <c r="O1931">
        <v>0</v>
      </c>
      <c r="P1931">
        <v>1</v>
      </c>
      <c r="Q1931">
        <v>4</v>
      </c>
      <c r="R1931">
        <v>15</v>
      </c>
      <c r="S1931">
        <v>1</v>
      </c>
      <c r="T1931">
        <v>5</v>
      </c>
      <c r="U1931">
        <v>26</v>
      </c>
      <c r="V1931">
        <v>1</v>
      </c>
      <c r="W1931">
        <v>1</v>
      </c>
      <c r="X1931">
        <v>0</v>
      </c>
      <c r="Y1931">
        <v>2</v>
      </c>
      <c r="Z1931">
        <v>3</v>
      </c>
      <c r="AA1931">
        <v>7</v>
      </c>
      <c r="AB1931" t="str">
        <f t="shared" si="92"/>
        <v>Below average customer</v>
      </c>
    </row>
    <row r="1932" spans="1:28" x14ac:dyDescent="0.35">
      <c r="A1932">
        <v>3107</v>
      </c>
      <c r="B1932">
        <v>1976</v>
      </c>
      <c r="C1932" t="s">
        <v>31</v>
      </c>
      <c r="D1932" t="s">
        <v>26</v>
      </c>
      <c r="E1932" t="s">
        <v>29</v>
      </c>
      <c r="F1932">
        <v>71322</v>
      </c>
      <c r="G1932" t="str">
        <f t="shared" si="90"/>
        <v>High</v>
      </c>
      <c r="H1932">
        <v>0</v>
      </c>
      <c r="I1932">
        <v>1</v>
      </c>
      <c r="J1932">
        <v>1</v>
      </c>
      <c r="K1932" s="1">
        <v>41761</v>
      </c>
      <c r="L1932">
        <v>31</v>
      </c>
      <c r="M1932" t="str">
        <f t="shared" si="91"/>
        <v>Active</v>
      </c>
      <c r="N1932">
        <v>0</v>
      </c>
      <c r="O1932">
        <v>121</v>
      </c>
      <c r="P1932">
        <v>24</v>
      </c>
      <c r="Q1932">
        <v>124</v>
      </c>
      <c r="R1932">
        <v>24</v>
      </c>
      <c r="S1932">
        <v>15</v>
      </c>
      <c r="T1932">
        <v>42</v>
      </c>
      <c r="U1932">
        <v>350</v>
      </c>
      <c r="V1932">
        <v>1</v>
      </c>
      <c r="W1932">
        <v>4</v>
      </c>
      <c r="X1932">
        <v>1</v>
      </c>
      <c r="Y1932">
        <v>7</v>
      </c>
      <c r="Z1932">
        <v>12</v>
      </c>
      <c r="AA1932">
        <v>2</v>
      </c>
      <c r="AB1932" t="str">
        <f t="shared" si="92"/>
        <v>Below average customer</v>
      </c>
    </row>
    <row r="1933" spans="1:28" x14ac:dyDescent="0.35">
      <c r="A1933">
        <v>7734</v>
      </c>
      <c r="B1933">
        <v>1993</v>
      </c>
      <c r="C1933" t="s">
        <v>30</v>
      </c>
      <c r="D1933" t="s">
        <v>26</v>
      </c>
      <c r="E1933" t="s">
        <v>27</v>
      </c>
      <c r="F1933">
        <v>79244</v>
      </c>
      <c r="G1933" t="str">
        <f t="shared" si="90"/>
        <v>High</v>
      </c>
      <c r="H1933">
        <v>0</v>
      </c>
      <c r="I1933">
        <v>0</v>
      </c>
      <c r="J1933">
        <v>0</v>
      </c>
      <c r="K1933" s="1">
        <v>41262</v>
      </c>
      <c r="L1933">
        <v>58</v>
      </c>
      <c r="M1933" t="str">
        <f t="shared" si="91"/>
        <v>Inactive</v>
      </c>
      <c r="N1933">
        <v>0</v>
      </c>
      <c r="O1933">
        <v>471</v>
      </c>
      <c r="P1933">
        <v>102</v>
      </c>
      <c r="Q1933">
        <v>125</v>
      </c>
      <c r="R1933">
        <v>212</v>
      </c>
      <c r="S1933">
        <v>61</v>
      </c>
      <c r="T1933">
        <v>245</v>
      </c>
      <c r="U1933">
        <v>1216</v>
      </c>
      <c r="V1933">
        <v>1</v>
      </c>
      <c r="W1933">
        <v>4</v>
      </c>
      <c r="X1933">
        <v>10</v>
      </c>
      <c r="Y1933">
        <v>7</v>
      </c>
      <c r="Z1933">
        <v>21</v>
      </c>
      <c r="AA1933">
        <v>1</v>
      </c>
      <c r="AB1933" t="str">
        <f t="shared" si="92"/>
        <v>Below average customer</v>
      </c>
    </row>
    <row r="1934" spans="1:28" x14ac:dyDescent="0.35">
      <c r="A1934">
        <v>11031</v>
      </c>
      <c r="B1934">
        <v>1950</v>
      </c>
      <c r="C1934" t="s">
        <v>36</v>
      </c>
      <c r="D1934" t="s">
        <v>32</v>
      </c>
      <c r="E1934" t="s">
        <v>33</v>
      </c>
      <c r="F1934">
        <v>48699</v>
      </c>
      <c r="G1934" t="str">
        <f t="shared" si="90"/>
        <v>Mid-low</v>
      </c>
      <c r="H1934">
        <v>1</v>
      </c>
      <c r="I1934">
        <v>1</v>
      </c>
      <c r="J1934">
        <v>2</v>
      </c>
      <c r="K1934" s="1">
        <v>41415</v>
      </c>
      <c r="L1934">
        <v>90</v>
      </c>
      <c r="M1934" t="str">
        <f t="shared" si="91"/>
        <v>Inactive</v>
      </c>
      <c r="N1934">
        <v>0</v>
      </c>
      <c r="O1934">
        <v>26</v>
      </c>
      <c r="P1934">
        <v>1</v>
      </c>
      <c r="Q1934">
        <v>10</v>
      </c>
      <c r="R1934">
        <v>2</v>
      </c>
      <c r="S1934">
        <v>0</v>
      </c>
      <c r="T1934">
        <v>1</v>
      </c>
      <c r="U1934">
        <v>40</v>
      </c>
      <c r="V1934">
        <v>1</v>
      </c>
      <c r="W1934">
        <v>1</v>
      </c>
      <c r="X1934">
        <v>0</v>
      </c>
      <c r="Y1934">
        <v>3</v>
      </c>
      <c r="Z1934">
        <v>4</v>
      </c>
      <c r="AA1934">
        <v>5</v>
      </c>
      <c r="AB1934" t="str">
        <f t="shared" si="92"/>
        <v>Below average customer</v>
      </c>
    </row>
    <row r="1935" spans="1:28" x14ac:dyDescent="0.35">
      <c r="A1935">
        <v>7428</v>
      </c>
      <c r="B1935">
        <v>1975</v>
      </c>
      <c r="C1935" t="s">
        <v>31</v>
      </c>
      <c r="D1935" t="s">
        <v>26</v>
      </c>
      <c r="E1935" t="s">
        <v>29</v>
      </c>
      <c r="F1935">
        <v>80144</v>
      </c>
      <c r="G1935" t="str">
        <f t="shared" si="90"/>
        <v>High</v>
      </c>
      <c r="H1935">
        <v>0</v>
      </c>
      <c r="I1935">
        <v>0</v>
      </c>
      <c r="J1935">
        <v>0</v>
      </c>
      <c r="K1935" s="1">
        <v>41547</v>
      </c>
      <c r="L1935">
        <v>47</v>
      </c>
      <c r="M1935" t="str">
        <f t="shared" si="91"/>
        <v>Active</v>
      </c>
      <c r="N1935">
        <v>0</v>
      </c>
      <c r="O1935">
        <v>240</v>
      </c>
      <c r="P1935">
        <v>132</v>
      </c>
      <c r="Q1935">
        <v>445</v>
      </c>
      <c r="R1935">
        <v>250</v>
      </c>
      <c r="S1935">
        <v>192</v>
      </c>
      <c r="T1935">
        <v>108</v>
      </c>
      <c r="U1935">
        <v>1367</v>
      </c>
      <c r="V1935">
        <v>1</v>
      </c>
      <c r="W1935">
        <v>3</v>
      </c>
      <c r="X1935">
        <v>7</v>
      </c>
      <c r="Y1935">
        <v>8</v>
      </c>
      <c r="Z1935">
        <v>18</v>
      </c>
      <c r="AA1935">
        <v>1</v>
      </c>
      <c r="AB1935" t="str">
        <f t="shared" si="92"/>
        <v>Above average customer</v>
      </c>
    </row>
    <row r="1936" spans="1:28" x14ac:dyDescent="0.35">
      <c r="A1936">
        <v>975</v>
      </c>
      <c r="B1936">
        <v>1956</v>
      </c>
      <c r="C1936" t="s">
        <v>25</v>
      </c>
      <c r="D1936" t="s">
        <v>26</v>
      </c>
      <c r="E1936" t="s">
        <v>27</v>
      </c>
      <c r="F1936">
        <v>54252</v>
      </c>
      <c r="G1936" t="str">
        <f t="shared" si="90"/>
        <v>Mid-high</v>
      </c>
      <c r="H1936">
        <v>1</v>
      </c>
      <c r="I1936">
        <v>1</v>
      </c>
      <c r="J1936">
        <v>2</v>
      </c>
      <c r="K1936" s="1">
        <v>41422</v>
      </c>
      <c r="L1936">
        <v>25</v>
      </c>
      <c r="M1936" t="str">
        <f t="shared" si="91"/>
        <v>Active</v>
      </c>
      <c r="N1936">
        <v>0</v>
      </c>
      <c r="O1936">
        <v>178</v>
      </c>
      <c r="P1936">
        <v>4</v>
      </c>
      <c r="Q1936">
        <v>26</v>
      </c>
      <c r="R1936">
        <v>8</v>
      </c>
      <c r="S1936">
        <v>4</v>
      </c>
      <c r="T1936">
        <v>44</v>
      </c>
      <c r="U1936">
        <v>264</v>
      </c>
      <c r="V1936">
        <v>5</v>
      </c>
      <c r="W1936">
        <v>4</v>
      </c>
      <c r="X1936">
        <v>1</v>
      </c>
      <c r="Y1936">
        <v>5</v>
      </c>
      <c r="Z1936">
        <v>10</v>
      </c>
      <c r="AA1936">
        <v>6</v>
      </c>
      <c r="AB1936" t="str">
        <f t="shared" si="92"/>
        <v>Below average customer</v>
      </c>
    </row>
    <row r="1937" spans="1:28" x14ac:dyDescent="0.35">
      <c r="A1937">
        <v>1103</v>
      </c>
      <c r="B1937">
        <v>1976</v>
      </c>
      <c r="C1937" t="s">
        <v>31</v>
      </c>
      <c r="D1937" t="s">
        <v>34</v>
      </c>
      <c r="E1937" t="s">
        <v>33</v>
      </c>
      <c r="F1937">
        <v>81929</v>
      </c>
      <c r="G1937" t="str">
        <f t="shared" si="90"/>
        <v>High</v>
      </c>
      <c r="H1937">
        <v>1</v>
      </c>
      <c r="I1937">
        <v>0</v>
      </c>
      <c r="J1937">
        <v>1</v>
      </c>
      <c r="K1937" s="1">
        <v>41181</v>
      </c>
      <c r="L1937">
        <v>60</v>
      </c>
      <c r="M1937" t="str">
        <f t="shared" si="91"/>
        <v>Inactive</v>
      </c>
      <c r="N1937">
        <v>0</v>
      </c>
      <c r="O1937">
        <v>1486</v>
      </c>
      <c r="P1937">
        <v>55</v>
      </c>
      <c r="Q1937">
        <v>278</v>
      </c>
      <c r="R1937">
        <v>49</v>
      </c>
      <c r="S1937">
        <v>0</v>
      </c>
      <c r="T1937">
        <v>185</v>
      </c>
      <c r="U1937">
        <v>2053</v>
      </c>
      <c r="V1937">
        <v>2</v>
      </c>
      <c r="W1937">
        <v>4</v>
      </c>
      <c r="X1937">
        <v>4</v>
      </c>
      <c r="Y1937">
        <v>10</v>
      </c>
      <c r="Z1937">
        <v>18</v>
      </c>
      <c r="AA1937">
        <v>6</v>
      </c>
      <c r="AB1937" t="str">
        <f t="shared" si="92"/>
        <v>Below average customer</v>
      </c>
    </row>
    <row r="1938" spans="1:28" x14ac:dyDescent="0.35">
      <c r="A1938">
        <v>3422</v>
      </c>
      <c r="B1938">
        <v>1975</v>
      </c>
      <c r="C1938" t="s">
        <v>31</v>
      </c>
      <c r="D1938" t="s">
        <v>26</v>
      </c>
      <c r="E1938" t="s">
        <v>33</v>
      </c>
      <c r="F1938">
        <v>76068</v>
      </c>
      <c r="G1938" t="str">
        <f t="shared" si="90"/>
        <v>High</v>
      </c>
      <c r="H1938">
        <v>0</v>
      </c>
      <c r="I1938">
        <v>1</v>
      </c>
      <c r="J1938">
        <v>1</v>
      </c>
      <c r="K1938" s="1">
        <v>41242</v>
      </c>
      <c r="L1938">
        <v>67</v>
      </c>
      <c r="M1938" t="str">
        <f t="shared" si="91"/>
        <v>Inactive</v>
      </c>
      <c r="N1938">
        <v>0</v>
      </c>
      <c r="O1938">
        <v>1115</v>
      </c>
      <c r="P1938">
        <v>12</v>
      </c>
      <c r="Q1938">
        <v>128</v>
      </c>
      <c r="R1938">
        <v>33</v>
      </c>
      <c r="S1938">
        <v>12</v>
      </c>
      <c r="T1938">
        <v>76</v>
      </c>
      <c r="U1938">
        <v>1376</v>
      </c>
      <c r="V1938">
        <v>1</v>
      </c>
      <c r="W1938">
        <v>2</v>
      </c>
      <c r="X1938">
        <v>3</v>
      </c>
      <c r="Y1938">
        <v>4</v>
      </c>
      <c r="Z1938">
        <v>9</v>
      </c>
      <c r="AA1938">
        <v>6</v>
      </c>
      <c r="AB1938" t="str">
        <f t="shared" si="92"/>
        <v>Below average customer</v>
      </c>
    </row>
    <row r="1939" spans="1:28" x14ac:dyDescent="0.35">
      <c r="A1939">
        <v>1055</v>
      </c>
      <c r="B1939">
        <v>1976</v>
      </c>
      <c r="C1939" t="s">
        <v>31</v>
      </c>
      <c r="D1939" t="s">
        <v>34</v>
      </c>
      <c r="E1939" t="s">
        <v>33</v>
      </c>
      <c r="F1939">
        <v>53204</v>
      </c>
      <c r="G1939" t="str">
        <f t="shared" si="90"/>
        <v>Mid-high</v>
      </c>
      <c r="H1939">
        <v>1</v>
      </c>
      <c r="I1939">
        <v>1</v>
      </c>
      <c r="J1939">
        <v>2</v>
      </c>
      <c r="K1939" s="1">
        <v>41718</v>
      </c>
      <c r="L1939">
        <v>40</v>
      </c>
      <c r="M1939" t="str">
        <f t="shared" si="91"/>
        <v>Active</v>
      </c>
      <c r="N1939">
        <v>0</v>
      </c>
      <c r="O1939">
        <v>29</v>
      </c>
      <c r="P1939">
        <v>0</v>
      </c>
      <c r="Q1939">
        <v>8</v>
      </c>
      <c r="R1939">
        <v>2</v>
      </c>
      <c r="S1939">
        <v>0</v>
      </c>
      <c r="T1939">
        <v>6</v>
      </c>
      <c r="U1939">
        <v>45</v>
      </c>
      <c r="V1939">
        <v>1</v>
      </c>
      <c r="W1939">
        <v>1</v>
      </c>
      <c r="X1939">
        <v>0</v>
      </c>
      <c r="Y1939">
        <v>3</v>
      </c>
      <c r="Z1939">
        <v>4</v>
      </c>
      <c r="AA1939">
        <v>4</v>
      </c>
      <c r="AB1939" t="str">
        <f t="shared" si="92"/>
        <v>Below average customer</v>
      </c>
    </row>
    <row r="1940" spans="1:28" x14ac:dyDescent="0.35">
      <c r="A1940">
        <v>1241</v>
      </c>
      <c r="B1940">
        <v>1984</v>
      </c>
      <c r="C1940" t="s">
        <v>30</v>
      </c>
      <c r="D1940" t="s">
        <v>34</v>
      </c>
      <c r="E1940" t="s">
        <v>33</v>
      </c>
      <c r="F1940">
        <v>14796</v>
      </c>
      <c r="G1940" t="str">
        <f t="shared" si="90"/>
        <v>Low</v>
      </c>
      <c r="H1940">
        <v>1</v>
      </c>
      <c r="I1940">
        <v>0</v>
      </c>
      <c r="J1940">
        <v>1</v>
      </c>
      <c r="K1940" s="1">
        <v>41169</v>
      </c>
      <c r="L1940">
        <v>1</v>
      </c>
      <c r="M1940" t="str">
        <f t="shared" si="91"/>
        <v>Active</v>
      </c>
      <c r="N1940">
        <v>0</v>
      </c>
      <c r="O1940">
        <v>13</v>
      </c>
      <c r="P1940">
        <v>3</v>
      </c>
      <c r="Q1940">
        <v>8</v>
      </c>
      <c r="R1940">
        <v>7</v>
      </c>
      <c r="S1940">
        <v>4</v>
      </c>
      <c r="T1940">
        <v>16</v>
      </c>
      <c r="U1940">
        <v>51</v>
      </c>
      <c r="V1940">
        <v>2</v>
      </c>
      <c r="W1940">
        <v>1</v>
      </c>
      <c r="X1940">
        <v>0</v>
      </c>
      <c r="Y1940">
        <v>3</v>
      </c>
      <c r="Z1940">
        <v>4</v>
      </c>
      <c r="AA1940">
        <v>9</v>
      </c>
      <c r="AB1940" t="str">
        <f t="shared" si="92"/>
        <v>Below average customer</v>
      </c>
    </row>
    <row r="1941" spans="1:28" x14ac:dyDescent="0.35">
      <c r="A1941">
        <v>2909</v>
      </c>
      <c r="B1941">
        <v>1974</v>
      </c>
      <c r="C1941" t="s">
        <v>31</v>
      </c>
      <c r="D1941" t="s">
        <v>32</v>
      </c>
      <c r="E1941" t="s">
        <v>33</v>
      </c>
      <c r="F1941">
        <v>78128</v>
      </c>
      <c r="G1941" t="str">
        <f t="shared" si="90"/>
        <v>High</v>
      </c>
      <c r="H1941">
        <v>0</v>
      </c>
      <c r="I1941">
        <v>1</v>
      </c>
      <c r="J1941">
        <v>1</v>
      </c>
      <c r="K1941" s="1">
        <v>41689</v>
      </c>
      <c r="L1941">
        <v>89</v>
      </c>
      <c r="M1941" t="str">
        <f t="shared" si="91"/>
        <v>Inactive</v>
      </c>
      <c r="N1941">
        <v>0</v>
      </c>
      <c r="O1941">
        <v>934</v>
      </c>
      <c r="P1941">
        <v>24</v>
      </c>
      <c r="Q1941">
        <v>230</v>
      </c>
      <c r="R1941">
        <v>16</v>
      </c>
      <c r="S1941">
        <v>24</v>
      </c>
      <c r="T1941">
        <v>36</v>
      </c>
      <c r="U1941">
        <v>1264</v>
      </c>
      <c r="V1941">
        <v>2</v>
      </c>
      <c r="W1941">
        <v>8</v>
      </c>
      <c r="X1941">
        <v>4</v>
      </c>
      <c r="Y1941">
        <v>6</v>
      </c>
      <c r="Z1941">
        <v>18</v>
      </c>
      <c r="AA1941">
        <v>3</v>
      </c>
      <c r="AB1941" t="str">
        <f t="shared" si="92"/>
        <v>Below average customer</v>
      </c>
    </row>
    <row r="1942" spans="1:28" x14ac:dyDescent="0.35">
      <c r="A1942">
        <v>5802</v>
      </c>
      <c r="B1942">
        <v>1972</v>
      </c>
      <c r="C1942" t="s">
        <v>28</v>
      </c>
      <c r="D1942" t="s">
        <v>37</v>
      </c>
      <c r="E1942" t="s">
        <v>33</v>
      </c>
      <c r="F1942">
        <v>14188</v>
      </c>
      <c r="G1942" t="str">
        <f t="shared" si="90"/>
        <v>Low</v>
      </c>
      <c r="H1942">
        <v>0</v>
      </c>
      <c r="I1942">
        <v>0</v>
      </c>
      <c r="J1942">
        <v>0</v>
      </c>
      <c r="K1942" s="1">
        <v>41333</v>
      </c>
      <c r="L1942">
        <v>40</v>
      </c>
      <c r="M1942" t="str">
        <f t="shared" si="91"/>
        <v>Active</v>
      </c>
      <c r="N1942">
        <v>0</v>
      </c>
      <c r="O1942">
        <v>2</v>
      </c>
      <c r="P1942">
        <v>7</v>
      </c>
      <c r="Q1942">
        <v>11</v>
      </c>
      <c r="R1942">
        <v>16</v>
      </c>
      <c r="S1942">
        <v>12</v>
      </c>
      <c r="T1942">
        <v>27</v>
      </c>
      <c r="U1942">
        <v>75</v>
      </c>
      <c r="V1942">
        <v>1</v>
      </c>
      <c r="W1942">
        <v>2</v>
      </c>
      <c r="X1942">
        <v>0</v>
      </c>
      <c r="Y1942">
        <v>4</v>
      </c>
      <c r="Z1942">
        <v>6</v>
      </c>
      <c r="AA1942">
        <v>6</v>
      </c>
      <c r="AB1942" t="str">
        <f t="shared" si="92"/>
        <v>Below average customer</v>
      </c>
    </row>
    <row r="1943" spans="1:28" x14ac:dyDescent="0.35">
      <c r="A1943">
        <v>340</v>
      </c>
      <c r="B1943">
        <v>1970</v>
      </c>
      <c r="C1943" t="s">
        <v>28</v>
      </c>
      <c r="D1943" t="s">
        <v>26</v>
      </c>
      <c r="E1943" t="s">
        <v>35</v>
      </c>
      <c r="F1943">
        <v>72967</v>
      </c>
      <c r="G1943" t="str">
        <f t="shared" si="90"/>
        <v>High</v>
      </c>
      <c r="H1943">
        <v>0</v>
      </c>
      <c r="I1943">
        <v>1</v>
      </c>
      <c r="J1943">
        <v>1</v>
      </c>
      <c r="K1943" s="1">
        <v>41258</v>
      </c>
      <c r="L1943">
        <v>1</v>
      </c>
      <c r="M1943" t="str">
        <f t="shared" si="91"/>
        <v>Active</v>
      </c>
      <c r="N1943">
        <v>0</v>
      </c>
      <c r="O1943">
        <v>158</v>
      </c>
      <c r="P1943">
        <v>35</v>
      </c>
      <c r="Q1943">
        <v>179</v>
      </c>
      <c r="R1943">
        <v>0</v>
      </c>
      <c r="S1943">
        <v>0</v>
      </c>
      <c r="T1943">
        <v>125</v>
      </c>
      <c r="U1943">
        <v>497</v>
      </c>
      <c r="V1943">
        <v>2</v>
      </c>
      <c r="W1943">
        <v>7</v>
      </c>
      <c r="X1943">
        <v>2</v>
      </c>
      <c r="Y1943">
        <v>8</v>
      </c>
      <c r="Z1943">
        <v>17</v>
      </c>
      <c r="AA1943">
        <v>5</v>
      </c>
      <c r="AB1943" t="str">
        <f t="shared" si="92"/>
        <v>Below average customer</v>
      </c>
    </row>
    <row r="1944" spans="1:28" x14ac:dyDescent="0.35">
      <c r="A1944">
        <v>5991</v>
      </c>
      <c r="B1944">
        <v>1949</v>
      </c>
      <c r="C1944" t="s">
        <v>36</v>
      </c>
      <c r="D1944" t="s">
        <v>34</v>
      </c>
      <c r="E1944" t="s">
        <v>33</v>
      </c>
      <c r="F1944">
        <v>48150</v>
      </c>
      <c r="G1944" t="str">
        <f t="shared" si="90"/>
        <v>Mid-low</v>
      </c>
      <c r="H1944">
        <v>0</v>
      </c>
      <c r="I1944">
        <v>1</v>
      </c>
      <c r="J1944">
        <v>1</v>
      </c>
      <c r="K1944" s="1">
        <v>41433</v>
      </c>
      <c r="L1944">
        <v>24</v>
      </c>
      <c r="M1944" t="str">
        <f t="shared" si="91"/>
        <v>Active</v>
      </c>
      <c r="N1944">
        <v>0</v>
      </c>
      <c r="O1944">
        <v>173</v>
      </c>
      <c r="P1944">
        <v>2</v>
      </c>
      <c r="Q1944">
        <v>39</v>
      </c>
      <c r="R1944">
        <v>3</v>
      </c>
      <c r="S1944">
        <v>2</v>
      </c>
      <c r="T1944">
        <v>47</v>
      </c>
      <c r="U1944">
        <v>266</v>
      </c>
      <c r="V1944">
        <v>3</v>
      </c>
      <c r="W1944">
        <v>5</v>
      </c>
      <c r="X1944">
        <v>1</v>
      </c>
      <c r="Y1944">
        <v>4</v>
      </c>
      <c r="Z1944">
        <v>10</v>
      </c>
      <c r="AA1944">
        <v>7</v>
      </c>
      <c r="AB1944" t="str">
        <f t="shared" si="92"/>
        <v>Below average customer</v>
      </c>
    </row>
    <row r="1945" spans="1:28" x14ac:dyDescent="0.35">
      <c r="A1945">
        <v>3104</v>
      </c>
      <c r="B1945">
        <v>1961</v>
      </c>
      <c r="C1945" t="s">
        <v>25</v>
      </c>
      <c r="D1945" t="s">
        <v>26</v>
      </c>
      <c r="E1945" t="s">
        <v>27</v>
      </c>
      <c r="F1945">
        <v>82332</v>
      </c>
      <c r="G1945" t="str">
        <f t="shared" si="90"/>
        <v>High</v>
      </c>
      <c r="H1945">
        <v>0</v>
      </c>
      <c r="I1945">
        <v>0</v>
      </c>
      <c r="J1945">
        <v>0</v>
      </c>
      <c r="K1945" s="1">
        <v>41169</v>
      </c>
      <c r="L1945">
        <v>89</v>
      </c>
      <c r="M1945" t="str">
        <f t="shared" si="91"/>
        <v>Inactive</v>
      </c>
      <c r="N1945">
        <v>0</v>
      </c>
      <c r="O1945">
        <v>830</v>
      </c>
      <c r="P1945">
        <v>59</v>
      </c>
      <c r="Q1945">
        <v>968</v>
      </c>
      <c r="R1945">
        <v>51</v>
      </c>
      <c r="S1945">
        <v>79</v>
      </c>
      <c r="T1945">
        <v>19</v>
      </c>
      <c r="U1945">
        <v>2006</v>
      </c>
      <c r="V1945">
        <v>1</v>
      </c>
      <c r="W1945">
        <v>5</v>
      </c>
      <c r="X1945">
        <v>3</v>
      </c>
      <c r="Y1945">
        <v>12</v>
      </c>
      <c r="Z1945">
        <v>20</v>
      </c>
      <c r="AA1945">
        <v>2</v>
      </c>
      <c r="AB1945" t="str">
        <f t="shared" si="92"/>
        <v>Below average customer</v>
      </c>
    </row>
    <row r="1946" spans="1:28" x14ac:dyDescent="0.35">
      <c r="A1946">
        <v>9729</v>
      </c>
      <c r="B1946">
        <v>1955</v>
      </c>
      <c r="C1946" t="s">
        <v>25</v>
      </c>
      <c r="D1946" t="s">
        <v>26</v>
      </c>
      <c r="E1946" t="s">
        <v>38</v>
      </c>
      <c r="F1946">
        <v>58275</v>
      </c>
      <c r="G1946" t="str">
        <f t="shared" si="90"/>
        <v>Mid-high</v>
      </c>
      <c r="H1946">
        <v>1</v>
      </c>
      <c r="I1946">
        <v>1</v>
      </c>
      <c r="J1946">
        <v>2</v>
      </c>
      <c r="K1946" s="1">
        <v>41427</v>
      </c>
      <c r="L1946">
        <v>48</v>
      </c>
      <c r="M1946" t="str">
        <f t="shared" si="91"/>
        <v>Active</v>
      </c>
      <c r="N1946">
        <v>0</v>
      </c>
      <c r="O1946">
        <v>189</v>
      </c>
      <c r="P1946">
        <v>10</v>
      </c>
      <c r="Q1946">
        <v>253</v>
      </c>
      <c r="R1946">
        <v>56</v>
      </c>
      <c r="S1946">
        <v>43</v>
      </c>
      <c r="T1946">
        <v>64</v>
      </c>
      <c r="U1946">
        <v>615</v>
      </c>
      <c r="V1946">
        <v>6</v>
      </c>
      <c r="W1946">
        <v>8</v>
      </c>
      <c r="X1946">
        <v>2</v>
      </c>
      <c r="Y1946">
        <v>7</v>
      </c>
      <c r="Z1946">
        <v>17</v>
      </c>
      <c r="AA1946">
        <v>7</v>
      </c>
      <c r="AB1946" t="str">
        <f t="shared" si="92"/>
        <v>Above average customer</v>
      </c>
    </row>
    <row r="1947" spans="1:28" x14ac:dyDescent="0.35">
      <c r="A1947">
        <v>1008</v>
      </c>
      <c r="B1947">
        <v>1981</v>
      </c>
      <c r="C1947" t="s">
        <v>31</v>
      </c>
      <c r="D1947" t="s">
        <v>32</v>
      </c>
      <c r="E1947" t="s">
        <v>29</v>
      </c>
      <c r="F1947">
        <v>44953</v>
      </c>
      <c r="G1947" t="str">
        <f t="shared" si="90"/>
        <v>Mid-low</v>
      </c>
      <c r="H1947">
        <v>0</v>
      </c>
      <c r="I1947">
        <v>0</v>
      </c>
      <c r="J1947">
        <v>0</v>
      </c>
      <c r="K1947" s="1">
        <v>41264</v>
      </c>
      <c r="L1947">
        <v>31</v>
      </c>
      <c r="M1947" t="str">
        <f t="shared" si="91"/>
        <v>Active</v>
      </c>
      <c r="N1947">
        <v>0</v>
      </c>
      <c r="O1947">
        <v>728</v>
      </c>
      <c r="P1947">
        <v>17</v>
      </c>
      <c r="Q1947">
        <v>133</v>
      </c>
      <c r="R1947">
        <v>11</v>
      </c>
      <c r="S1947">
        <v>8</v>
      </c>
      <c r="T1947">
        <v>124</v>
      </c>
      <c r="U1947">
        <v>1021</v>
      </c>
      <c r="V1947">
        <v>1</v>
      </c>
      <c r="W1947">
        <v>7</v>
      </c>
      <c r="X1947">
        <v>3</v>
      </c>
      <c r="Y1947">
        <v>13</v>
      </c>
      <c r="Z1947">
        <v>23</v>
      </c>
      <c r="AA1947">
        <v>6</v>
      </c>
      <c r="AB1947" t="str">
        <f t="shared" si="92"/>
        <v>Below average customer</v>
      </c>
    </row>
    <row r="1948" spans="1:28" x14ac:dyDescent="0.35">
      <c r="A1948">
        <v>11091</v>
      </c>
      <c r="B1948">
        <v>1953</v>
      </c>
      <c r="C1948" t="s">
        <v>25</v>
      </c>
      <c r="D1948" t="s">
        <v>26</v>
      </c>
      <c r="E1948" t="s">
        <v>29</v>
      </c>
      <c r="F1948">
        <v>34587</v>
      </c>
      <c r="G1948" t="str">
        <f t="shared" si="90"/>
        <v>Low</v>
      </c>
      <c r="H1948">
        <v>1</v>
      </c>
      <c r="I1948">
        <v>1</v>
      </c>
      <c r="J1948">
        <v>2</v>
      </c>
      <c r="K1948" s="1">
        <v>41775</v>
      </c>
      <c r="L1948">
        <v>68</v>
      </c>
      <c r="M1948" t="str">
        <f t="shared" si="91"/>
        <v>Inactive</v>
      </c>
      <c r="N1948">
        <v>0</v>
      </c>
      <c r="O1948">
        <v>7</v>
      </c>
      <c r="P1948">
        <v>2</v>
      </c>
      <c r="Q1948">
        <v>9</v>
      </c>
      <c r="R1948">
        <v>2</v>
      </c>
      <c r="S1948">
        <v>0</v>
      </c>
      <c r="T1948">
        <v>2</v>
      </c>
      <c r="U1948">
        <v>22</v>
      </c>
      <c r="V1948">
        <v>2</v>
      </c>
      <c r="W1948">
        <v>1</v>
      </c>
      <c r="X1948">
        <v>0</v>
      </c>
      <c r="Y1948">
        <v>3</v>
      </c>
      <c r="Z1948">
        <v>4</v>
      </c>
      <c r="AA1948">
        <v>4</v>
      </c>
      <c r="AB1948" t="str">
        <f t="shared" si="92"/>
        <v>Below average customer</v>
      </c>
    </row>
    <row r="1949" spans="1:28" x14ac:dyDescent="0.35">
      <c r="A1949">
        <v>3969</v>
      </c>
      <c r="B1949">
        <v>1974</v>
      </c>
      <c r="C1949" t="s">
        <v>31</v>
      </c>
      <c r="D1949" t="s">
        <v>34</v>
      </c>
      <c r="E1949" t="s">
        <v>29</v>
      </c>
      <c r="F1949">
        <v>43018</v>
      </c>
      <c r="G1949" t="str">
        <f t="shared" si="90"/>
        <v>Mid-low</v>
      </c>
      <c r="H1949">
        <v>0</v>
      </c>
      <c r="I1949">
        <v>1</v>
      </c>
      <c r="J1949">
        <v>1</v>
      </c>
      <c r="K1949" s="1">
        <v>41579</v>
      </c>
      <c r="L1949">
        <v>46</v>
      </c>
      <c r="M1949" t="str">
        <f t="shared" si="91"/>
        <v>Active</v>
      </c>
      <c r="N1949">
        <v>0</v>
      </c>
      <c r="O1949">
        <v>35</v>
      </c>
      <c r="P1949">
        <v>4</v>
      </c>
      <c r="Q1949">
        <v>17</v>
      </c>
      <c r="R1949">
        <v>7</v>
      </c>
      <c r="S1949">
        <v>6</v>
      </c>
      <c r="T1949">
        <v>64</v>
      </c>
      <c r="U1949">
        <v>133</v>
      </c>
      <c r="V1949">
        <v>1</v>
      </c>
      <c r="W1949">
        <v>2</v>
      </c>
      <c r="X1949">
        <v>2</v>
      </c>
      <c r="Y1949">
        <v>2</v>
      </c>
      <c r="Z1949">
        <v>6</v>
      </c>
      <c r="AA1949">
        <v>5</v>
      </c>
      <c r="AB1949" t="str">
        <f t="shared" si="92"/>
        <v>Below average customer</v>
      </c>
    </row>
    <row r="1950" spans="1:28" x14ac:dyDescent="0.35">
      <c r="A1950">
        <v>1916</v>
      </c>
      <c r="B1950">
        <v>1954</v>
      </c>
      <c r="C1950" t="s">
        <v>25</v>
      </c>
      <c r="D1950" t="s">
        <v>34</v>
      </c>
      <c r="E1950" t="s">
        <v>33</v>
      </c>
      <c r="F1950">
        <v>45736</v>
      </c>
      <c r="G1950" t="str">
        <f t="shared" si="90"/>
        <v>Mid-low</v>
      </c>
      <c r="H1950">
        <v>0</v>
      </c>
      <c r="I1950">
        <v>1</v>
      </c>
      <c r="J1950">
        <v>1</v>
      </c>
      <c r="K1950" s="1">
        <v>41479</v>
      </c>
      <c r="L1950">
        <v>92</v>
      </c>
      <c r="M1950" t="str">
        <f t="shared" si="91"/>
        <v>Inactive</v>
      </c>
      <c r="N1950">
        <v>0</v>
      </c>
      <c r="O1950">
        <v>188</v>
      </c>
      <c r="P1950">
        <v>3</v>
      </c>
      <c r="Q1950">
        <v>180</v>
      </c>
      <c r="R1950">
        <v>20</v>
      </c>
      <c r="S1950">
        <v>3</v>
      </c>
      <c r="T1950">
        <v>43</v>
      </c>
      <c r="U1950">
        <v>437</v>
      </c>
      <c r="V1950">
        <v>5</v>
      </c>
      <c r="W1950">
        <v>7</v>
      </c>
      <c r="X1950">
        <v>1</v>
      </c>
      <c r="Y1950">
        <v>6</v>
      </c>
      <c r="Z1950">
        <v>14</v>
      </c>
      <c r="AA1950">
        <v>7</v>
      </c>
      <c r="AB1950" t="str">
        <f t="shared" si="92"/>
        <v>Below average customer</v>
      </c>
    </row>
    <row r="1951" spans="1:28" x14ac:dyDescent="0.35">
      <c r="A1951">
        <v>9907</v>
      </c>
      <c r="B1951">
        <v>1969</v>
      </c>
      <c r="C1951" t="s">
        <v>28</v>
      </c>
      <c r="D1951" t="s">
        <v>34</v>
      </c>
      <c r="E1951" t="s">
        <v>29</v>
      </c>
      <c r="F1951">
        <v>66476</v>
      </c>
      <c r="G1951" t="str">
        <f t="shared" si="90"/>
        <v>Mid-high</v>
      </c>
      <c r="H1951">
        <v>0</v>
      </c>
      <c r="I1951">
        <v>1</v>
      </c>
      <c r="J1951">
        <v>1</v>
      </c>
      <c r="K1951" s="1">
        <v>41612</v>
      </c>
      <c r="L1951">
        <v>80</v>
      </c>
      <c r="M1951" t="str">
        <f t="shared" si="91"/>
        <v>Inactive</v>
      </c>
      <c r="N1951">
        <v>0</v>
      </c>
      <c r="O1951">
        <v>742</v>
      </c>
      <c r="P1951">
        <v>28</v>
      </c>
      <c r="Q1951">
        <v>152</v>
      </c>
      <c r="R1951">
        <v>25</v>
      </c>
      <c r="S1951">
        <v>9</v>
      </c>
      <c r="T1951">
        <v>57</v>
      </c>
      <c r="U1951">
        <v>1013</v>
      </c>
      <c r="V1951">
        <v>2</v>
      </c>
      <c r="W1951">
        <v>6</v>
      </c>
      <c r="X1951">
        <v>8</v>
      </c>
      <c r="Y1951">
        <v>10</v>
      </c>
      <c r="Z1951">
        <v>24</v>
      </c>
      <c r="AA1951">
        <v>4</v>
      </c>
      <c r="AB1951" t="str">
        <f t="shared" si="92"/>
        <v>Below average customer</v>
      </c>
    </row>
    <row r="1952" spans="1:28" x14ac:dyDescent="0.35">
      <c r="A1952">
        <v>87</v>
      </c>
      <c r="B1952">
        <v>1981</v>
      </c>
      <c r="C1952" t="s">
        <v>31</v>
      </c>
      <c r="D1952" t="s">
        <v>34</v>
      </c>
      <c r="E1952" t="s">
        <v>33</v>
      </c>
      <c r="F1952">
        <v>27733</v>
      </c>
      <c r="G1952" t="str">
        <f t="shared" si="90"/>
        <v>Low</v>
      </c>
      <c r="H1952">
        <v>1</v>
      </c>
      <c r="I1952">
        <v>0</v>
      </c>
      <c r="J1952">
        <v>1</v>
      </c>
      <c r="K1952" s="1">
        <v>41512</v>
      </c>
      <c r="L1952">
        <v>16</v>
      </c>
      <c r="M1952" t="str">
        <f t="shared" si="91"/>
        <v>Active</v>
      </c>
      <c r="N1952">
        <v>0</v>
      </c>
      <c r="O1952">
        <v>0</v>
      </c>
      <c r="P1952">
        <v>7</v>
      </c>
      <c r="Q1952">
        <v>5</v>
      </c>
      <c r="R1952">
        <v>26</v>
      </c>
      <c r="S1952">
        <v>2</v>
      </c>
      <c r="T1952">
        <v>17</v>
      </c>
      <c r="U1952">
        <v>57</v>
      </c>
      <c r="V1952">
        <v>2</v>
      </c>
      <c r="W1952">
        <v>2</v>
      </c>
      <c r="X1952">
        <v>0</v>
      </c>
      <c r="Y1952">
        <v>3</v>
      </c>
      <c r="Z1952">
        <v>5</v>
      </c>
      <c r="AA1952">
        <v>7</v>
      </c>
      <c r="AB1952" t="str">
        <f t="shared" si="92"/>
        <v>Below average customer</v>
      </c>
    </row>
    <row r="1953" spans="1:28" x14ac:dyDescent="0.35">
      <c r="A1953">
        <v>8659</v>
      </c>
      <c r="B1953">
        <v>1952</v>
      </c>
      <c r="C1953" t="s">
        <v>36</v>
      </c>
      <c r="D1953" t="s">
        <v>32</v>
      </c>
      <c r="E1953" t="s">
        <v>29</v>
      </c>
      <c r="F1953">
        <v>69805</v>
      </c>
      <c r="G1953" t="str">
        <f t="shared" si="90"/>
        <v>High</v>
      </c>
      <c r="H1953">
        <v>0</v>
      </c>
      <c r="I1953">
        <v>1</v>
      </c>
      <c r="J1953">
        <v>1</v>
      </c>
      <c r="K1953" s="1">
        <v>41660</v>
      </c>
      <c r="L1953">
        <v>50</v>
      </c>
      <c r="M1953" t="str">
        <f t="shared" si="91"/>
        <v>Inactive</v>
      </c>
      <c r="N1953">
        <v>0</v>
      </c>
      <c r="O1953">
        <v>750</v>
      </c>
      <c r="P1953">
        <v>71</v>
      </c>
      <c r="Q1953">
        <v>174</v>
      </c>
      <c r="R1953">
        <v>13</v>
      </c>
      <c r="S1953">
        <v>10</v>
      </c>
      <c r="T1953">
        <v>20</v>
      </c>
      <c r="U1953">
        <v>1038</v>
      </c>
      <c r="V1953">
        <v>2</v>
      </c>
      <c r="W1953">
        <v>6</v>
      </c>
      <c r="X1953">
        <v>8</v>
      </c>
      <c r="Y1953">
        <v>11</v>
      </c>
      <c r="Z1953">
        <v>25</v>
      </c>
      <c r="AA1953">
        <v>2</v>
      </c>
      <c r="AB1953" t="str">
        <f t="shared" si="92"/>
        <v>Below average customer</v>
      </c>
    </row>
    <row r="1954" spans="1:28" x14ac:dyDescent="0.35">
      <c r="A1954">
        <v>6262</v>
      </c>
      <c r="B1954">
        <v>1962</v>
      </c>
      <c r="C1954" t="s">
        <v>25</v>
      </c>
      <c r="D1954" t="s">
        <v>34</v>
      </c>
      <c r="E1954" t="s">
        <v>27</v>
      </c>
      <c r="F1954">
        <v>72217</v>
      </c>
      <c r="G1954" t="str">
        <f t="shared" si="90"/>
        <v>High</v>
      </c>
      <c r="H1954">
        <v>0</v>
      </c>
      <c r="I1954">
        <v>0</v>
      </c>
      <c r="J1954">
        <v>0</v>
      </c>
      <c r="K1954" s="1">
        <v>41374</v>
      </c>
      <c r="L1954">
        <v>93</v>
      </c>
      <c r="M1954" t="str">
        <f t="shared" si="91"/>
        <v>Inactive</v>
      </c>
      <c r="N1954">
        <v>0</v>
      </c>
      <c r="O1954">
        <v>816</v>
      </c>
      <c r="P1954">
        <v>42</v>
      </c>
      <c r="Q1954">
        <v>450</v>
      </c>
      <c r="R1954">
        <v>55</v>
      </c>
      <c r="S1954">
        <v>56</v>
      </c>
      <c r="T1954">
        <v>154</v>
      </c>
      <c r="U1954">
        <v>1573</v>
      </c>
      <c r="V1954">
        <v>1</v>
      </c>
      <c r="W1954">
        <v>3</v>
      </c>
      <c r="X1954">
        <v>10</v>
      </c>
      <c r="Y1954">
        <v>8</v>
      </c>
      <c r="Z1954">
        <v>21</v>
      </c>
      <c r="AA1954">
        <v>2</v>
      </c>
      <c r="AB1954" t="str">
        <f t="shared" si="92"/>
        <v>Below average customer</v>
      </c>
    </row>
    <row r="1955" spans="1:28" x14ac:dyDescent="0.35">
      <c r="A1955">
        <v>6147</v>
      </c>
      <c r="B1955">
        <v>1971</v>
      </c>
      <c r="C1955" t="s">
        <v>28</v>
      </c>
      <c r="D1955" t="s">
        <v>26</v>
      </c>
      <c r="E1955" t="s">
        <v>35</v>
      </c>
      <c r="F1955">
        <v>25818</v>
      </c>
      <c r="G1955" t="str">
        <f t="shared" si="90"/>
        <v>Low</v>
      </c>
      <c r="H1955">
        <v>1</v>
      </c>
      <c r="I1955">
        <v>0</v>
      </c>
      <c r="J1955">
        <v>1</v>
      </c>
      <c r="K1955" s="1">
        <v>41200</v>
      </c>
      <c r="L1955">
        <v>51</v>
      </c>
      <c r="M1955" t="str">
        <f t="shared" si="91"/>
        <v>Inactive</v>
      </c>
      <c r="N1955">
        <v>0</v>
      </c>
      <c r="O1955">
        <v>5</v>
      </c>
      <c r="P1955">
        <v>2</v>
      </c>
      <c r="Q1955">
        <v>8</v>
      </c>
      <c r="R1955">
        <v>2</v>
      </c>
      <c r="S1955">
        <v>2</v>
      </c>
      <c r="T1955">
        <v>9</v>
      </c>
      <c r="U1955">
        <v>28</v>
      </c>
      <c r="V1955">
        <v>1</v>
      </c>
      <c r="W1955">
        <v>0</v>
      </c>
      <c r="X1955">
        <v>1</v>
      </c>
      <c r="Y1955">
        <v>2</v>
      </c>
      <c r="Z1955">
        <v>3</v>
      </c>
      <c r="AA1955">
        <v>7</v>
      </c>
      <c r="AB1955" t="str">
        <f t="shared" si="92"/>
        <v>Below average customer</v>
      </c>
    </row>
    <row r="1956" spans="1:28" x14ac:dyDescent="0.35">
      <c r="A1956">
        <v>8832</v>
      </c>
      <c r="B1956">
        <v>1976</v>
      </c>
      <c r="C1956" t="s">
        <v>31</v>
      </c>
      <c r="D1956" t="s">
        <v>34</v>
      </c>
      <c r="E1956" t="s">
        <v>29</v>
      </c>
      <c r="F1956">
        <v>37509</v>
      </c>
      <c r="G1956" t="str">
        <f t="shared" si="90"/>
        <v>Mid-low</v>
      </c>
      <c r="H1956">
        <v>1</v>
      </c>
      <c r="I1956">
        <v>0</v>
      </c>
      <c r="J1956">
        <v>1</v>
      </c>
      <c r="K1956" s="1">
        <v>41164</v>
      </c>
      <c r="L1956">
        <v>24</v>
      </c>
      <c r="M1956" t="str">
        <f t="shared" si="91"/>
        <v>Active</v>
      </c>
      <c r="N1956">
        <v>0</v>
      </c>
      <c r="O1956">
        <v>37</v>
      </c>
      <c r="P1956">
        <v>5</v>
      </c>
      <c r="Q1956">
        <v>56</v>
      </c>
      <c r="R1956">
        <v>12</v>
      </c>
      <c r="S1956">
        <v>8</v>
      </c>
      <c r="T1956">
        <v>5</v>
      </c>
      <c r="U1956">
        <v>123</v>
      </c>
      <c r="V1956">
        <v>2</v>
      </c>
      <c r="W1956">
        <v>3</v>
      </c>
      <c r="X1956">
        <v>0</v>
      </c>
      <c r="Y1956">
        <v>4</v>
      </c>
      <c r="Z1956">
        <v>7</v>
      </c>
      <c r="AA1956">
        <v>7</v>
      </c>
      <c r="AB1956" t="str">
        <f t="shared" si="92"/>
        <v>Below average customer</v>
      </c>
    </row>
    <row r="1957" spans="1:28" x14ac:dyDescent="0.35">
      <c r="A1957">
        <v>10067</v>
      </c>
      <c r="B1957">
        <v>1976</v>
      </c>
      <c r="C1957" t="s">
        <v>31</v>
      </c>
      <c r="D1957" t="s">
        <v>34</v>
      </c>
      <c r="E1957" t="s">
        <v>29</v>
      </c>
      <c r="F1957">
        <v>25176</v>
      </c>
      <c r="G1957" t="str">
        <f t="shared" si="90"/>
        <v>Low</v>
      </c>
      <c r="H1957">
        <v>1</v>
      </c>
      <c r="I1957">
        <v>1</v>
      </c>
      <c r="J1957">
        <v>2</v>
      </c>
      <c r="K1957" s="1">
        <v>41496</v>
      </c>
      <c r="L1957">
        <v>79</v>
      </c>
      <c r="M1957" t="str">
        <f t="shared" si="91"/>
        <v>Inactive</v>
      </c>
      <c r="N1957">
        <v>0</v>
      </c>
      <c r="O1957">
        <v>4</v>
      </c>
      <c r="P1957">
        <v>0</v>
      </c>
      <c r="Q1957">
        <v>4</v>
      </c>
      <c r="R1957">
        <v>0</v>
      </c>
      <c r="S1957">
        <v>0</v>
      </c>
      <c r="T1957">
        <v>5</v>
      </c>
      <c r="U1957">
        <v>13</v>
      </c>
      <c r="V1957">
        <v>1</v>
      </c>
      <c r="W1957">
        <v>1</v>
      </c>
      <c r="X1957">
        <v>0</v>
      </c>
      <c r="Y1957">
        <v>2</v>
      </c>
      <c r="Z1957">
        <v>3</v>
      </c>
      <c r="AA1957">
        <v>7</v>
      </c>
      <c r="AB1957" t="str">
        <f t="shared" si="92"/>
        <v>Below average customer</v>
      </c>
    </row>
    <row r="1958" spans="1:28" x14ac:dyDescent="0.35">
      <c r="A1958">
        <v>7532</v>
      </c>
      <c r="B1958">
        <v>1980</v>
      </c>
      <c r="C1958" t="s">
        <v>31</v>
      </c>
      <c r="D1958" t="s">
        <v>26</v>
      </c>
      <c r="E1958" t="s">
        <v>33</v>
      </c>
      <c r="F1958">
        <v>43586</v>
      </c>
      <c r="G1958" t="str">
        <f t="shared" si="90"/>
        <v>Mid-low</v>
      </c>
      <c r="H1958">
        <v>0</v>
      </c>
      <c r="I1958">
        <v>1</v>
      </c>
      <c r="J1958">
        <v>1</v>
      </c>
      <c r="K1958" s="1">
        <v>41151</v>
      </c>
      <c r="L1958">
        <v>26</v>
      </c>
      <c r="M1958" t="str">
        <f t="shared" si="91"/>
        <v>Active</v>
      </c>
      <c r="N1958">
        <v>0</v>
      </c>
      <c r="O1958">
        <v>99</v>
      </c>
      <c r="P1958">
        <v>2</v>
      </c>
      <c r="Q1958">
        <v>11</v>
      </c>
      <c r="R1958">
        <v>4</v>
      </c>
      <c r="S1958">
        <v>0</v>
      </c>
      <c r="T1958">
        <v>16</v>
      </c>
      <c r="U1958">
        <v>132</v>
      </c>
      <c r="V1958">
        <v>3</v>
      </c>
      <c r="W1958">
        <v>3</v>
      </c>
      <c r="X1958">
        <v>0</v>
      </c>
      <c r="Y1958">
        <v>4</v>
      </c>
      <c r="Z1958">
        <v>7</v>
      </c>
      <c r="AA1958">
        <v>8</v>
      </c>
      <c r="AB1958" t="str">
        <f t="shared" si="92"/>
        <v>Below average customer</v>
      </c>
    </row>
    <row r="1959" spans="1:28" x14ac:dyDescent="0.35">
      <c r="A1959">
        <v>4915</v>
      </c>
      <c r="B1959">
        <v>1956</v>
      </c>
      <c r="C1959" t="s">
        <v>25</v>
      </c>
      <c r="D1959" t="s">
        <v>34</v>
      </c>
      <c r="E1959" t="s">
        <v>33</v>
      </c>
      <c r="F1959">
        <v>53230</v>
      </c>
      <c r="G1959" t="str">
        <f t="shared" si="90"/>
        <v>Mid-high</v>
      </c>
      <c r="H1959">
        <v>0</v>
      </c>
      <c r="I1959">
        <v>1</v>
      </c>
      <c r="J1959">
        <v>1</v>
      </c>
      <c r="K1959" s="1">
        <v>41124</v>
      </c>
      <c r="L1959">
        <v>86</v>
      </c>
      <c r="M1959" t="str">
        <f t="shared" si="91"/>
        <v>Inactive</v>
      </c>
      <c r="N1959">
        <v>0</v>
      </c>
      <c r="O1959">
        <v>176</v>
      </c>
      <c r="P1959">
        <v>72</v>
      </c>
      <c r="Q1959">
        <v>98</v>
      </c>
      <c r="R1959">
        <v>136</v>
      </c>
      <c r="S1959">
        <v>21</v>
      </c>
      <c r="T1959">
        <v>229</v>
      </c>
      <c r="U1959">
        <v>732</v>
      </c>
      <c r="V1959">
        <v>4</v>
      </c>
      <c r="W1959">
        <v>5</v>
      </c>
      <c r="X1959">
        <v>2</v>
      </c>
      <c r="Y1959">
        <v>12</v>
      </c>
      <c r="Z1959">
        <v>19</v>
      </c>
      <c r="AA1959">
        <v>5</v>
      </c>
      <c r="AB1959" t="str">
        <f t="shared" si="92"/>
        <v>Below average customer</v>
      </c>
    </row>
    <row r="1960" spans="1:28" x14ac:dyDescent="0.35">
      <c r="A1960">
        <v>2115</v>
      </c>
      <c r="B1960">
        <v>1957</v>
      </c>
      <c r="C1960" t="s">
        <v>25</v>
      </c>
      <c r="D1960" t="s">
        <v>26</v>
      </c>
      <c r="E1960" t="s">
        <v>29</v>
      </c>
      <c r="F1960">
        <v>50116</v>
      </c>
      <c r="G1960" t="str">
        <f t="shared" si="90"/>
        <v>Mid-low</v>
      </c>
      <c r="H1960">
        <v>1</v>
      </c>
      <c r="I1960">
        <v>1</v>
      </c>
      <c r="J1960">
        <v>2</v>
      </c>
      <c r="K1960" s="1">
        <v>41810</v>
      </c>
      <c r="L1960">
        <v>68</v>
      </c>
      <c r="M1960" t="str">
        <f t="shared" si="91"/>
        <v>Inactive</v>
      </c>
      <c r="N1960">
        <v>0</v>
      </c>
      <c r="O1960">
        <v>54</v>
      </c>
      <c r="P1960">
        <v>0</v>
      </c>
      <c r="Q1960">
        <v>10</v>
      </c>
      <c r="R1960">
        <v>0</v>
      </c>
      <c r="S1960">
        <v>0</v>
      </c>
      <c r="T1960">
        <v>2</v>
      </c>
      <c r="U1960">
        <v>66</v>
      </c>
      <c r="V1960">
        <v>2</v>
      </c>
      <c r="W1960">
        <v>1</v>
      </c>
      <c r="X1960">
        <v>0</v>
      </c>
      <c r="Y1960">
        <v>4</v>
      </c>
      <c r="Z1960">
        <v>5</v>
      </c>
      <c r="AA1960">
        <v>5</v>
      </c>
      <c r="AB1960" t="str">
        <f t="shared" si="92"/>
        <v>Below average customer</v>
      </c>
    </row>
    <row r="1961" spans="1:28" x14ac:dyDescent="0.35">
      <c r="A1961">
        <v>6292</v>
      </c>
      <c r="B1961">
        <v>1986</v>
      </c>
      <c r="C1961" t="s">
        <v>30</v>
      </c>
      <c r="D1961" t="s">
        <v>32</v>
      </c>
      <c r="E1961" t="s">
        <v>33</v>
      </c>
      <c r="F1961">
        <v>82333</v>
      </c>
      <c r="G1961" t="str">
        <f t="shared" si="90"/>
        <v>High</v>
      </c>
      <c r="H1961">
        <v>0</v>
      </c>
      <c r="I1961">
        <v>0</v>
      </c>
      <c r="J1961">
        <v>0</v>
      </c>
      <c r="K1961" s="1">
        <v>41363</v>
      </c>
      <c r="L1961">
        <v>60</v>
      </c>
      <c r="M1961" t="str">
        <f t="shared" si="91"/>
        <v>Inactive</v>
      </c>
      <c r="N1961">
        <v>0</v>
      </c>
      <c r="O1961">
        <v>1311</v>
      </c>
      <c r="P1961">
        <v>0</v>
      </c>
      <c r="Q1961">
        <v>359</v>
      </c>
      <c r="R1961">
        <v>46</v>
      </c>
      <c r="S1961">
        <v>89</v>
      </c>
      <c r="T1961">
        <v>17</v>
      </c>
      <c r="U1961">
        <v>1822</v>
      </c>
      <c r="V1961">
        <v>1</v>
      </c>
      <c r="W1961">
        <v>4</v>
      </c>
      <c r="X1961">
        <v>3</v>
      </c>
      <c r="Y1961">
        <v>10</v>
      </c>
      <c r="Z1961">
        <v>17</v>
      </c>
      <c r="AA1961">
        <v>2</v>
      </c>
      <c r="AB1961" t="str">
        <f t="shared" si="92"/>
        <v>Below average customer</v>
      </c>
    </row>
    <row r="1962" spans="1:28" x14ac:dyDescent="0.35">
      <c r="A1962">
        <v>1631</v>
      </c>
      <c r="B1962">
        <v>1965</v>
      </c>
      <c r="C1962" t="s">
        <v>28</v>
      </c>
      <c r="D1962" t="s">
        <v>32</v>
      </c>
      <c r="E1962" t="s">
        <v>29</v>
      </c>
      <c r="F1962">
        <v>65220</v>
      </c>
      <c r="G1962" t="str">
        <f t="shared" si="90"/>
        <v>Mid-high</v>
      </c>
      <c r="H1962">
        <v>0</v>
      </c>
      <c r="I1962">
        <v>0</v>
      </c>
      <c r="J1962">
        <v>0</v>
      </c>
      <c r="K1962" s="1">
        <v>41155</v>
      </c>
      <c r="L1962">
        <v>3</v>
      </c>
      <c r="M1962" t="str">
        <f t="shared" si="91"/>
        <v>Active</v>
      </c>
      <c r="N1962">
        <v>0</v>
      </c>
      <c r="O1962">
        <v>890</v>
      </c>
      <c r="P1962">
        <v>63</v>
      </c>
      <c r="Q1962">
        <v>292</v>
      </c>
      <c r="R1962">
        <v>0</v>
      </c>
      <c r="S1962">
        <v>25</v>
      </c>
      <c r="T1962">
        <v>12</v>
      </c>
      <c r="U1962">
        <v>1282</v>
      </c>
      <c r="V1962">
        <v>4</v>
      </c>
      <c r="W1962">
        <v>8</v>
      </c>
      <c r="X1962">
        <v>4</v>
      </c>
      <c r="Y1962">
        <v>7</v>
      </c>
      <c r="Z1962">
        <v>19</v>
      </c>
      <c r="AA1962">
        <v>6</v>
      </c>
      <c r="AB1962" t="str">
        <f t="shared" si="92"/>
        <v>Above average customer</v>
      </c>
    </row>
    <row r="1963" spans="1:28" x14ac:dyDescent="0.35">
      <c r="A1963">
        <v>10104</v>
      </c>
      <c r="B1963">
        <v>1974</v>
      </c>
      <c r="C1963" t="s">
        <v>31</v>
      </c>
      <c r="D1963" t="s">
        <v>26</v>
      </c>
      <c r="E1963" t="s">
        <v>29</v>
      </c>
      <c r="F1963">
        <v>33590</v>
      </c>
      <c r="G1963" t="str">
        <f t="shared" si="90"/>
        <v>Low</v>
      </c>
      <c r="H1963">
        <v>2</v>
      </c>
      <c r="I1963">
        <v>1</v>
      </c>
      <c r="J1963">
        <v>3</v>
      </c>
      <c r="K1963" s="1">
        <v>41581</v>
      </c>
      <c r="L1963">
        <v>65</v>
      </c>
      <c r="M1963" t="str">
        <f t="shared" si="91"/>
        <v>Inactive</v>
      </c>
      <c r="N1963">
        <v>0</v>
      </c>
      <c r="O1963">
        <v>4</v>
      </c>
      <c r="P1963">
        <v>0</v>
      </c>
      <c r="Q1963">
        <v>2</v>
      </c>
      <c r="R1963">
        <v>0</v>
      </c>
      <c r="S1963">
        <v>0</v>
      </c>
      <c r="T1963">
        <v>2</v>
      </c>
      <c r="U1963">
        <v>8</v>
      </c>
      <c r="V1963">
        <v>1</v>
      </c>
      <c r="W1963">
        <v>1</v>
      </c>
      <c r="X1963">
        <v>0</v>
      </c>
      <c r="Y1963">
        <v>2</v>
      </c>
      <c r="Z1963">
        <v>3</v>
      </c>
      <c r="AA1963">
        <v>7</v>
      </c>
      <c r="AB1963" t="str">
        <f t="shared" si="92"/>
        <v>Below average customer</v>
      </c>
    </row>
    <row r="1964" spans="1:28" x14ac:dyDescent="0.35">
      <c r="A1964">
        <v>3919</v>
      </c>
      <c r="B1964">
        <v>1976</v>
      </c>
      <c r="C1964" t="s">
        <v>31</v>
      </c>
      <c r="D1964" t="s">
        <v>34</v>
      </c>
      <c r="E1964" t="s">
        <v>27</v>
      </c>
      <c r="F1964">
        <v>72309</v>
      </c>
      <c r="G1964" t="str">
        <f t="shared" si="90"/>
        <v>High</v>
      </c>
      <c r="H1964">
        <v>0</v>
      </c>
      <c r="I1964">
        <v>0</v>
      </c>
      <c r="J1964">
        <v>0</v>
      </c>
      <c r="K1964" s="1">
        <v>41344</v>
      </c>
      <c r="L1964">
        <v>64</v>
      </c>
      <c r="M1964" t="str">
        <f t="shared" si="91"/>
        <v>Inactive</v>
      </c>
      <c r="N1964">
        <v>0</v>
      </c>
      <c r="O1964">
        <v>960</v>
      </c>
      <c r="P1964">
        <v>0</v>
      </c>
      <c r="Q1964">
        <v>883</v>
      </c>
      <c r="R1964">
        <v>50</v>
      </c>
      <c r="S1964">
        <v>38</v>
      </c>
      <c r="T1964">
        <v>0</v>
      </c>
      <c r="U1964">
        <v>1931</v>
      </c>
      <c r="V1964">
        <v>1</v>
      </c>
      <c r="W1964">
        <v>5</v>
      </c>
      <c r="X1964">
        <v>6</v>
      </c>
      <c r="Y1964">
        <v>8</v>
      </c>
      <c r="Z1964">
        <v>19</v>
      </c>
      <c r="AA1964">
        <v>3</v>
      </c>
      <c r="AB1964" t="str">
        <f t="shared" si="92"/>
        <v>Below average customer</v>
      </c>
    </row>
    <row r="1965" spans="1:28" x14ac:dyDescent="0.35">
      <c r="A1965">
        <v>11181</v>
      </c>
      <c r="B1965">
        <v>1949</v>
      </c>
      <c r="C1965" t="s">
        <v>36</v>
      </c>
      <c r="D1965" t="s">
        <v>32</v>
      </c>
      <c r="E1965" t="s">
        <v>33</v>
      </c>
      <c r="F1965">
        <v>156924</v>
      </c>
      <c r="G1965" t="str">
        <f t="shared" si="90"/>
        <v>High</v>
      </c>
      <c r="H1965">
        <v>0</v>
      </c>
      <c r="I1965">
        <v>0</v>
      </c>
      <c r="J1965">
        <v>0</v>
      </c>
      <c r="K1965" s="1">
        <v>41515</v>
      </c>
      <c r="L1965">
        <v>85</v>
      </c>
      <c r="M1965" t="str">
        <f t="shared" si="91"/>
        <v>Inactive</v>
      </c>
      <c r="N1965">
        <v>0</v>
      </c>
      <c r="O1965">
        <v>2</v>
      </c>
      <c r="P1965">
        <v>1</v>
      </c>
      <c r="Q1965">
        <v>2</v>
      </c>
      <c r="R1965">
        <v>1</v>
      </c>
      <c r="S1965">
        <v>1</v>
      </c>
      <c r="T1965">
        <v>1</v>
      </c>
      <c r="U1965">
        <v>8</v>
      </c>
      <c r="V1965">
        <v>0</v>
      </c>
      <c r="W1965">
        <v>0</v>
      </c>
      <c r="X1965">
        <v>0</v>
      </c>
      <c r="Y1965">
        <v>0</v>
      </c>
      <c r="Z1965">
        <v>0</v>
      </c>
      <c r="AA1965">
        <v>0</v>
      </c>
      <c r="AB1965" t="str">
        <f t="shared" si="92"/>
        <v>Below average customer</v>
      </c>
    </row>
    <row r="1966" spans="1:28" x14ac:dyDescent="0.35">
      <c r="A1966">
        <v>642</v>
      </c>
      <c r="B1966">
        <v>1980</v>
      </c>
      <c r="C1966" t="s">
        <v>31</v>
      </c>
      <c r="D1966" t="s">
        <v>37</v>
      </c>
      <c r="E1966" t="s">
        <v>33</v>
      </c>
      <c r="F1966">
        <v>16005</v>
      </c>
      <c r="G1966" t="str">
        <f t="shared" si="90"/>
        <v>Low</v>
      </c>
      <c r="H1966">
        <v>1</v>
      </c>
      <c r="I1966">
        <v>0</v>
      </c>
      <c r="J1966">
        <v>1</v>
      </c>
      <c r="K1966" s="1">
        <v>41135</v>
      </c>
      <c r="L1966">
        <v>69</v>
      </c>
      <c r="M1966" t="str">
        <f t="shared" si="91"/>
        <v>Inactive</v>
      </c>
      <c r="N1966">
        <v>0</v>
      </c>
      <c r="O1966">
        <v>1</v>
      </c>
      <c r="P1966">
        <v>3</v>
      </c>
      <c r="Q1966">
        <v>2</v>
      </c>
      <c r="R1966">
        <v>20</v>
      </c>
      <c r="S1966">
        <v>30</v>
      </c>
      <c r="T1966">
        <v>47</v>
      </c>
      <c r="U1966">
        <v>103</v>
      </c>
      <c r="V1966">
        <v>3</v>
      </c>
      <c r="W1966">
        <v>2</v>
      </c>
      <c r="X1966">
        <v>1</v>
      </c>
      <c r="Y1966">
        <v>2</v>
      </c>
      <c r="Z1966">
        <v>5</v>
      </c>
      <c r="AA1966">
        <v>8</v>
      </c>
      <c r="AB1966" t="str">
        <f t="shared" si="92"/>
        <v>Below average customer</v>
      </c>
    </row>
    <row r="1967" spans="1:28" x14ac:dyDescent="0.35">
      <c r="A1967">
        <v>4369</v>
      </c>
      <c r="B1967">
        <v>1957</v>
      </c>
      <c r="C1967" t="s">
        <v>25</v>
      </c>
      <c r="D1967" t="s">
        <v>34</v>
      </c>
      <c r="E1967" t="s">
        <v>27</v>
      </c>
      <c r="F1967">
        <v>65487</v>
      </c>
      <c r="G1967" t="str">
        <f t="shared" si="90"/>
        <v>Mid-high</v>
      </c>
      <c r="H1967">
        <v>0</v>
      </c>
      <c r="I1967">
        <v>0</v>
      </c>
      <c r="J1967">
        <v>0</v>
      </c>
      <c r="K1967" s="1">
        <v>41649</v>
      </c>
      <c r="L1967">
        <v>48</v>
      </c>
      <c r="M1967" t="str">
        <f t="shared" si="91"/>
        <v>Active</v>
      </c>
      <c r="N1967">
        <v>0</v>
      </c>
      <c r="O1967">
        <v>240</v>
      </c>
      <c r="P1967">
        <v>67</v>
      </c>
      <c r="Q1967">
        <v>500</v>
      </c>
      <c r="R1967">
        <v>199</v>
      </c>
      <c r="S1967">
        <v>0</v>
      </c>
      <c r="T1967">
        <v>163</v>
      </c>
      <c r="U1967">
        <v>1169</v>
      </c>
      <c r="V1967">
        <v>3</v>
      </c>
      <c r="W1967">
        <v>3</v>
      </c>
      <c r="X1967">
        <v>5</v>
      </c>
      <c r="Y1967">
        <v>6</v>
      </c>
      <c r="Z1967">
        <v>14</v>
      </c>
      <c r="AA1967">
        <v>2</v>
      </c>
      <c r="AB1967" t="str">
        <f t="shared" si="92"/>
        <v>Above average customer</v>
      </c>
    </row>
    <row r="1968" spans="1:28" x14ac:dyDescent="0.35">
      <c r="A1968">
        <v>10127</v>
      </c>
      <c r="B1968">
        <v>1965</v>
      </c>
      <c r="C1968" t="s">
        <v>28</v>
      </c>
      <c r="D1968" t="s">
        <v>26</v>
      </c>
      <c r="E1968" t="s">
        <v>33</v>
      </c>
      <c r="F1968">
        <v>58692</v>
      </c>
      <c r="G1968" t="str">
        <f t="shared" si="90"/>
        <v>Mid-high</v>
      </c>
      <c r="H1968">
        <v>0</v>
      </c>
      <c r="I1968">
        <v>1</v>
      </c>
      <c r="J1968">
        <v>1</v>
      </c>
      <c r="K1968" s="1">
        <v>41735</v>
      </c>
      <c r="L1968">
        <v>21</v>
      </c>
      <c r="M1968" t="str">
        <f t="shared" si="91"/>
        <v>Active</v>
      </c>
      <c r="N1968">
        <v>0</v>
      </c>
      <c r="O1968">
        <v>301</v>
      </c>
      <c r="P1968">
        <v>11</v>
      </c>
      <c r="Q1968">
        <v>61</v>
      </c>
      <c r="R1968">
        <v>4</v>
      </c>
      <c r="S1968">
        <v>7</v>
      </c>
      <c r="T1968">
        <v>11</v>
      </c>
      <c r="U1968">
        <v>395</v>
      </c>
      <c r="V1968">
        <v>1</v>
      </c>
      <c r="W1968">
        <v>8</v>
      </c>
      <c r="X1968">
        <v>2</v>
      </c>
      <c r="Y1968">
        <v>4</v>
      </c>
      <c r="Z1968">
        <v>14</v>
      </c>
      <c r="AA1968">
        <v>7</v>
      </c>
      <c r="AB1968" t="str">
        <f t="shared" si="92"/>
        <v>Below average customer</v>
      </c>
    </row>
    <row r="1969" spans="1:28" x14ac:dyDescent="0.35">
      <c r="A1969">
        <v>271</v>
      </c>
      <c r="B1969">
        <v>1969</v>
      </c>
      <c r="C1969" t="s">
        <v>28</v>
      </c>
      <c r="D1969" t="s">
        <v>26</v>
      </c>
      <c r="E1969" t="s">
        <v>38</v>
      </c>
      <c r="F1969">
        <v>40590</v>
      </c>
      <c r="G1969" t="str">
        <f t="shared" si="90"/>
        <v>Mid-low</v>
      </c>
      <c r="H1969">
        <v>1</v>
      </c>
      <c r="I1969">
        <v>1</v>
      </c>
      <c r="J1969">
        <v>2</v>
      </c>
      <c r="K1969" s="1">
        <v>41549</v>
      </c>
      <c r="L1969">
        <v>30</v>
      </c>
      <c r="M1969" t="str">
        <f t="shared" si="91"/>
        <v>Active</v>
      </c>
      <c r="N1969">
        <v>0</v>
      </c>
      <c r="O1969">
        <v>154</v>
      </c>
      <c r="P1969">
        <v>0</v>
      </c>
      <c r="Q1969">
        <v>50</v>
      </c>
      <c r="R1969">
        <v>6</v>
      </c>
      <c r="S1969">
        <v>11</v>
      </c>
      <c r="T1969">
        <v>37</v>
      </c>
      <c r="U1969">
        <v>258</v>
      </c>
      <c r="V1969">
        <v>5</v>
      </c>
      <c r="W1969">
        <v>3</v>
      </c>
      <c r="X1969">
        <v>4</v>
      </c>
      <c r="Y1969">
        <v>3</v>
      </c>
      <c r="Z1969">
        <v>10</v>
      </c>
      <c r="AA1969">
        <v>6</v>
      </c>
      <c r="AB1969" t="str">
        <f t="shared" si="92"/>
        <v>Below average customer</v>
      </c>
    </row>
    <row r="1970" spans="1:28" x14ac:dyDescent="0.35">
      <c r="A1970">
        <v>2948</v>
      </c>
      <c r="B1970">
        <v>1954</v>
      </c>
      <c r="C1970" t="s">
        <v>25</v>
      </c>
      <c r="D1970" t="s">
        <v>34</v>
      </c>
      <c r="E1970" t="s">
        <v>35</v>
      </c>
      <c r="F1970">
        <v>62637</v>
      </c>
      <c r="G1970" t="str">
        <f t="shared" si="90"/>
        <v>Mid-high</v>
      </c>
      <c r="H1970">
        <v>0</v>
      </c>
      <c r="I1970">
        <v>1</v>
      </c>
      <c r="J1970">
        <v>1</v>
      </c>
      <c r="K1970" s="1">
        <v>41699</v>
      </c>
      <c r="L1970">
        <v>76</v>
      </c>
      <c r="M1970" t="str">
        <f t="shared" si="91"/>
        <v>Inactive</v>
      </c>
      <c r="N1970">
        <v>0</v>
      </c>
      <c r="O1970">
        <v>104</v>
      </c>
      <c r="P1970">
        <v>12</v>
      </c>
      <c r="Q1970">
        <v>48</v>
      </c>
      <c r="R1970">
        <v>4</v>
      </c>
      <c r="S1970">
        <v>12</v>
      </c>
      <c r="T1970">
        <v>5</v>
      </c>
      <c r="U1970">
        <v>185</v>
      </c>
      <c r="V1970">
        <v>1</v>
      </c>
      <c r="W1970">
        <v>2</v>
      </c>
      <c r="X1970">
        <v>2</v>
      </c>
      <c r="Y1970">
        <v>5</v>
      </c>
      <c r="Z1970">
        <v>9</v>
      </c>
      <c r="AA1970">
        <v>2</v>
      </c>
      <c r="AB1970" t="str">
        <f t="shared" si="92"/>
        <v>Below average customer</v>
      </c>
    </row>
    <row r="1971" spans="1:28" x14ac:dyDescent="0.35">
      <c r="A1971">
        <v>2715</v>
      </c>
      <c r="B1971">
        <v>1966</v>
      </c>
      <c r="C1971" t="s">
        <v>28</v>
      </c>
      <c r="D1971" t="s">
        <v>34</v>
      </c>
      <c r="E1971" t="s">
        <v>35</v>
      </c>
      <c r="F1971">
        <v>29435</v>
      </c>
      <c r="G1971" t="str">
        <f t="shared" si="90"/>
        <v>Low</v>
      </c>
      <c r="H1971">
        <v>1</v>
      </c>
      <c r="I1971">
        <v>1</v>
      </c>
      <c r="J1971">
        <v>2</v>
      </c>
      <c r="K1971" s="1">
        <v>41127</v>
      </c>
      <c r="L1971">
        <v>11</v>
      </c>
      <c r="M1971" t="str">
        <f t="shared" si="91"/>
        <v>Active</v>
      </c>
      <c r="N1971">
        <v>0</v>
      </c>
      <c r="O1971">
        <v>70</v>
      </c>
      <c r="P1971">
        <v>3</v>
      </c>
      <c r="Q1971">
        <v>37</v>
      </c>
      <c r="R1971">
        <v>4</v>
      </c>
      <c r="S1971">
        <v>2</v>
      </c>
      <c r="T1971">
        <v>64</v>
      </c>
      <c r="U1971">
        <v>180</v>
      </c>
      <c r="V1971">
        <v>4</v>
      </c>
      <c r="W1971">
        <v>3</v>
      </c>
      <c r="X1971">
        <v>2</v>
      </c>
      <c r="Y1971">
        <v>2</v>
      </c>
      <c r="Z1971">
        <v>7</v>
      </c>
      <c r="AA1971">
        <v>9</v>
      </c>
      <c r="AB1971" t="str">
        <f t="shared" si="92"/>
        <v>Below average customer</v>
      </c>
    </row>
    <row r="1972" spans="1:28" x14ac:dyDescent="0.35">
      <c r="A1972">
        <v>10432</v>
      </c>
      <c r="B1972">
        <v>1974</v>
      </c>
      <c r="C1972" t="s">
        <v>31</v>
      </c>
      <c r="D1972" t="s">
        <v>26</v>
      </c>
      <c r="E1972" t="s">
        <v>35</v>
      </c>
      <c r="F1972">
        <v>19346</v>
      </c>
      <c r="G1972" t="str">
        <f t="shared" si="90"/>
        <v>Low</v>
      </c>
      <c r="H1972">
        <v>1</v>
      </c>
      <c r="I1972">
        <v>0</v>
      </c>
      <c r="J1972">
        <v>1</v>
      </c>
      <c r="K1972" s="1">
        <v>41669</v>
      </c>
      <c r="L1972">
        <v>26</v>
      </c>
      <c r="M1972" t="str">
        <f t="shared" si="91"/>
        <v>Active</v>
      </c>
      <c r="N1972">
        <v>0</v>
      </c>
      <c r="O1972">
        <v>2</v>
      </c>
      <c r="P1972">
        <v>0</v>
      </c>
      <c r="Q1972">
        <v>9</v>
      </c>
      <c r="R1972">
        <v>3</v>
      </c>
      <c r="S1972">
        <v>6</v>
      </c>
      <c r="T1972">
        <v>2</v>
      </c>
      <c r="U1972">
        <v>22</v>
      </c>
      <c r="V1972">
        <v>1</v>
      </c>
      <c r="W1972">
        <v>1</v>
      </c>
      <c r="X1972">
        <v>0</v>
      </c>
      <c r="Y1972">
        <v>3</v>
      </c>
      <c r="Z1972">
        <v>4</v>
      </c>
      <c r="AA1972">
        <v>8</v>
      </c>
      <c r="AB1972" t="str">
        <f t="shared" si="92"/>
        <v>Below average customer</v>
      </c>
    </row>
    <row r="1973" spans="1:28" x14ac:dyDescent="0.35">
      <c r="A1973">
        <v>9216</v>
      </c>
      <c r="B1973">
        <v>1971</v>
      </c>
      <c r="C1973" t="s">
        <v>28</v>
      </c>
      <c r="D1973" t="s">
        <v>26</v>
      </c>
      <c r="E1973" t="s">
        <v>33</v>
      </c>
      <c r="F1973">
        <v>35788</v>
      </c>
      <c r="G1973" t="str">
        <f t="shared" si="90"/>
        <v>Mid-low</v>
      </c>
      <c r="H1973">
        <v>1</v>
      </c>
      <c r="I1973">
        <v>1</v>
      </c>
      <c r="J1973">
        <v>2</v>
      </c>
      <c r="K1973" s="1">
        <v>41662</v>
      </c>
      <c r="L1973">
        <v>34</v>
      </c>
      <c r="M1973" t="str">
        <f t="shared" si="91"/>
        <v>Active</v>
      </c>
      <c r="N1973">
        <v>0</v>
      </c>
      <c r="O1973">
        <v>23</v>
      </c>
      <c r="P1973">
        <v>2</v>
      </c>
      <c r="Q1973">
        <v>11</v>
      </c>
      <c r="R1973">
        <v>3</v>
      </c>
      <c r="S1973">
        <v>1</v>
      </c>
      <c r="T1973">
        <v>4</v>
      </c>
      <c r="U1973">
        <v>44</v>
      </c>
      <c r="V1973">
        <v>2</v>
      </c>
      <c r="W1973">
        <v>2</v>
      </c>
      <c r="X1973">
        <v>0</v>
      </c>
      <c r="Y1973">
        <v>3</v>
      </c>
      <c r="Z1973">
        <v>5</v>
      </c>
      <c r="AA1973">
        <v>6</v>
      </c>
      <c r="AB1973" t="str">
        <f t="shared" si="92"/>
        <v>Below average customer</v>
      </c>
    </row>
    <row r="1974" spans="1:28" x14ac:dyDescent="0.35">
      <c r="A1974">
        <v>7124</v>
      </c>
      <c r="B1974">
        <v>1968</v>
      </c>
      <c r="C1974" t="s">
        <v>28</v>
      </c>
      <c r="D1974" t="s">
        <v>26</v>
      </c>
      <c r="E1974" t="s">
        <v>35</v>
      </c>
      <c r="F1974">
        <v>36997</v>
      </c>
      <c r="G1974" t="str">
        <f t="shared" si="90"/>
        <v>Mid-low</v>
      </c>
      <c r="H1974">
        <v>1</v>
      </c>
      <c r="I1974">
        <v>1</v>
      </c>
      <c r="J1974">
        <v>2</v>
      </c>
      <c r="K1974" s="1">
        <v>41306</v>
      </c>
      <c r="L1974">
        <v>72</v>
      </c>
      <c r="M1974" t="str">
        <f t="shared" si="91"/>
        <v>Inactive</v>
      </c>
      <c r="N1974">
        <v>0</v>
      </c>
      <c r="O1974">
        <v>43</v>
      </c>
      <c r="P1974">
        <v>4</v>
      </c>
      <c r="Q1974">
        <v>12</v>
      </c>
      <c r="R1974">
        <v>8</v>
      </c>
      <c r="S1974">
        <v>0</v>
      </c>
      <c r="T1974">
        <v>27</v>
      </c>
      <c r="U1974">
        <v>94</v>
      </c>
      <c r="V1974">
        <v>5</v>
      </c>
      <c r="W1974">
        <v>2</v>
      </c>
      <c r="X1974">
        <v>1</v>
      </c>
      <c r="Y1974">
        <v>4</v>
      </c>
      <c r="Z1974">
        <v>7</v>
      </c>
      <c r="AA1974">
        <v>5</v>
      </c>
      <c r="AB1974" t="str">
        <f t="shared" si="92"/>
        <v>Below average customer</v>
      </c>
    </row>
    <row r="1975" spans="1:28" x14ac:dyDescent="0.35">
      <c r="A1975">
        <v>9727</v>
      </c>
      <c r="B1975">
        <v>1957</v>
      </c>
      <c r="C1975" t="s">
        <v>25</v>
      </c>
      <c r="D1975" t="s">
        <v>26</v>
      </c>
      <c r="E1975" t="s">
        <v>33</v>
      </c>
      <c r="F1975">
        <v>23539</v>
      </c>
      <c r="G1975" t="str">
        <f t="shared" si="90"/>
        <v>Low</v>
      </c>
      <c r="H1975">
        <v>0</v>
      </c>
      <c r="I1975">
        <v>0</v>
      </c>
      <c r="J1975">
        <v>0</v>
      </c>
      <c r="K1975" s="1">
        <v>41698</v>
      </c>
      <c r="L1975">
        <v>13</v>
      </c>
      <c r="M1975" t="str">
        <f t="shared" si="91"/>
        <v>Active</v>
      </c>
      <c r="N1975">
        <v>0</v>
      </c>
      <c r="O1975">
        <v>4</v>
      </c>
      <c r="P1975">
        <v>24</v>
      </c>
      <c r="Q1975">
        <v>11</v>
      </c>
      <c r="R1975">
        <v>16</v>
      </c>
      <c r="S1975">
        <v>1</v>
      </c>
      <c r="T1975">
        <v>25</v>
      </c>
      <c r="U1975">
        <v>81</v>
      </c>
      <c r="V1975">
        <v>1</v>
      </c>
      <c r="W1975">
        <v>2</v>
      </c>
      <c r="X1975">
        <v>0</v>
      </c>
      <c r="Y1975">
        <v>4</v>
      </c>
      <c r="Z1975">
        <v>6</v>
      </c>
      <c r="AA1975">
        <v>6</v>
      </c>
      <c r="AB1975" t="str">
        <f t="shared" si="92"/>
        <v>Below average customer</v>
      </c>
    </row>
    <row r="1976" spans="1:28" x14ac:dyDescent="0.35">
      <c r="A1976">
        <v>5136</v>
      </c>
      <c r="B1976">
        <v>1973</v>
      </c>
      <c r="C1976" t="s">
        <v>31</v>
      </c>
      <c r="D1976" t="s">
        <v>26</v>
      </c>
      <c r="E1976" t="s">
        <v>27</v>
      </c>
      <c r="F1976">
        <v>65333</v>
      </c>
      <c r="G1976" t="str">
        <f t="shared" si="90"/>
        <v>Mid-high</v>
      </c>
      <c r="H1976">
        <v>0</v>
      </c>
      <c r="I1976">
        <v>1</v>
      </c>
      <c r="J1976">
        <v>1</v>
      </c>
      <c r="K1976" s="1">
        <v>41656</v>
      </c>
      <c r="L1976">
        <v>58</v>
      </c>
      <c r="M1976" t="str">
        <f t="shared" si="91"/>
        <v>Inactive</v>
      </c>
      <c r="N1976">
        <v>0</v>
      </c>
      <c r="O1976">
        <v>654</v>
      </c>
      <c r="P1976">
        <v>7</v>
      </c>
      <c r="Q1976">
        <v>92</v>
      </c>
      <c r="R1976">
        <v>0</v>
      </c>
      <c r="S1976">
        <v>15</v>
      </c>
      <c r="T1976">
        <v>30</v>
      </c>
      <c r="U1976">
        <v>798</v>
      </c>
      <c r="V1976">
        <v>7</v>
      </c>
      <c r="W1976">
        <v>9</v>
      </c>
      <c r="X1976">
        <v>4</v>
      </c>
      <c r="Y1976">
        <v>8</v>
      </c>
      <c r="Z1976">
        <v>21</v>
      </c>
      <c r="AA1976">
        <v>6</v>
      </c>
      <c r="AB1976" t="str">
        <f t="shared" si="92"/>
        <v>Below average customer</v>
      </c>
    </row>
    <row r="1977" spans="1:28" x14ac:dyDescent="0.35">
      <c r="A1977">
        <v>9790</v>
      </c>
      <c r="B1977">
        <v>1957</v>
      </c>
      <c r="C1977" t="s">
        <v>25</v>
      </c>
      <c r="D1977" t="s">
        <v>26</v>
      </c>
      <c r="E1977" t="s">
        <v>27</v>
      </c>
      <c r="F1977">
        <v>78499</v>
      </c>
      <c r="G1977" t="str">
        <f t="shared" si="90"/>
        <v>High</v>
      </c>
      <c r="H1977">
        <v>0</v>
      </c>
      <c r="I1977">
        <v>0</v>
      </c>
      <c r="J1977">
        <v>0</v>
      </c>
      <c r="K1977" s="1">
        <v>41601</v>
      </c>
      <c r="L1977">
        <v>12</v>
      </c>
      <c r="M1977" t="str">
        <f t="shared" si="91"/>
        <v>Active</v>
      </c>
      <c r="N1977">
        <v>0</v>
      </c>
      <c r="O1977">
        <v>912</v>
      </c>
      <c r="P1977">
        <v>72</v>
      </c>
      <c r="Q1977">
        <v>170</v>
      </c>
      <c r="R1977">
        <v>47</v>
      </c>
      <c r="S1977">
        <v>36</v>
      </c>
      <c r="T1977">
        <v>97</v>
      </c>
      <c r="U1977">
        <v>1334</v>
      </c>
      <c r="V1977">
        <v>1</v>
      </c>
      <c r="W1977">
        <v>11</v>
      </c>
      <c r="X1977">
        <v>3</v>
      </c>
      <c r="Y1977">
        <v>4</v>
      </c>
      <c r="Z1977">
        <v>18</v>
      </c>
      <c r="AA1977">
        <v>4</v>
      </c>
      <c r="AB1977" t="str">
        <f t="shared" si="92"/>
        <v>Above average customer</v>
      </c>
    </row>
    <row r="1978" spans="1:28" x14ac:dyDescent="0.35">
      <c r="A1978">
        <v>1818</v>
      </c>
      <c r="B1978">
        <v>1971</v>
      </c>
      <c r="C1978" t="s">
        <v>28</v>
      </c>
      <c r="D1978" t="s">
        <v>32</v>
      </c>
      <c r="E1978" t="s">
        <v>29</v>
      </c>
      <c r="F1978">
        <v>29732</v>
      </c>
      <c r="G1978" t="str">
        <f t="shared" si="90"/>
        <v>Low</v>
      </c>
      <c r="H1978">
        <v>1</v>
      </c>
      <c r="I1978">
        <v>0</v>
      </c>
      <c r="J1978">
        <v>1</v>
      </c>
      <c r="K1978" s="1">
        <v>41723</v>
      </c>
      <c r="L1978">
        <v>23</v>
      </c>
      <c r="M1978" t="str">
        <f t="shared" si="91"/>
        <v>Active</v>
      </c>
      <c r="N1978">
        <v>0</v>
      </c>
      <c r="O1978">
        <v>25</v>
      </c>
      <c r="P1978">
        <v>0</v>
      </c>
      <c r="Q1978">
        <v>8</v>
      </c>
      <c r="R1978">
        <v>0</v>
      </c>
      <c r="S1978">
        <v>1</v>
      </c>
      <c r="T1978">
        <v>4</v>
      </c>
      <c r="U1978">
        <v>38</v>
      </c>
      <c r="V1978">
        <v>1</v>
      </c>
      <c r="W1978">
        <v>2</v>
      </c>
      <c r="X1978">
        <v>0</v>
      </c>
      <c r="Y1978">
        <v>2</v>
      </c>
      <c r="Z1978">
        <v>4</v>
      </c>
      <c r="AA1978">
        <v>9</v>
      </c>
      <c r="AB1978" t="str">
        <f t="shared" si="92"/>
        <v>Below average customer</v>
      </c>
    </row>
    <row r="1979" spans="1:28" x14ac:dyDescent="0.35">
      <c r="A1979">
        <v>1100</v>
      </c>
      <c r="B1979">
        <v>1960</v>
      </c>
      <c r="C1979" t="s">
        <v>25</v>
      </c>
      <c r="D1979" t="s">
        <v>34</v>
      </c>
      <c r="E1979" t="s">
        <v>29</v>
      </c>
      <c r="F1979">
        <v>41275</v>
      </c>
      <c r="G1979" t="str">
        <f t="shared" si="90"/>
        <v>Mid-low</v>
      </c>
      <c r="H1979">
        <v>1</v>
      </c>
      <c r="I1979">
        <v>2</v>
      </c>
      <c r="J1979">
        <v>3</v>
      </c>
      <c r="K1979" s="1">
        <v>41722</v>
      </c>
      <c r="L1979">
        <v>33</v>
      </c>
      <c r="M1979" t="str">
        <f t="shared" si="91"/>
        <v>Active</v>
      </c>
      <c r="N1979">
        <v>0</v>
      </c>
      <c r="O1979">
        <v>24</v>
      </c>
      <c r="P1979">
        <v>4</v>
      </c>
      <c r="Q1979">
        <v>22</v>
      </c>
      <c r="R1979">
        <v>0</v>
      </c>
      <c r="S1979">
        <v>2</v>
      </c>
      <c r="T1979">
        <v>9</v>
      </c>
      <c r="U1979">
        <v>61</v>
      </c>
      <c r="V1979">
        <v>4</v>
      </c>
      <c r="W1979">
        <v>3</v>
      </c>
      <c r="X1979">
        <v>1</v>
      </c>
      <c r="Y1979">
        <v>3</v>
      </c>
      <c r="Z1979">
        <v>7</v>
      </c>
      <c r="AA1979">
        <v>5</v>
      </c>
      <c r="AB1979" t="str">
        <f t="shared" si="92"/>
        <v>Below average customer</v>
      </c>
    </row>
    <row r="1980" spans="1:28" x14ac:dyDescent="0.35">
      <c r="A1980">
        <v>7873</v>
      </c>
      <c r="B1980">
        <v>1973</v>
      </c>
      <c r="C1980" t="s">
        <v>31</v>
      </c>
      <c r="D1980" t="s">
        <v>32</v>
      </c>
      <c r="E1980" t="s">
        <v>29</v>
      </c>
      <c r="F1980">
        <v>63516</v>
      </c>
      <c r="G1980" t="str">
        <f t="shared" si="90"/>
        <v>Mid-high</v>
      </c>
      <c r="H1980">
        <v>1</v>
      </c>
      <c r="I1980">
        <v>1</v>
      </c>
      <c r="J1980">
        <v>2</v>
      </c>
      <c r="K1980" s="1">
        <v>41461</v>
      </c>
      <c r="L1980">
        <v>30</v>
      </c>
      <c r="M1980" t="str">
        <f t="shared" si="91"/>
        <v>Active</v>
      </c>
      <c r="N1980">
        <v>0</v>
      </c>
      <c r="O1980">
        <v>141</v>
      </c>
      <c r="P1980">
        <v>11</v>
      </c>
      <c r="Q1980">
        <v>114</v>
      </c>
      <c r="R1980">
        <v>15</v>
      </c>
      <c r="S1980">
        <v>14</v>
      </c>
      <c r="T1980">
        <v>5</v>
      </c>
      <c r="U1980">
        <v>300</v>
      </c>
      <c r="V1980">
        <v>4</v>
      </c>
      <c r="W1980">
        <v>4</v>
      </c>
      <c r="X1980">
        <v>1</v>
      </c>
      <c r="Y1980">
        <v>7</v>
      </c>
      <c r="Z1980">
        <v>12</v>
      </c>
      <c r="AA1980">
        <v>5</v>
      </c>
      <c r="AB1980" t="str">
        <f t="shared" si="92"/>
        <v>Below average customer</v>
      </c>
    </row>
    <row r="1981" spans="1:28" x14ac:dyDescent="0.35">
      <c r="A1981">
        <v>10609</v>
      </c>
      <c r="B1981">
        <v>1962</v>
      </c>
      <c r="C1981" t="s">
        <v>25</v>
      </c>
      <c r="D1981" t="s">
        <v>32</v>
      </c>
      <c r="E1981" t="s">
        <v>33</v>
      </c>
      <c r="F1981">
        <v>42769</v>
      </c>
      <c r="G1981" t="str">
        <f t="shared" si="90"/>
        <v>Mid-low</v>
      </c>
      <c r="H1981">
        <v>0</v>
      </c>
      <c r="I1981">
        <v>1</v>
      </c>
      <c r="J1981">
        <v>1</v>
      </c>
      <c r="K1981" s="1">
        <v>41559</v>
      </c>
      <c r="L1981">
        <v>15</v>
      </c>
      <c r="M1981" t="str">
        <f t="shared" si="91"/>
        <v>Active</v>
      </c>
      <c r="N1981">
        <v>0</v>
      </c>
      <c r="O1981">
        <v>71</v>
      </c>
      <c r="P1981">
        <v>0</v>
      </c>
      <c r="Q1981">
        <v>13</v>
      </c>
      <c r="R1981">
        <v>3</v>
      </c>
      <c r="S1981">
        <v>1</v>
      </c>
      <c r="T1981">
        <v>0</v>
      </c>
      <c r="U1981">
        <v>88</v>
      </c>
      <c r="V1981">
        <v>2</v>
      </c>
      <c r="W1981">
        <v>1</v>
      </c>
      <c r="X1981">
        <v>1</v>
      </c>
      <c r="Y1981">
        <v>4</v>
      </c>
      <c r="Z1981">
        <v>6</v>
      </c>
      <c r="AA1981">
        <v>4</v>
      </c>
      <c r="AB1981" t="str">
        <f t="shared" si="92"/>
        <v>Below average customer</v>
      </c>
    </row>
    <row r="1982" spans="1:28" x14ac:dyDescent="0.35">
      <c r="A1982">
        <v>6950</v>
      </c>
      <c r="B1982">
        <v>1958</v>
      </c>
      <c r="C1982" t="s">
        <v>25</v>
      </c>
      <c r="D1982" t="s">
        <v>34</v>
      </c>
      <c r="E1982" t="s">
        <v>33</v>
      </c>
      <c r="F1982">
        <v>49572</v>
      </c>
      <c r="G1982" t="str">
        <f t="shared" si="90"/>
        <v>Mid-low</v>
      </c>
      <c r="H1982">
        <v>1</v>
      </c>
      <c r="I1982">
        <v>1</v>
      </c>
      <c r="J1982">
        <v>2</v>
      </c>
      <c r="K1982" s="1">
        <v>41623</v>
      </c>
      <c r="L1982">
        <v>25</v>
      </c>
      <c r="M1982" t="str">
        <f t="shared" si="91"/>
        <v>Active</v>
      </c>
      <c r="N1982">
        <v>0</v>
      </c>
      <c r="O1982">
        <v>35</v>
      </c>
      <c r="P1982">
        <v>1</v>
      </c>
      <c r="Q1982">
        <v>16</v>
      </c>
      <c r="R1982">
        <v>0</v>
      </c>
      <c r="S1982">
        <v>1</v>
      </c>
      <c r="T1982">
        <v>1</v>
      </c>
      <c r="U1982">
        <v>54</v>
      </c>
      <c r="V1982">
        <v>2</v>
      </c>
      <c r="W1982">
        <v>2</v>
      </c>
      <c r="X1982">
        <v>0</v>
      </c>
      <c r="Y1982">
        <v>3</v>
      </c>
      <c r="Z1982">
        <v>5</v>
      </c>
      <c r="AA1982">
        <v>7</v>
      </c>
      <c r="AB1982" t="str">
        <f t="shared" si="92"/>
        <v>Below average customer</v>
      </c>
    </row>
    <row r="1983" spans="1:28" x14ac:dyDescent="0.35">
      <c r="A1983">
        <v>7233</v>
      </c>
      <c r="B1983">
        <v>1972</v>
      </c>
      <c r="C1983" t="s">
        <v>28</v>
      </c>
      <c r="D1983" t="s">
        <v>26</v>
      </c>
      <c r="E1983" t="s">
        <v>33</v>
      </c>
      <c r="F1983">
        <v>69209</v>
      </c>
      <c r="G1983" t="str">
        <f t="shared" si="90"/>
        <v>High</v>
      </c>
      <c r="H1983">
        <v>0</v>
      </c>
      <c r="I1983">
        <v>0</v>
      </c>
      <c r="J1983">
        <v>0</v>
      </c>
      <c r="K1983" s="1">
        <v>41169</v>
      </c>
      <c r="L1983">
        <v>4</v>
      </c>
      <c r="M1983" t="str">
        <f t="shared" si="91"/>
        <v>Active</v>
      </c>
      <c r="N1983">
        <v>0</v>
      </c>
      <c r="O1983">
        <v>496</v>
      </c>
      <c r="P1983">
        <v>32</v>
      </c>
      <c r="Q1983">
        <v>849</v>
      </c>
      <c r="R1983">
        <v>229</v>
      </c>
      <c r="S1983">
        <v>48</v>
      </c>
      <c r="T1983">
        <v>128</v>
      </c>
      <c r="U1983">
        <v>1782</v>
      </c>
      <c r="V1983">
        <v>2</v>
      </c>
      <c r="W1983">
        <v>5</v>
      </c>
      <c r="X1983">
        <v>3</v>
      </c>
      <c r="Y1983">
        <v>6</v>
      </c>
      <c r="Z1983">
        <v>14</v>
      </c>
      <c r="AA1983">
        <v>4</v>
      </c>
      <c r="AB1983" t="str">
        <f t="shared" si="92"/>
        <v>Above average customer</v>
      </c>
    </row>
    <row r="1984" spans="1:28" x14ac:dyDescent="0.35">
      <c r="A1984">
        <v>9481</v>
      </c>
      <c r="B1984">
        <v>1976</v>
      </c>
      <c r="C1984" t="s">
        <v>31</v>
      </c>
      <c r="D1984" t="s">
        <v>26</v>
      </c>
      <c r="E1984" t="s">
        <v>33</v>
      </c>
      <c r="F1984">
        <v>17148</v>
      </c>
      <c r="G1984" t="str">
        <f t="shared" si="90"/>
        <v>Low</v>
      </c>
      <c r="H1984">
        <v>1</v>
      </c>
      <c r="I1984">
        <v>0</v>
      </c>
      <c r="J1984">
        <v>1</v>
      </c>
      <c r="K1984" s="1">
        <v>41667</v>
      </c>
      <c r="L1984">
        <v>80</v>
      </c>
      <c r="M1984" t="str">
        <f t="shared" si="91"/>
        <v>Inactive</v>
      </c>
      <c r="N1984">
        <v>0</v>
      </c>
      <c r="O1984">
        <v>9</v>
      </c>
      <c r="P1984">
        <v>9</v>
      </c>
      <c r="Q1984">
        <v>11</v>
      </c>
      <c r="R1984">
        <v>13</v>
      </c>
      <c r="S1984">
        <v>10</v>
      </c>
      <c r="T1984">
        <v>16</v>
      </c>
      <c r="U1984">
        <v>68</v>
      </c>
      <c r="V1984">
        <v>4</v>
      </c>
      <c r="W1984">
        <v>3</v>
      </c>
      <c r="X1984">
        <v>1</v>
      </c>
      <c r="Y1984">
        <v>3</v>
      </c>
      <c r="Z1984">
        <v>7</v>
      </c>
      <c r="AA1984">
        <v>8</v>
      </c>
      <c r="AB1984" t="str">
        <f t="shared" si="92"/>
        <v>Below average customer</v>
      </c>
    </row>
    <row r="1985" spans="1:28" x14ac:dyDescent="0.35">
      <c r="A1985">
        <v>8933</v>
      </c>
      <c r="B1985">
        <v>1983</v>
      </c>
      <c r="C1985" t="s">
        <v>30</v>
      </c>
      <c r="D1985" t="s">
        <v>34</v>
      </c>
      <c r="E1985" t="s">
        <v>33</v>
      </c>
      <c r="F1985">
        <v>32146</v>
      </c>
      <c r="G1985" t="str">
        <f t="shared" si="90"/>
        <v>Low</v>
      </c>
      <c r="H1985">
        <v>1</v>
      </c>
      <c r="I1985">
        <v>0</v>
      </c>
      <c r="J1985">
        <v>1</v>
      </c>
      <c r="K1985" s="1">
        <v>41771</v>
      </c>
      <c r="L1985">
        <v>16</v>
      </c>
      <c r="M1985" t="str">
        <f t="shared" si="91"/>
        <v>Active</v>
      </c>
      <c r="N1985">
        <v>0</v>
      </c>
      <c r="O1985">
        <v>26</v>
      </c>
      <c r="P1985">
        <v>3</v>
      </c>
      <c r="Q1985">
        <v>23</v>
      </c>
      <c r="R1985">
        <v>4</v>
      </c>
      <c r="S1985">
        <v>7</v>
      </c>
      <c r="T1985">
        <v>3</v>
      </c>
      <c r="U1985">
        <v>66</v>
      </c>
      <c r="V1985">
        <v>2</v>
      </c>
      <c r="W1985">
        <v>2</v>
      </c>
      <c r="X1985">
        <v>0</v>
      </c>
      <c r="Y1985">
        <v>4</v>
      </c>
      <c r="Z1985">
        <v>6</v>
      </c>
      <c r="AA1985">
        <v>6</v>
      </c>
      <c r="AB1985" t="str">
        <f t="shared" si="92"/>
        <v>Below average customer</v>
      </c>
    </row>
    <row r="1986" spans="1:28" x14ac:dyDescent="0.35">
      <c r="A1986">
        <v>8726</v>
      </c>
      <c r="B1986">
        <v>1964</v>
      </c>
      <c r="C1986" t="s">
        <v>28</v>
      </c>
      <c r="D1986" t="s">
        <v>34</v>
      </c>
      <c r="E1986" t="s">
        <v>35</v>
      </c>
      <c r="F1986">
        <v>41713</v>
      </c>
      <c r="G1986" t="str">
        <f t="shared" ref="G1986:G2049" si="93">IF(F1986&lt;=_xlfn.PERCENTILE.INC($F$2:$F$2056,0.25),"Low",IF(F1986&lt;=_xlfn.PERCENTILE.INC($F$2:$F$2056,0.5),"Mid-low",IF(F1986&lt;=_xlfn.PERCENTILE.INC($F$2:$F$2056,0.75),"Mid-high","High")))</f>
        <v>Mid-low</v>
      </c>
      <c r="H1986">
        <v>1</v>
      </c>
      <c r="I1986">
        <v>1</v>
      </c>
      <c r="J1986">
        <v>2</v>
      </c>
      <c r="K1986" s="1">
        <v>41758</v>
      </c>
      <c r="L1986">
        <v>57</v>
      </c>
      <c r="M1986" t="str">
        <f t="shared" ref="M1986:M2049" si="94">IF(L1986&gt;AVERAGE($L$2:$L$2056),"Inactive","Active")</f>
        <v>Inactive</v>
      </c>
      <c r="N1986">
        <v>0</v>
      </c>
      <c r="O1986">
        <v>77</v>
      </c>
      <c r="P1986">
        <v>8</v>
      </c>
      <c r="Q1986">
        <v>44</v>
      </c>
      <c r="R1986">
        <v>10</v>
      </c>
      <c r="S1986">
        <v>10</v>
      </c>
      <c r="T1986">
        <v>25</v>
      </c>
      <c r="U1986">
        <v>174</v>
      </c>
      <c r="V1986">
        <v>5</v>
      </c>
      <c r="W1986">
        <v>3</v>
      </c>
      <c r="X1986">
        <v>1</v>
      </c>
      <c r="Y1986">
        <v>4</v>
      </c>
      <c r="Z1986">
        <v>8</v>
      </c>
      <c r="AA1986">
        <v>6</v>
      </c>
      <c r="AB1986" t="str">
        <f t="shared" ref="AB1986:AB2049" si="95">IF(AND(Z1986&gt;AVERAGE($Z$2:$Z$2056),U1986&gt;AVERAGE($U$2:$U$2056),N1986=0,L1986&lt;AVERAGE($L$2:$L$2056),F1986&gt;AVERAGE($F$2:$F$2240)),"Above average customer","Below average customer")</f>
        <v>Below average customer</v>
      </c>
    </row>
    <row r="1987" spans="1:28" x14ac:dyDescent="0.35">
      <c r="A1987">
        <v>1515</v>
      </c>
      <c r="B1987">
        <v>1975</v>
      </c>
      <c r="C1987" t="s">
        <v>31</v>
      </c>
      <c r="D1987" t="s">
        <v>34</v>
      </c>
      <c r="E1987" t="s">
        <v>29</v>
      </c>
      <c r="F1987">
        <v>34176</v>
      </c>
      <c r="G1987" t="str">
        <f t="shared" si="93"/>
        <v>Low</v>
      </c>
      <c r="H1987">
        <v>0</v>
      </c>
      <c r="I1987">
        <v>1</v>
      </c>
      <c r="J1987">
        <v>1</v>
      </c>
      <c r="K1987" s="1">
        <v>41661</v>
      </c>
      <c r="L1987">
        <v>9</v>
      </c>
      <c r="M1987" t="str">
        <f t="shared" si="94"/>
        <v>Active</v>
      </c>
      <c r="N1987">
        <v>0</v>
      </c>
      <c r="O1987">
        <v>11</v>
      </c>
      <c r="P1987">
        <v>2</v>
      </c>
      <c r="Q1987">
        <v>7</v>
      </c>
      <c r="R1987">
        <v>4</v>
      </c>
      <c r="S1987">
        <v>2</v>
      </c>
      <c r="T1987">
        <v>2</v>
      </c>
      <c r="U1987">
        <v>28</v>
      </c>
      <c r="V1987">
        <v>1</v>
      </c>
      <c r="W1987">
        <v>1</v>
      </c>
      <c r="X1987">
        <v>0</v>
      </c>
      <c r="Y1987">
        <v>3</v>
      </c>
      <c r="Z1987">
        <v>4</v>
      </c>
      <c r="AA1987">
        <v>3</v>
      </c>
      <c r="AB1987" t="str">
        <f t="shared" si="95"/>
        <v>Below average customer</v>
      </c>
    </row>
    <row r="1988" spans="1:28" x14ac:dyDescent="0.35">
      <c r="A1988">
        <v>5186</v>
      </c>
      <c r="B1988">
        <v>1955</v>
      </c>
      <c r="C1988" t="s">
        <v>25</v>
      </c>
      <c r="D1988" t="s">
        <v>32</v>
      </c>
      <c r="E1988" t="s">
        <v>33</v>
      </c>
      <c r="F1988">
        <v>58482</v>
      </c>
      <c r="G1988" t="str">
        <f t="shared" si="93"/>
        <v>Mid-high</v>
      </c>
      <c r="H1988">
        <v>0</v>
      </c>
      <c r="I1988">
        <v>1</v>
      </c>
      <c r="J1988">
        <v>1</v>
      </c>
      <c r="K1988" s="1">
        <v>41710</v>
      </c>
      <c r="L1988">
        <v>59</v>
      </c>
      <c r="M1988" t="str">
        <f t="shared" si="94"/>
        <v>Inactive</v>
      </c>
      <c r="N1988">
        <v>0</v>
      </c>
      <c r="O1988">
        <v>576</v>
      </c>
      <c r="P1988">
        <v>7</v>
      </c>
      <c r="Q1988">
        <v>115</v>
      </c>
      <c r="R1988">
        <v>19</v>
      </c>
      <c r="S1988">
        <v>7</v>
      </c>
      <c r="T1988">
        <v>7</v>
      </c>
      <c r="U1988">
        <v>731</v>
      </c>
      <c r="V1988">
        <v>2</v>
      </c>
      <c r="W1988">
        <v>7</v>
      </c>
      <c r="X1988">
        <v>4</v>
      </c>
      <c r="Y1988">
        <v>9</v>
      </c>
      <c r="Z1988">
        <v>20</v>
      </c>
      <c r="AA1988">
        <v>6</v>
      </c>
      <c r="AB1988" t="str">
        <f t="shared" si="95"/>
        <v>Below average customer</v>
      </c>
    </row>
    <row r="1989" spans="1:28" x14ac:dyDescent="0.35">
      <c r="A1989">
        <v>10157</v>
      </c>
      <c r="B1989">
        <v>1965</v>
      </c>
      <c r="C1989" t="s">
        <v>28</v>
      </c>
      <c r="D1989" t="s">
        <v>26</v>
      </c>
      <c r="E1989" t="s">
        <v>27</v>
      </c>
      <c r="F1989">
        <v>59686</v>
      </c>
      <c r="G1989" t="str">
        <f t="shared" si="93"/>
        <v>Mid-high</v>
      </c>
      <c r="H1989">
        <v>0</v>
      </c>
      <c r="I1989">
        <v>1</v>
      </c>
      <c r="J1989">
        <v>1</v>
      </c>
      <c r="K1989" s="1">
        <v>41664</v>
      </c>
      <c r="L1989">
        <v>78</v>
      </c>
      <c r="M1989" t="str">
        <f t="shared" si="94"/>
        <v>Inactive</v>
      </c>
      <c r="N1989">
        <v>0</v>
      </c>
      <c r="O1989">
        <v>89</v>
      </c>
      <c r="P1989">
        <v>15</v>
      </c>
      <c r="Q1989">
        <v>89</v>
      </c>
      <c r="R1989">
        <v>34</v>
      </c>
      <c r="S1989">
        <v>42</v>
      </c>
      <c r="T1989">
        <v>5</v>
      </c>
      <c r="U1989">
        <v>274</v>
      </c>
      <c r="V1989">
        <v>1</v>
      </c>
      <c r="W1989">
        <v>4</v>
      </c>
      <c r="X1989">
        <v>1</v>
      </c>
      <c r="Y1989">
        <v>6</v>
      </c>
      <c r="Z1989">
        <v>11</v>
      </c>
      <c r="AA1989">
        <v>4</v>
      </c>
      <c r="AB1989" t="str">
        <f t="shared" si="95"/>
        <v>Below average customer</v>
      </c>
    </row>
    <row r="1990" spans="1:28" x14ac:dyDescent="0.35">
      <c r="A1990">
        <v>5667</v>
      </c>
      <c r="B1990">
        <v>1964</v>
      </c>
      <c r="C1990" t="s">
        <v>28</v>
      </c>
      <c r="D1990" t="s">
        <v>32</v>
      </c>
      <c r="E1990" t="s">
        <v>33</v>
      </c>
      <c r="F1990">
        <v>60896</v>
      </c>
      <c r="G1990" t="str">
        <f t="shared" si="93"/>
        <v>Mid-high</v>
      </c>
      <c r="H1990">
        <v>0</v>
      </c>
      <c r="I1990">
        <v>1</v>
      </c>
      <c r="J1990">
        <v>1</v>
      </c>
      <c r="K1990" s="1">
        <v>41193</v>
      </c>
      <c r="L1990">
        <v>90</v>
      </c>
      <c r="M1990" t="str">
        <f t="shared" si="94"/>
        <v>Inactive</v>
      </c>
      <c r="N1990">
        <v>0</v>
      </c>
      <c r="O1990">
        <v>1013</v>
      </c>
      <c r="P1990">
        <v>30</v>
      </c>
      <c r="Q1990">
        <v>399</v>
      </c>
      <c r="R1990">
        <v>60</v>
      </c>
      <c r="S1990">
        <v>46</v>
      </c>
      <c r="T1990">
        <v>153</v>
      </c>
      <c r="U1990">
        <v>1701</v>
      </c>
      <c r="V1990">
        <v>3</v>
      </c>
      <c r="W1990">
        <v>9</v>
      </c>
      <c r="X1990">
        <v>10</v>
      </c>
      <c r="Y1990">
        <v>4</v>
      </c>
      <c r="Z1990">
        <v>23</v>
      </c>
      <c r="AA1990">
        <v>6</v>
      </c>
      <c r="AB1990" t="str">
        <f t="shared" si="95"/>
        <v>Below average customer</v>
      </c>
    </row>
    <row r="1991" spans="1:28" x14ac:dyDescent="0.35">
      <c r="A1991">
        <v>902</v>
      </c>
      <c r="B1991">
        <v>1980</v>
      </c>
      <c r="C1991" t="s">
        <v>31</v>
      </c>
      <c r="D1991" t="s">
        <v>26</v>
      </c>
      <c r="E1991" t="s">
        <v>29</v>
      </c>
      <c r="F1991">
        <v>62994</v>
      </c>
      <c r="G1991" t="str">
        <f t="shared" si="93"/>
        <v>Mid-high</v>
      </c>
      <c r="H1991">
        <v>1</v>
      </c>
      <c r="I1991">
        <v>0</v>
      </c>
      <c r="J1991">
        <v>1</v>
      </c>
      <c r="K1991" s="1">
        <v>41702</v>
      </c>
      <c r="L1991">
        <v>74</v>
      </c>
      <c r="M1991" t="str">
        <f t="shared" si="94"/>
        <v>Inactive</v>
      </c>
      <c r="N1991">
        <v>0</v>
      </c>
      <c r="O1991">
        <v>224</v>
      </c>
      <c r="P1991">
        <v>12</v>
      </c>
      <c r="Q1991">
        <v>48</v>
      </c>
      <c r="R1991">
        <v>4</v>
      </c>
      <c r="S1991">
        <v>12</v>
      </c>
      <c r="T1991">
        <v>12</v>
      </c>
      <c r="U1991">
        <v>312</v>
      </c>
      <c r="V1991">
        <v>1</v>
      </c>
      <c r="W1991">
        <v>6</v>
      </c>
      <c r="X1991">
        <v>2</v>
      </c>
      <c r="Y1991">
        <v>4</v>
      </c>
      <c r="Z1991">
        <v>12</v>
      </c>
      <c r="AA1991">
        <v>6</v>
      </c>
      <c r="AB1991" t="str">
        <f t="shared" si="95"/>
        <v>Below average customer</v>
      </c>
    </row>
    <row r="1992" spans="1:28" x14ac:dyDescent="0.35">
      <c r="A1992">
        <v>977</v>
      </c>
      <c r="B1992">
        <v>1957</v>
      </c>
      <c r="C1992" t="s">
        <v>25</v>
      </c>
      <c r="D1992" t="s">
        <v>26</v>
      </c>
      <c r="E1992" t="s">
        <v>29</v>
      </c>
      <c r="F1992">
        <v>47320</v>
      </c>
      <c r="G1992" t="str">
        <f t="shared" si="93"/>
        <v>Mid-low</v>
      </c>
      <c r="H1992">
        <v>0</v>
      </c>
      <c r="I1992">
        <v>1</v>
      </c>
      <c r="J1992">
        <v>1</v>
      </c>
      <c r="K1992" s="1">
        <v>41487</v>
      </c>
      <c r="L1992">
        <v>10</v>
      </c>
      <c r="M1992" t="str">
        <f t="shared" si="94"/>
        <v>Active</v>
      </c>
      <c r="N1992">
        <v>0</v>
      </c>
      <c r="O1992">
        <v>200</v>
      </c>
      <c r="P1992">
        <v>19</v>
      </c>
      <c r="Q1992">
        <v>111</v>
      </c>
      <c r="R1992">
        <v>50</v>
      </c>
      <c r="S1992">
        <v>15</v>
      </c>
      <c r="T1992">
        <v>19</v>
      </c>
      <c r="U1992">
        <v>414</v>
      </c>
      <c r="V1992">
        <v>6</v>
      </c>
      <c r="W1992">
        <v>5</v>
      </c>
      <c r="X1992">
        <v>1</v>
      </c>
      <c r="Y1992">
        <v>8</v>
      </c>
      <c r="Z1992">
        <v>14</v>
      </c>
      <c r="AA1992">
        <v>6</v>
      </c>
      <c r="AB1992" t="str">
        <f t="shared" si="95"/>
        <v>Below average customer</v>
      </c>
    </row>
    <row r="1993" spans="1:28" x14ac:dyDescent="0.35">
      <c r="A1993">
        <v>7313</v>
      </c>
      <c r="B1993">
        <v>1949</v>
      </c>
      <c r="C1993" t="s">
        <v>36</v>
      </c>
      <c r="D1993" t="s">
        <v>34</v>
      </c>
      <c r="E1993" t="s">
        <v>38</v>
      </c>
      <c r="F1993">
        <v>74859</v>
      </c>
      <c r="G1993" t="str">
        <f t="shared" si="93"/>
        <v>High</v>
      </c>
      <c r="H1993">
        <v>0</v>
      </c>
      <c r="I1993">
        <v>0</v>
      </c>
      <c r="J1993">
        <v>0</v>
      </c>
      <c r="K1993" s="1">
        <v>41428</v>
      </c>
      <c r="L1993">
        <v>63</v>
      </c>
      <c r="M1993" t="str">
        <f t="shared" si="94"/>
        <v>Inactive</v>
      </c>
      <c r="N1993">
        <v>0</v>
      </c>
      <c r="O1993">
        <v>570</v>
      </c>
      <c r="P1993">
        <v>73</v>
      </c>
      <c r="Q1993">
        <v>614</v>
      </c>
      <c r="R1993">
        <v>133</v>
      </c>
      <c r="S1993">
        <v>102</v>
      </c>
      <c r="T1993">
        <v>73</v>
      </c>
      <c r="U1993">
        <v>1565</v>
      </c>
      <c r="V1993">
        <v>1</v>
      </c>
      <c r="W1993">
        <v>6</v>
      </c>
      <c r="X1993">
        <v>5</v>
      </c>
      <c r="Y1993">
        <v>11</v>
      </c>
      <c r="Z1993">
        <v>22</v>
      </c>
      <c r="AA1993">
        <v>3</v>
      </c>
      <c r="AB1993" t="str">
        <f t="shared" si="95"/>
        <v>Below average customer</v>
      </c>
    </row>
    <row r="1994" spans="1:28" x14ac:dyDescent="0.35">
      <c r="A1994">
        <v>7600</v>
      </c>
      <c r="B1994">
        <v>1992</v>
      </c>
      <c r="C1994" t="s">
        <v>30</v>
      </c>
      <c r="D1994" t="s">
        <v>37</v>
      </c>
      <c r="E1994" t="s">
        <v>27</v>
      </c>
      <c r="F1994">
        <v>15253</v>
      </c>
      <c r="G1994" t="str">
        <f t="shared" si="93"/>
        <v>Low</v>
      </c>
      <c r="H1994">
        <v>1</v>
      </c>
      <c r="I1994">
        <v>0</v>
      </c>
      <c r="J1994">
        <v>1</v>
      </c>
      <c r="K1994" s="1">
        <v>41575</v>
      </c>
      <c r="L1994">
        <v>13</v>
      </c>
      <c r="M1994" t="str">
        <f t="shared" si="94"/>
        <v>Active</v>
      </c>
      <c r="N1994">
        <v>0</v>
      </c>
      <c r="O1994">
        <v>1</v>
      </c>
      <c r="P1994">
        <v>3</v>
      </c>
      <c r="Q1994">
        <v>3</v>
      </c>
      <c r="R1994">
        <v>8</v>
      </c>
      <c r="S1994">
        <v>1</v>
      </c>
      <c r="T1994">
        <v>13</v>
      </c>
      <c r="U1994">
        <v>29</v>
      </c>
      <c r="V1994">
        <v>2</v>
      </c>
      <c r="W1994">
        <v>1</v>
      </c>
      <c r="X1994">
        <v>0</v>
      </c>
      <c r="Y1994">
        <v>3</v>
      </c>
      <c r="Z1994">
        <v>4</v>
      </c>
      <c r="AA1994">
        <v>7</v>
      </c>
      <c r="AB1994" t="str">
        <f t="shared" si="95"/>
        <v>Below average customer</v>
      </c>
    </row>
    <row r="1995" spans="1:28" x14ac:dyDescent="0.35">
      <c r="A1995">
        <v>9706</v>
      </c>
      <c r="B1995">
        <v>1974</v>
      </c>
      <c r="C1995" t="s">
        <v>31</v>
      </c>
      <c r="D1995" t="s">
        <v>32</v>
      </c>
      <c r="E1995" t="s">
        <v>27</v>
      </c>
      <c r="F1995">
        <v>31560</v>
      </c>
      <c r="G1995" t="str">
        <f t="shared" si="93"/>
        <v>Low</v>
      </c>
      <c r="H1995">
        <v>1</v>
      </c>
      <c r="I1995">
        <v>0</v>
      </c>
      <c r="J1995">
        <v>1</v>
      </c>
      <c r="K1995" s="1">
        <v>41449</v>
      </c>
      <c r="L1995">
        <v>98</v>
      </c>
      <c r="M1995" t="str">
        <f t="shared" si="94"/>
        <v>Inactive</v>
      </c>
      <c r="N1995">
        <v>0</v>
      </c>
      <c r="O1995">
        <v>62</v>
      </c>
      <c r="P1995">
        <v>1</v>
      </c>
      <c r="Q1995">
        <v>20</v>
      </c>
      <c r="R1995">
        <v>4</v>
      </c>
      <c r="S1995">
        <v>0</v>
      </c>
      <c r="T1995">
        <v>7</v>
      </c>
      <c r="U1995">
        <v>94</v>
      </c>
      <c r="V1995">
        <v>2</v>
      </c>
      <c r="W1995">
        <v>2</v>
      </c>
      <c r="X1995">
        <v>1</v>
      </c>
      <c r="Y1995">
        <v>3</v>
      </c>
      <c r="Z1995">
        <v>6</v>
      </c>
      <c r="AA1995">
        <v>8</v>
      </c>
      <c r="AB1995" t="str">
        <f t="shared" si="95"/>
        <v>Below average customer</v>
      </c>
    </row>
    <row r="1996" spans="1:28" x14ac:dyDescent="0.35">
      <c r="A1996">
        <v>3520</v>
      </c>
      <c r="B1996">
        <v>1990</v>
      </c>
      <c r="C1996" t="s">
        <v>30</v>
      </c>
      <c r="D1996" t="s">
        <v>34</v>
      </c>
      <c r="E1996" t="s">
        <v>27</v>
      </c>
      <c r="F1996">
        <v>91172</v>
      </c>
      <c r="G1996" t="str">
        <f t="shared" si="93"/>
        <v>High</v>
      </c>
      <c r="H1996">
        <v>0</v>
      </c>
      <c r="I1996">
        <v>0</v>
      </c>
      <c r="J1996">
        <v>0</v>
      </c>
      <c r="K1996" s="1">
        <v>41360</v>
      </c>
      <c r="L1996">
        <v>94</v>
      </c>
      <c r="M1996" t="str">
        <f t="shared" si="94"/>
        <v>Inactive</v>
      </c>
      <c r="N1996">
        <v>0</v>
      </c>
      <c r="O1996">
        <v>162</v>
      </c>
      <c r="P1996">
        <v>28</v>
      </c>
      <c r="Q1996">
        <v>818</v>
      </c>
      <c r="R1996">
        <v>0</v>
      </c>
      <c r="S1996">
        <v>28</v>
      </c>
      <c r="T1996">
        <v>56</v>
      </c>
      <c r="U1996">
        <v>1092</v>
      </c>
      <c r="V1996">
        <v>0</v>
      </c>
      <c r="W1996">
        <v>4</v>
      </c>
      <c r="X1996">
        <v>3</v>
      </c>
      <c r="Y1996">
        <v>7</v>
      </c>
      <c r="Z1996">
        <v>14</v>
      </c>
      <c r="AA1996">
        <v>3</v>
      </c>
      <c r="AB1996" t="str">
        <f t="shared" si="95"/>
        <v>Below average customer</v>
      </c>
    </row>
    <row r="1997" spans="1:28" x14ac:dyDescent="0.35">
      <c r="A1997">
        <v>10394</v>
      </c>
      <c r="B1997">
        <v>1984</v>
      </c>
      <c r="C1997" t="s">
        <v>30</v>
      </c>
      <c r="D1997" t="s">
        <v>26</v>
      </c>
      <c r="E1997" t="s">
        <v>33</v>
      </c>
      <c r="F1997">
        <v>90000</v>
      </c>
      <c r="G1997" t="str">
        <f t="shared" si="93"/>
        <v>High</v>
      </c>
      <c r="H1997">
        <v>0</v>
      </c>
      <c r="I1997">
        <v>0</v>
      </c>
      <c r="J1997">
        <v>0</v>
      </c>
      <c r="K1997" s="1">
        <v>41631</v>
      </c>
      <c r="L1997">
        <v>91</v>
      </c>
      <c r="M1997" t="str">
        <f t="shared" si="94"/>
        <v>Inactive</v>
      </c>
      <c r="N1997">
        <v>0</v>
      </c>
      <c r="O1997">
        <v>675</v>
      </c>
      <c r="P1997">
        <v>144</v>
      </c>
      <c r="Q1997">
        <v>133</v>
      </c>
      <c r="R1997">
        <v>94</v>
      </c>
      <c r="S1997">
        <v>192</v>
      </c>
      <c r="T1997">
        <v>241</v>
      </c>
      <c r="U1997">
        <v>1479</v>
      </c>
      <c r="V1997">
        <v>1</v>
      </c>
      <c r="W1997">
        <v>4</v>
      </c>
      <c r="X1997">
        <v>8</v>
      </c>
      <c r="Y1997">
        <v>5</v>
      </c>
      <c r="Z1997">
        <v>17</v>
      </c>
      <c r="AA1997">
        <v>1</v>
      </c>
      <c r="AB1997" t="str">
        <f t="shared" si="95"/>
        <v>Below average customer</v>
      </c>
    </row>
    <row r="1998" spans="1:28" x14ac:dyDescent="0.35">
      <c r="A1998">
        <v>4548</v>
      </c>
      <c r="B1998">
        <v>1981</v>
      </c>
      <c r="C1998" t="s">
        <v>31</v>
      </c>
      <c r="D1998" t="s">
        <v>26</v>
      </c>
      <c r="E1998" t="s">
        <v>27</v>
      </c>
      <c r="F1998">
        <v>41967</v>
      </c>
      <c r="G1998" t="str">
        <f t="shared" si="93"/>
        <v>Mid-low</v>
      </c>
      <c r="H1998">
        <v>1</v>
      </c>
      <c r="I1998">
        <v>1</v>
      </c>
      <c r="J1998">
        <v>2</v>
      </c>
      <c r="K1998" s="1">
        <v>41601</v>
      </c>
      <c r="L1998">
        <v>66</v>
      </c>
      <c r="M1998" t="str">
        <f t="shared" si="94"/>
        <v>Inactive</v>
      </c>
      <c r="N1998">
        <v>0</v>
      </c>
      <c r="O1998">
        <v>23</v>
      </c>
      <c r="P1998">
        <v>4</v>
      </c>
      <c r="Q1998">
        <v>10</v>
      </c>
      <c r="R1998">
        <v>0</v>
      </c>
      <c r="S1998">
        <v>2</v>
      </c>
      <c r="T1998">
        <v>15</v>
      </c>
      <c r="U1998">
        <v>54</v>
      </c>
      <c r="V1998">
        <v>1</v>
      </c>
      <c r="W1998">
        <v>1</v>
      </c>
      <c r="X1998">
        <v>0</v>
      </c>
      <c r="Y1998">
        <v>3</v>
      </c>
      <c r="Z1998">
        <v>4</v>
      </c>
      <c r="AA1998">
        <v>4</v>
      </c>
      <c r="AB1998" t="str">
        <f t="shared" si="95"/>
        <v>Below average customer</v>
      </c>
    </row>
    <row r="1999" spans="1:28" x14ac:dyDescent="0.35">
      <c r="A1999">
        <v>9362</v>
      </c>
      <c r="B1999">
        <v>1965</v>
      </c>
      <c r="C1999" t="s">
        <v>28</v>
      </c>
      <c r="D1999" t="s">
        <v>26</v>
      </c>
      <c r="E1999" t="s">
        <v>27</v>
      </c>
      <c r="F1999">
        <v>69263</v>
      </c>
      <c r="G1999" t="str">
        <f t="shared" si="93"/>
        <v>High</v>
      </c>
      <c r="H1999">
        <v>0</v>
      </c>
      <c r="I1999">
        <v>1</v>
      </c>
      <c r="J1999">
        <v>1</v>
      </c>
      <c r="K1999" s="1">
        <v>41703</v>
      </c>
      <c r="L1999">
        <v>14</v>
      </c>
      <c r="M1999" t="str">
        <f t="shared" si="94"/>
        <v>Active</v>
      </c>
      <c r="N1999">
        <v>0</v>
      </c>
      <c r="O1999">
        <v>492</v>
      </c>
      <c r="P1999">
        <v>5</v>
      </c>
      <c r="Q1999">
        <v>32</v>
      </c>
      <c r="R1999">
        <v>13</v>
      </c>
      <c r="S1999">
        <v>5</v>
      </c>
      <c r="T1999">
        <v>21</v>
      </c>
      <c r="U1999">
        <v>568</v>
      </c>
      <c r="V1999">
        <v>1</v>
      </c>
      <c r="W1999">
        <v>9</v>
      </c>
      <c r="X1999">
        <v>1</v>
      </c>
      <c r="Y1999">
        <v>7</v>
      </c>
      <c r="Z1999">
        <v>17</v>
      </c>
      <c r="AA1999">
        <v>6</v>
      </c>
      <c r="AB1999" t="str">
        <f t="shared" si="95"/>
        <v>Below average customer</v>
      </c>
    </row>
    <row r="2000" spans="1:28" x14ac:dyDescent="0.35">
      <c r="A2000">
        <v>3968</v>
      </c>
      <c r="B2000">
        <v>1970</v>
      </c>
      <c r="C2000" t="s">
        <v>28</v>
      </c>
      <c r="D2000" t="s">
        <v>34</v>
      </c>
      <c r="E2000" t="s">
        <v>35</v>
      </c>
      <c r="F2000">
        <v>65706</v>
      </c>
      <c r="G2000" t="str">
        <f t="shared" si="93"/>
        <v>Mid-high</v>
      </c>
      <c r="H2000">
        <v>0</v>
      </c>
      <c r="I2000">
        <v>0</v>
      </c>
      <c r="J2000">
        <v>0</v>
      </c>
      <c r="K2000" s="1">
        <v>41453</v>
      </c>
      <c r="L2000">
        <v>77</v>
      </c>
      <c r="M2000" t="str">
        <f t="shared" si="94"/>
        <v>Inactive</v>
      </c>
      <c r="N2000">
        <v>0</v>
      </c>
      <c r="O2000">
        <v>918</v>
      </c>
      <c r="P2000">
        <v>10</v>
      </c>
      <c r="Q2000">
        <v>129</v>
      </c>
      <c r="R2000">
        <v>13</v>
      </c>
      <c r="S2000">
        <v>0</v>
      </c>
      <c r="T2000">
        <v>129</v>
      </c>
      <c r="U2000">
        <v>1199</v>
      </c>
      <c r="V2000">
        <v>1</v>
      </c>
      <c r="W2000">
        <v>11</v>
      </c>
      <c r="X2000">
        <v>3</v>
      </c>
      <c r="Y2000">
        <v>12</v>
      </c>
      <c r="Z2000">
        <v>26</v>
      </c>
      <c r="AA2000">
        <v>7</v>
      </c>
      <c r="AB2000" t="str">
        <f t="shared" si="95"/>
        <v>Below average customer</v>
      </c>
    </row>
    <row r="2001" spans="1:28" x14ac:dyDescent="0.35">
      <c r="A2001">
        <v>4084</v>
      </c>
      <c r="B2001">
        <v>1975</v>
      </c>
      <c r="C2001" t="s">
        <v>31</v>
      </c>
      <c r="D2001" t="s">
        <v>26</v>
      </c>
      <c r="E2001" t="s">
        <v>29</v>
      </c>
      <c r="F2001">
        <v>60934</v>
      </c>
      <c r="G2001" t="str">
        <f t="shared" si="93"/>
        <v>Mid-high</v>
      </c>
      <c r="H2001">
        <v>0</v>
      </c>
      <c r="I2001">
        <v>1</v>
      </c>
      <c r="J2001">
        <v>1</v>
      </c>
      <c r="K2001" s="1">
        <v>41656</v>
      </c>
      <c r="L2001">
        <v>41</v>
      </c>
      <c r="M2001" t="str">
        <f t="shared" si="94"/>
        <v>Active</v>
      </c>
      <c r="N2001">
        <v>0</v>
      </c>
      <c r="O2001">
        <v>224</v>
      </c>
      <c r="P2001">
        <v>155</v>
      </c>
      <c r="Q2001">
        <v>155</v>
      </c>
      <c r="R2001">
        <v>192</v>
      </c>
      <c r="S2001">
        <v>93</v>
      </c>
      <c r="T2001">
        <v>54</v>
      </c>
      <c r="U2001">
        <v>873</v>
      </c>
      <c r="V2001">
        <v>2</v>
      </c>
      <c r="W2001">
        <v>6</v>
      </c>
      <c r="X2001">
        <v>4</v>
      </c>
      <c r="Y2001">
        <v>11</v>
      </c>
      <c r="Z2001">
        <v>21</v>
      </c>
      <c r="AA2001">
        <v>4</v>
      </c>
      <c r="AB2001" t="str">
        <f t="shared" si="95"/>
        <v>Above average customer</v>
      </c>
    </row>
    <row r="2002" spans="1:28" x14ac:dyDescent="0.35">
      <c r="A2002">
        <v>6721</v>
      </c>
      <c r="B2002">
        <v>1951</v>
      </c>
      <c r="C2002" t="s">
        <v>36</v>
      </c>
      <c r="D2002" t="s">
        <v>26</v>
      </c>
      <c r="E2002" t="s">
        <v>33</v>
      </c>
      <c r="F2002">
        <v>71965</v>
      </c>
      <c r="G2002" t="str">
        <f t="shared" si="93"/>
        <v>High</v>
      </c>
      <c r="H2002">
        <v>0</v>
      </c>
      <c r="I2002">
        <v>1</v>
      </c>
      <c r="J2002">
        <v>1</v>
      </c>
      <c r="K2002" s="1">
        <v>41484</v>
      </c>
      <c r="L2002">
        <v>21</v>
      </c>
      <c r="M2002" t="str">
        <f t="shared" si="94"/>
        <v>Active</v>
      </c>
      <c r="N2002">
        <v>0</v>
      </c>
      <c r="O2002">
        <v>572</v>
      </c>
      <c r="P2002">
        <v>19</v>
      </c>
      <c r="Q2002">
        <v>286</v>
      </c>
      <c r="R2002">
        <v>50</v>
      </c>
      <c r="S2002">
        <v>38</v>
      </c>
      <c r="T2002">
        <v>248</v>
      </c>
      <c r="U2002">
        <v>1213</v>
      </c>
      <c r="V2002">
        <v>3</v>
      </c>
      <c r="W2002">
        <v>6</v>
      </c>
      <c r="X2002">
        <v>3</v>
      </c>
      <c r="Y2002">
        <v>5</v>
      </c>
      <c r="Z2002">
        <v>14</v>
      </c>
      <c r="AA2002">
        <v>3</v>
      </c>
      <c r="AB2002" t="str">
        <f t="shared" si="95"/>
        <v>Above average customer</v>
      </c>
    </row>
    <row r="2003" spans="1:28" x14ac:dyDescent="0.35">
      <c r="A2003">
        <v>2829</v>
      </c>
      <c r="B2003">
        <v>1955</v>
      </c>
      <c r="C2003" t="s">
        <v>25</v>
      </c>
      <c r="D2003" t="s">
        <v>26</v>
      </c>
      <c r="E2003" t="s">
        <v>33</v>
      </c>
      <c r="F2003">
        <v>65210</v>
      </c>
      <c r="G2003" t="str">
        <f t="shared" si="93"/>
        <v>Mid-high</v>
      </c>
      <c r="H2003">
        <v>0</v>
      </c>
      <c r="I2003">
        <v>1</v>
      </c>
      <c r="J2003">
        <v>1</v>
      </c>
      <c r="K2003" s="1">
        <v>41708</v>
      </c>
      <c r="L2003">
        <v>25</v>
      </c>
      <c r="M2003" t="str">
        <f t="shared" si="94"/>
        <v>Active</v>
      </c>
      <c r="N2003">
        <v>0</v>
      </c>
      <c r="O2003">
        <v>626</v>
      </c>
      <c r="P2003">
        <v>0</v>
      </c>
      <c r="Q2003">
        <v>70</v>
      </c>
      <c r="R2003">
        <v>0</v>
      </c>
      <c r="S2003">
        <v>7</v>
      </c>
      <c r="T2003">
        <v>28</v>
      </c>
      <c r="U2003">
        <v>731</v>
      </c>
      <c r="V2003">
        <v>2</v>
      </c>
      <c r="W2003">
        <v>9</v>
      </c>
      <c r="X2003">
        <v>3</v>
      </c>
      <c r="Y2003">
        <v>8</v>
      </c>
      <c r="Z2003">
        <v>20</v>
      </c>
      <c r="AA2003">
        <v>6</v>
      </c>
      <c r="AB2003" t="str">
        <f t="shared" si="95"/>
        <v>Above average customer</v>
      </c>
    </row>
    <row r="2004" spans="1:28" x14ac:dyDescent="0.35">
      <c r="A2004">
        <v>1772</v>
      </c>
      <c r="B2004">
        <v>1975</v>
      </c>
      <c r="C2004" t="s">
        <v>31</v>
      </c>
      <c r="D2004" t="s">
        <v>32</v>
      </c>
      <c r="E2004" t="s">
        <v>33</v>
      </c>
      <c r="F2004">
        <v>79174</v>
      </c>
      <c r="G2004" t="str">
        <f t="shared" si="93"/>
        <v>High</v>
      </c>
      <c r="H2004">
        <v>0</v>
      </c>
      <c r="I2004">
        <v>0</v>
      </c>
      <c r="J2004">
        <v>0</v>
      </c>
      <c r="K2004" s="1">
        <v>41285</v>
      </c>
      <c r="L2004">
        <v>2</v>
      </c>
      <c r="M2004" t="str">
        <f t="shared" si="94"/>
        <v>Active</v>
      </c>
      <c r="N2004">
        <v>0</v>
      </c>
      <c r="O2004">
        <v>1074</v>
      </c>
      <c r="P2004">
        <v>37</v>
      </c>
      <c r="Q2004">
        <v>518</v>
      </c>
      <c r="R2004">
        <v>193</v>
      </c>
      <c r="S2004">
        <v>92</v>
      </c>
      <c r="T2004">
        <v>129</v>
      </c>
      <c r="U2004">
        <v>2043</v>
      </c>
      <c r="V2004">
        <v>1</v>
      </c>
      <c r="W2004">
        <v>5</v>
      </c>
      <c r="X2004">
        <v>6</v>
      </c>
      <c r="Y2004">
        <v>7</v>
      </c>
      <c r="Z2004">
        <v>18</v>
      </c>
      <c r="AA2004">
        <v>2</v>
      </c>
      <c r="AB2004" t="str">
        <f t="shared" si="95"/>
        <v>Above average customer</v>
      </c>
    </row>
    <row r="2005" spans="1:28" x14ac:dyDescent="0.35">
      <c r="A2005">
        <v>1544</v>
      </c>
      <c r="B2005">
        <v>1967</v>
      </c>
      <c r="C2005" t="s">
        <v>28</v>
      </c>
      <c r="D2005" t="s">
        <v>34</v>
      </c>
      <c r="E2005" t="s">
        <v>35</v>
      </c>
      <c r="F2005">
        <v>81380</v>
      </c>
      <c r="G2005" t="str">
        <f t="shared" si="93"/>
        <v>High</v>
      </c>
      <c r="H2005">
        <v>0</v>
      </c>
      <c r="I2005">
        <v>0</v>
      </c>
      <c r="J2005">
        <v>0</v>
      </c>
      <c r="K2005" s="1">
        <v>41265</v>
      </c>
      <c r="L2005">
        <v>51</v>
      </c>
      <c r="M2005" t="str">
        <f t="shared" si="94"/>
        <v>Inactive</v>
      </c>
      <c r="N2005">
        <v>0</v>
      </c>
      <c r="O2005">
        <v>741</v>
      </c>
      <c r="P2005">
        <v>68</v>
      </c>
      <c r="Q2005">
        <v>689</v>
      </c>
      <c r="R2005">
        <v>224</v>
      </c>
      <c r="S2005">
        <v>68</v>
      </c>
      <c r="T2005">
        <v>103</v>
      </c>
      <c r="U2005">
        <v>1893</v>
      </c>
      <c r="V2005">
        <v>1</v>
      </c>
      <c r="W2005">
        <v>4</v>
      </c>
      <c r="X2005">
        <v>2</v>
      </c>
      <c r="Y2005">
        <v>10</v>
      </c>
      <c r="Z2005">
        <v>16</v>
      </c>
      <c r="AA2005">
        <v>2</v>
      </c>
      <c r="AB2005" t="str">
        <f t="shared" si="95"/>
        <v>Below average customer</v>
      </c>
    </row>
    <row r="2006" spans="1:28" x14ac:dyDescent="0.35">
      <c r="A2006">
        <v>492</v>
      </c>
      <c r="B2006">
        <v>1973</v>
      </c>
      <c r="C2006" t="s">
        <v>31</v>
      </c>
      <c r="D2006" t="s">
        <v>32</v>
      </c>
      <c r="E2006" t="s">
        <v>27</v>
      </c>
      <c r="F2006">
        <v>48432</v>
      </c>
      <c r="G2006" t="str">
        <f t="shared" si="93"/>
        <v>Mid-low</v>
      </c>
      <c r="H2006">
        <v>0</v>
      </c>
      <c r="I2006">
        <v>1</v>
      </c>
      <c r="J2006">
        <v>1</v>
      </c>
      <c r="K2006" s="1">
        <v>41200</v>
      </c>
      <c r="L2006">
        <v>3</v>
      </c>
      <c r="M2006" t="str">
        <f t="shared" si="94"/>
        <v>Active</v>
      </c>
      <c r="N2006">
        <v>0</v>
      </c>
      <c r="O2006">
        <v>322</v>
      </c>
      <c r="P2006">
        <v>3</v>
      </c>
      <c r="Q2006">
        <v>50</v>
      </c>
      <c r="R2006">
        <v>4</v>
      </c>
      <c r="S2006">
        <v>3</v>
      </c>
      <c r="T2006">
        <v>42</v>
      </c>
      <c r="U2006">
        <v>424</v>
      </c>
      <c r="V2006">
        <v>5</v>
      </c>
      <c r="W2006">
        <v>7</v>
      </c>
      <c r="X2006">
        <v>1</v>
      </c>
      <c r="Y2006">
        <v>6</v>
      </c>
      <c r="Z2006">
        <v>14</v>
      </c>
      <c r="AA2006">
        <v>8</v>
      </c>
      <c r="AB2006" t="str">
        <f t="shared" si="95"/>
        <v>Below average customer</v>
      </c>
    </row>
    <row r="2007" spans="1:28" x14ac:dyDescent="0.35">
      <c r="A2007">
        <v>4377</v>
      </c>
      <c r="B2007">
        <v>1971</v>
      </c>
      <c r="C2007" t="s">
        <v>28</v>
      </c>
      <c r="D2007" t="s">
        <v>26</v>
      </c>
      <c r="E2007" t="s">
        <v>33</v>
      </c>
      <c r="F2007">
        <v>52914</v>
      </c>
      <c r="G2007" t="str">
        <f t="shared" si="93"/>
        <v>Mid-high</v>
      </c>
      <c r="H2007">
        <v>0</v>
      </c>
      <c r="I2007">
        <v>1</v>
      </c>
      <c r="J2007">
        <v>1</v>
      </c>
      <c r="K2007" s="1">
        <v>41281</v>
      </c>
      <c r="L2007">
        <v>32</v>
      </c>
      <c r="M2007" t="str">
        <f t="shared" si="94"/>
        <v>Active</v>
      </c>
      <c r="N2007">
        <v>0</v>
      </c>
      <c r="O2007">
        <v>254</v>
      </c>
      <c r="P2007">
        <v>10</v>
      </c>
      <c r="Q2007">
        <v>44</v>
      </c>
      <c r="R2007">
        <v>30</v>
      </c>
      <c r="S2007">
        <v>10</v>
      </c>
      <c r="T2007">
        <v>227</v>
      </c>
      <c r="U2007">
        <v>575</v>
      </c>
      <c r="V2007">
        <v>2</v>
      </c>
      <c r="W2007">
        <v>7</v>
      </c>
      <c r="X2007">
        <v>3</v>
      </c>
      <c r="Y2007">
        <v>3</v>
      </c>
      <c r="Z2007">
        <v>13</v>
      </c>
      <c r="AA2007">
        <v>7</v>
      </c>
      <c r="AB2007" t="str">
        <f t="shared" si="95"/>
        <v>Below average customer</v>
      </c>
    </row>
    <row r="2008" spans="1:28" x14ac:dyDescent="0.35">
      <c r="A2008">
        <v>1321</v>
      </c>
      <c r="B2008">
        <v>1974</v>
      </c>
      <c r="C2008" t="s">
        <v>31</v>
      </c>
      <c r="D2008" t="s">
        <v>26</v>
      </c>
      <c r="E2008" t="s">
        <v>33</v>
      </c>
      <c r="F2008">
        <v>26067</v>
      </c>
      <c r="G2008" t="str">
        <f t="shared" si="93"/>
        <v>Low</v>
      </c>
      <c r="H2008">
        <v>1</v>
      </c>
      <c r="I2008">
        <v>0</v>
      </c>
      <c r="J2008">
        <v>1</v>
      </c>
      <c r="K2008" s="1">
        <v>41582</v>
      </c>
      <c r="L2008">
        <v>49</v>
      </c>
      <c r="M2008" t="str">
        <f t="shared" si="94"/>
        <v>Inactive</v>
      </c>
      <c r="N2008">
        <v>0</v>
      </c>
      <c r="O2008">
        <v>22</v>
      </c>
      <c r="P2008">
        <v>2</v>
      </c>
      <c r="Q2008">
        <v>18</v>
      </c>
      <c r="R2008">
        <v>0</v>
      </c>
      <c r="S2008">
        <v>2</v>
      </c>
      <c r="T2008">
        <v>12</v>
      </c>
      <c r="U2008">
        <v>56</v>
      </c>
      <c r="V2008">
        <v>3</v>
      </c>
      <c r="W2008">
        <v>3</v>
      </c>
      <c r="X2008">
        <v>0</v>
      </c>
      <c r="Y2008">
        <v>3</v>
      </c>
      <c r="Z2008">
        <v>6</v>
      </c>
      <c r="AA2008">
        <v>8</v>
      </c>
      <c r="AB2008" t="str">
        <f t="shared" si="95"/>
        <v>Below average customer</v>
      </c>
    </row>
    <row r="2009" spans="1:28" x14ac:dyDescent="0.35">
      <c r="A2009">
        <v>8858</v>
      </c>
      <c r="B2009">
        <v>1972</v>
      </c>
      <c r="C2009" t="s">
        <v>28</v>
      </c>
      <c r="D2009" t="s">
        <v>32</v>
      </c>
      <c r="E2009" t="s">
        <v>33</v>
      </c>
      <c r="F2009">
        <v>44325</v>
      </c>
      <c r="G2009" t="str">
        <f t="shared" si="93"/>
        <v>Mid-low</v>
      </c>
      <c r="H2009">
        <v>0</v>
      </c>
      <c r="I2009">
        <v>1</v>
      </c>
      <c r="J2009">
        <v>1</v>
      </c>
      <c r="K2009" s="1">
        <v>41340</v>
      </c>
      <c r="L2009">
        <v>69</v>
      </c>
      <c r="M2009" t="str">
        <f t="shared" si="94"/>
        <v>Inactive</v>
      </c>
      <c r="N2009">
        <v>0</v>
      </c>
      <c r="O2009">
        <v>516</v>
      </c>
      <c r="P2009">
        <v>0</v>
      </c>
      <c r="Q2009">
        <v>21</v>
      </c>
      <c r="R2009">
        <v>0</v>
      </c>
      <c r="S2009">
        <v>0</v>
      </c>
      <c r="T2009">
        <v>5</v>
      </c>
      <c r="U2009">
        <v>542</v>
      </c>
      <c r="V2009">
        <v>4</v>
      </c>
      <c r="W2009">
        <v>8</v>
      </c>
      <c r="X2009">
        <v>2</v>
      </c>
      <c r="Y2009">
        <v>7</v>
      </c>
      <c r="Z2009">
        <v>17</v>
      </c>
      <c r="AA2009">
        <v>8</v>
      </c>
      <c r="AB2009" t="str">
        <f t="shared" si="95"/>
        <v>Below average customer</v>
      </c>
    </row>
    <row r="2010" spans="1:28" x14ac:dyDescent="0.35">
      <c r="A2010">
        <v>11187</v>
      </c>
      <c r="B2010">
        <v>1978</v>
      </c>
      <c r="C2010" t="s">
        <v>31</v>
      </c>
      <c r="D2010" t="s">
        <v>37</v>
      </c>
      <c r="E2010" t="s">
        <v>27</v>
      </c>
      <c r="F2010">
        <v>26487</v>
      </c>
      <c r="G2010" t="str">
        <f t="shared" si="93"/>
        <v>Low</v>
      </c>
      <c r="H2010">
        <v>1</v>
      </c>
      <c r="I2010">
        <v>0</v>
      </c>
      <c r="J2010">
        <v>1</v>
      </c>
      <c r="K2010" s="1">
        <v>41414</v>
      </c>
      <c r="L2010">
        <v>23</v>
      </c>
      <c r="M2010" t="str">
        <f t="shared" si="94"/>
        <v>Active</v>
      </c>
      <c r="N2010">
        <v>0</v>
      </c>
      <c r="O2010">
        <v>2</v>
      </c>
      <c r="P2010">
        <v>8</v>
      </c>
      <c r="Q2010">
        <v>10</v>
      </c>
      <c r="R2010">
        <v>12</v>
      </c>
      <c r="S2010">
        <v>14</v>
      </c>
      <c r="T2010">
        <v>23</v>
      </c>
      <c r="U2010">
        <v>69</v>
      </c>
      <c r="V2010">
        <v>3</v>
      </c>
      <c r="W2010">
        <v>2</v>
      </c>
      <c r="X2010">
        <v>1</v>
      </c>
      <c r="Y2010">
        <v>3</v>
      </c>
      <c r="Z2010">
        <v>6</v>
      </c>
      <c r="AA2010">
        <v>5</v>
      </c>
      <c r="AB2010" t="str">
        <f t="shared" si="95"/>
        <v>Below average customer</v>
      </c>
    </row>
    <row r="2011" spans="1:28" x14ac:dyDescent="0.35">
      <c r="A2011">
        <v>8207</v>
      </c>
      <c r="B2011">
        <v>1957</v>
      </c>
      <c r="C2011" t="s">
        <v>25</v>
      </c>
      <c r="D2011" t="s">
        <v>34</v>
      </c>
      <c r="E2011" t="s">
        <v>33</v>
      </c>
      <c r="F2011">
        <v>53233</v>
      </c>
      <c r="G2011" t="str">
        <f t="shared" si="93"/>
        <v>Mid-high</v>
      </c>
      <c r="H2011">
        <v>0</v>
      </c>
      <c r="I2011">
        <v>1</v>
      </c>
      <c r="J2011">
        <v>1</v>
      </c>
      <c r="K2011" s="1">
        <v>41716</v>
      </c>
      <c r="L2011">
        <v>18</v>
      </c>
      <c r="M2011" t="str">
        <f t="shared" si="94"/>
        <v>Active</v>
      </c>
      <c r="N2011">
        <v>0</v>
      </c>
      <c r="O2011">
        <v>28</v>
      </c>
      <c r="P2011">
        <v>0</v>
      </c>
      <c r="Q2011">
        <v>9</v>
      </c>
      <c r="R2011">
        <v>3</v>
      </c>
      <c r="S2011">
        <v>0</v>
      </c>
      <c r="T2011">
        <v>0</v>
      </c>
      <c r="U2011">
        <v>40</v>
      </c>
      <c r="V2011">
        <v>1</v>
      </c>
      <c r="W2011">
        <v>1</v>
      </c>
      <c r="X2011">
        <v>0</v>
      </c>
      <c r="Y2011">
        <v>3</v>
      </c>
      <c r="Z2011">
        <v>4</v>
      </c>
      <c r="AA2011">
        <v>4</v>
      </c>
      <c r="AB2011" t="str">
        <f t="shared" si="95"/>
        <v>Below average customer</v>
      </c>
    </row>
    <row r="2012" spans="1:28" x14ac:dyDescent="0.35">
      <c r="A2012">
        <v>9723</v>
      </c>
      <c r="B2012">
        <v>1960</v>
      </c>
      <c r="C2012" t="s">
        <v>25</v>
      </c>
      <c r="D2012" t="s">
        <v>26</v>
      </c>
      <c r="E2012" t="s">
        <v>33</v>
      </c>
      <c r="F2012">
        <v>67716</v>
      </c>
      <c r="G2012" t="str">
        <f t="shared" si="93"/>
        <v>Mid-high</v>
      </c>
      <c r="H2012">
        <v>0</v>
      </c>
      <c r="I2012">
        <v>1</v>
      </c>
      <c r="J2012">
        <v>1</v>
      </c>
      <c r="K2012" s="1">
        <v>41284</v>
      </c>
      <c r="L2012">
        <v>8</v>
      </c>
      <c r="M2012" t="str">
        <f t="shared" si="94"/>
        <v>Active</v>
      </c>
      <c r="N2012">
        <v>0</v>
      </c>
      <c r="O2012">
        <v>530</v>
      </c>
      <c r="P2012">
        <v>142</v>
      </c>
      <c r="Q2012">
        <v>217</v>
      </c>
      <c r="R2012">
        <v>62</v>
      </c>
      <c r="S2012">
        <v>9</v>
      </c>
      <c r="T2012">
        <v>56</v>
      </c>
      <c r="U2012">
        <v>1016</v>
      </c>
      <c r="V2012">
        <v>4</v>
      </c>
      <c r="W2012">
        <v>7</v>
      </c>
      <c r="X2012">
        <v>4</v>
      </c>
      <c r="Y2012">
        <v>13</v>
      </c>
      <c r="Z2012">
        <v>24</v>
      </c>
      <c r="AA2012">
        <v>5</v>
      </c>
      <c r="AB2012" t="str">
        <f t="shared" si="95"/>
        <v>Above average customer</v>
      </c>
    </row>
    <row r="2013" spans="1:28" x14ac:dyDescent="0.35">
      <c r="A2013">
        <v>2666</v>
      </c>
      <c r="B2013">
        <v>1972</v>
      </c>
      <c r="C2013" t="s">
        <v>28</v>
      </c>
      <c r="D2013" t="s">
        <v>34</v>
      </c>
      <c r="E2013" t="s">
        <v>33</v>
      </c>
      <c r="F2013">
        <v>76234</v>
      </c>
      <c r="G2013" t="str">
        <f t="shared" si="93"/>
        <v>High</v>
      </c>
      <c r="H2013">
        <v>0</v>
      </c>
      <c r="I2013">
        <v>1</v>
      </c>
      <c r="J2013">
        <v>1</v>
      </c>
      <c r="K2013" s="1">
        <v>41676</v>
      </c>
      <c r="L2013">
        <v>21</v>
      </c>
      <c r="M2013" t="str">
        <f t="shared" si="94"/>
        <v>Active</v>
      </c>
      <c r="N2013">
        <v>0</v>
      </c>
      <c r="O2013">
        <v>519</v>
      </c>
      <c r="P2013">
        <v>50</v>
      </c>
      <c r="Q2013">
        <v>167</v>
      </c>
      <c r="R2013">
        <v>130</v>
      </c>
      <c r="S2013">
        <v>0</v>
      </c>
      <c r="T2013">
        <v>41</v>
      </c>
      <c r="U2013">
        <v>907</v>
      </c>
      <c r="V2013">
        <v>1</v>
      </c>
      <c r="W2013">
        <v>8</v>
      </c>
      <c r="X2013">
        <v>3</v>
      </c>
      <c r="Y2013">
        <v>11</v>
      </c>
      <c r="Z2013">
        <v>22</v>
      </c>
      <c r="AA2013">
        <v>3</v>
      </c>
      <c r="AB2013" t="str">
        <f t="shared" si="95"/>
        <v>Above average customer</v>
      </c>
    </row>
    <row r="2014" spans="1:28" x14ac:dyDescent="0.35">
      <c r="A2014">
        <v>5721</v>
      </c>
      <c r="B2014">
        <v>1956</v>
      </c>
      <c r="C2014" t="s">
        <v>25</v>
      </c>
      <c r="D2014" t="s">
        <v>32</v>
      </c>
      <c r="E2014" t="s">
        <v>33</v>
      </c>
      <c r="F2014">
        <v>84117</v>
      </c>
      <c r="G2014" t="str">
        <f t="shared" si="93"/>
        <v>High</v>
      </c>
      <c r="H2014">
        <v>0</v>
      </c>
      <c r="I2014">
        <v>0</v>
      </c>
      <c r="J2014">
        <v>0</v>
      </c>
      <c r="K2014" s="1">
        <v>41770</v>
      </c>
      <c r="L2014">
        <v>60</v>
      </c>
      <c r="M2014" t="str">
        <f t="shared" si="94"/>
        <v>Inactive</v>
      </c>
      <c r="N2014">
        <v>0</v>
      </c>
      <c r="O2014">
        <v>611</v>
      </c>
      <c r="P2014">
        <v>76</v>
      </c>
      <c r="Q2014">
        <v>749</v>
      </c>
      <c r="R2014">
        <v>59</v>
      </c>
      <c r="S2014">
        <v>45</v>
      </c>
      <c r="T2014">
        <v>26</v>
      </c>
      <c r="U2014">
        <v>1566</v>
      </c>
      <c r="V2014">
        <v>1</v>
      </c>
      <c r="W2014">
        <v>7</v>
      </c>
      <c r="X2014">
        <v>10</v>
      </c>
      <c r="Y2014">
        <v>6</v>
      </c>
      <c r="Z2014">
        <v>23</v>
      </c>
      <c r="AA2014">
        <v>2</v>
      </c>
      <c r="AB2014" t="str">
        <f t="shared" si="95"/>
        <v>Below average customer</v>
      </c>
    </row>
    <row r="2015" spans="1:28" x14ac:dyDescent="0.35">
      <c r="A2015">
        <v>10652</v>
      </c>
      <c r="B2015">
        <v>1957</v>
      </c>
      <c r="C2015" t="s">
        <v>25</v>
      </c>
      <c r="D2015" t="s">
        <v>34</v>
      </c>
      <c r="E2015" t="s">
        <v>29</v>
      </c>
      <c r="F2015">
        <v>65487</v>
      </c>
      <c r="G2015" t="str">
        <f t="shared" si="93"/>
        <v>Mid-high</v>
      </c>
      <c r="H2015">
        <v>0</v>
      </c>
      <c r="I2015">
        <v>0</v>
      </c>
      <c r="J2015">
        <v>0</v>
      </c>
      <c r="K2015" s="1">
        <v>41649</v>
      </c>
      <c r="L2015">
        <v>48</v>
      </c>
      <c r="M2015" t="str">
        <f t="shared" si="94"/>
        <v>Active</v>
      </c>
      <c r="N2015">
        <v>0</v>
      </c>
      <c r="O2015">
        <v>240</v>
      </c>
      <c r="P2015">
        <v>67</v>
      </c>
      <c r="Q2015">
        <v>500</v>
      </c>
      <c r="R2015">
        <v>199</v>
      </c>
      <c r="S2015">
        <v>0</v>
      </c>
      <c r="T2015">
        <v>163</v>
      </c>
      <c r="U2015">
        <v>1169</v>
      </c>
      <c r="V2015">
        <v>3</v>
      </c>
      <c r="W2015">
        <v>3</v>
      </c>
      <c r="X2015">
        <v>5</v>
      </c>
      <c r="Y2015">
        <v>6</v>
      </c>
      <c r="Z2015">
        <v>14</v>
      </c>
      <c r="AA2015">
        <v>2</v>
      </c>
      <c r="AB2015" t="str">
        <f t="shared" si="95"/>
        <v>Above average customer</v>
      </c>
    </row>
    <row r="2016" spans="1:28" x14ac:dyDescent="0.35">
      <c r="A2016">
        <v>1646</v>
      </c>
      <c r="B2016">
        <v>1972</v>
      </c>
      <c r="C2016" t="s">
        <v>28</v>
      </c>
      <c r="D2016" t="s">
        <v>37</v>
      </c>
      <c r="E2016" t="s">
        <v>33</v>
      </c>
      <c r="F2016">
        <v>25224</v>
      </c>
      <c r="G2016" t="str">
        <f t="shared" si="93"/>
        <v>Low</v>
      </c>
      <c r="H2016">
        <v>1</v>
      </c>
      <c r="I2016">
        <v>0</v>
      </c>
      <c r="J2016">
        <v>1</v>
      </c>
      <c r="K2016" s="1">
        <v>41714</v>
      </c>
      <c r="L2016">
        <v>36</v>
      </c>
      <c r="M2016" t="str">
        <f t="shared" si="94"/>
        <v>Active</v>
      </c>
      <c r="N2016">
        <v>0</v>
      </c>
      <c r="O2016">
        <v>4</v>
      </c>
      <c r="P2016">
        <v>9</v>
      </c>
      <c r="Q2016">
        <v>12</v>
      </c>
      <c r="R2016">
        <v>11</v>
      </c>
      <c r="S2016">
        <v>2</v>
      </c>
      <c r="T2016">
        <v>8</v>
      </c>
      <c r="U2016">
        <v>46</v>
      </c>
      <c r="V2016">
        <v>2</v>
      </c>
      <c r="W2016">
        <v>1</v>
      </c>
      <c r="X2016">
        <v>1</v>
      </c>
      <c r="Y2016">
        <v>3</v>
      </c>
      <c r="Z2016">
        <v>5</v>
      </c>
      <c r="AA2016">
        <v>3</v>
      </c>
      <c r="AB2016" t="str">
        <f t="shared" si="95"/>
        <v>Below average customer</v>
      </c>
    </row>
    <row r="2017" spans="1:28" x14ac:dyDescent="0.35">
      <c r="A2017">
        <v>4418</v>
      </c>
      <c r="B2017">
        <v>1983</v>
      </c>
      <c r="C2017" t="s">
        <v>30</v>
      </c>
      <c r="D2017" t="s">
        <v>34</v>
      </c>
      <c r="E2017" t="s">
        <v>27</v>
      </c>
      <c r="F2017">
        <v>89616</v>
      </c>
      <c r="G2017" t="str">
        <f t="shared" si="93"/>
        <v>High</v>
      </c>
      <c r="H2017">
        <v>0</v>
      </c>
      <c r="I2017">
        <v>0</v>
      </c>
      <c r="J2017">
        <v>0</v>
      </c>
      <c r="K2017" s="1">
        <v>41330</v>
      </c>
      <c r="L2017">
        <v>36</v>
      </c>
      <c r="M2017" t="str">
        <f t="shared" si="94"/>
        <v>Active</v>
      </c>
      <c r="N2017">
        <v>0</v>
      </c>
      <c r="O2017">
        <v>671</v>
      </c>
      <c r="P2017">
        <v>47</v>
      </c>
      <c r="Q2017">
        <v>655</v>
      </c>
      <c r="R2017">
        <v>145</v>
      </c>
      <c r="S2017">
        <v>111</v>
      </c>
      <c r="T2017">
        <v>15</v>
      </c>
      <c r="U2017">
        <v>1644</v>
      </c>
      <c r="V2017">
        <v>1</v>
      </c>
      <c r="W2017">
        <v>7</v>
      </c>
      <c r="X2017">
        <v>5</v>
      </c>
      <c r="Y2017">
        <v>12</v>
      </c>
      <c r="Z2017">
        <v>24</v>
      </c>
      <c r="AA2017">
        <v>2</v>
      </c>
      <c r="AB2017" t="str">
        <f t="shared" si="95"/>
        <v>Above average customer</v>
      </c>
    </row>
    <row r="2018" spans="1:28" x14ac:dyDescent="0.35">
      <c r="A2018">
        <v>2656</v>
      </c>
      <c r="B2018">
        <v>1971</v>
      </c>
      <c r="C2018" t="s">
        <v>28</v>
      </c>
      <c r="D2018" t="s">
        <v>26</v>
      </c>
      <c r="E2018" t="s">
        <v>35</v>
      </c>
      <c r="F2018">
        <v>40851</v>
      </c>
      <c r="G2018" t="str">
        <f t="shared" si="93"/>
        <v>Mid-low</v>
      </c>
      <c r="H2018">
        <v>1</v>
      </c>
      <c r="I2018">
        <v>1</v>
      </c>
      <c r="J2018">
        <v>2</v>
      </c>
      <c r="K2018" s="1">
        <v>41326</v>
      </c>
      <c r="L2018">
        <v>63</v>
      </c>
      <c r="M2018" t="str">
        <f t="shared" si="94"/>
        <v>Inactive</v>
      </c>
      <c r="N2018">
        <v>0</v>
      </c>
      <c r="O2018">
        <v>23</v>
      </c>
      <c r="P2018">
        <v>1</v>
      </c>
      <c r="Q2018">
        <v>7</v>
      </c>
      <c r="R2018">
        <v>0</v>
      </c>
      <c r="S2018">
        <v>4</v>
      </c>
      <c r="T2018">
        <v>24</v>
      </c>
      <c r="U2018">
        <v>59</v>
      </c>
      <c r="V2018">
        <v>1</v>
      </c>
      <c r="W2018">
        <v>1</v>
      </c>
      <c r="X2018">
        <v>1</v>
      </c>
      <c r="Y2018">
        <v>2</v>
      </c>
      <c r="Z2018">
        <v>4</v>
      </c>
      <c r="AA2018">
        <v>7</v>
      </c>
      <c r="AB2018" t="str">
        <f t="shared" si="95"/>
        <v>Below average customer</v>
      </c>
    </row>
    <row r="2019" spans="1:28" x14ac:dyDescent="0.35">
      <c r="A2019">
        <v>7990</v>
      </c>
      <c r="B2019">
        <v>1947</v>
      </c>
      <c r="C2019" t="s">
        <v>36</v>
      </c>
      <c r="D2019" t="s">
        <v>26</v>
      </c>
      <c r="E2019" t="s">
        <v>33</v>
      </c>
      <c r="F2019">
        <v>27469</v>
      </c>
      <c r="G2019" t="str">
        <f t="shared" si="93"/>
        <v>Low</v>
      </c>
      <c r="H2019">
        <v>0</v>
      </c>
      <c r="I2019">
        <v>0</v>
      </c>
      <c r="J2019">
        <v>0</v>
      </c>
      <c r="K2019" s="1">
        <v>41123</v>
      </c>
      <c r="L2019">
        <v>2</v>
      </c>
      <c r="M2019" t="str">
        <f t="shared" si="94"/>
        <v>Active</v>
      </c>
      <c r="N2019">
        <v>0</v>
      </c>
      <c r="O2019">
        <v>9</v>
      </c>
      <c r="P2019">
        <v>1</v>
      </c>
      <c r="Q2019">
        <v>2</v>
      </c>
      <c r="R2019">
        <v>3</v>
      </c>
      <c r="S2019">
        <v>2</v>
      </c>
      <c r="T2019">
        <v>0</v>
      </c>
      <c r="U2019">
        <v>17</v>
      </c>
      <c r="V2019">
        <v>1</v>
      </c>
      <c r="W2019">
        <v>0</v>
      </c>
      <c r="X2019">
        <v>0</v>
      </c>
      <c r="Y2019">
        <v>3</v>
      </c>
      <c r="Z2019">
        <v>3</v>
      </c>
      <c r="AA2019">
        <v>6</v>
      </c>
      <c r="AB2019" t="str">
        <f t="shared" si="95"/>
        <v>Below average customer</v>
      </c>
    </row>
    <row r="2020" spans="1:28" x14ac:dyDescent="0.35">
      <c r="A2020">
        <v>8722</v>
      </c>
      <c r="B2020">
        <v>1957</v>
      </c>
      <c r="C2020" t="s">
        <v>25</v>
      </c>
      <c r="D2020" t="s">
        <v>34</v>
      </c>
      <c r="E2020" t="s">
        <v>33</v>
      </c>
      <c r="F2020">
        <v>82347</v>
      </c>
      <c r="G2020" t="str">
        <f t="shared" si="93"/>
        <v>High</v>
      </c>
      <c r="H2020">
        <v>0</v>
      </c>
      <c r="I2020">
        <v>0</v>
      </c>
      <c r="J2020">
        <v>0</v>
      </c>
      <c r="K2020" s="1">
        <v>41219</v>
      </c>
      <c r="L2020">
        <v>38</v>
      </c>
      <c r="M2020" t="str">
        <f t="shared" si="94"/>
        <v>Active</v>
      </c>
      <c r="N2020">
        <v>0</v>
      </c>
      <c r="O2020">
        <v>556</v>
      </c>
      <c r="P2020">
        <v>54</v>
      </c>
      <c r="Q2020">
        <v>845</v>
      </c>
      <c r="R2020">
        <v>202</v>
      </c>
      <c r="S2020">
        <v>133</v>
      </c>
      <c r="T2020">
        <v>63</v>
      </c>
      <c r="U2020">
        <v>1853</v>
      </c>
      <c r="V2020">
        <v>1</v>
      </c>
      <c r="W2020">
        <v>7</v>
      </c>
      <c r="X2020">
        <v>7</v>
      </c>
      <c r="Y2020">
        <v>10</v>
      </c>
      <c r="Z2020">
        <v>24</v>
      </c>
      <c r="AA2020">
        <v>3</v>
      </c>
      <c r="AB2020" t="str">
        <f t="shared" si="95"/>
        <v>Above average customer</v>
      </c>
    </row>
    <row r="2021" spans="1:28" x14ac:dyDescent="0.35">
      <c r="A2021">
        <v>7118</v>
      </c>
      <c r="B2021">
        <v>1957</v>
      </c>
      <c r="C2021" t="s">
        <v>25</v>
      </c>
      <c r="D2021" t="s">
        <v>26</v>
      </c>
      <c r="E2021" t="s">
        <v>33</v>
      </c>
      <c r="F2021">
        <v>73803</v>
      </c>
      <c r="G2021" t="str">
        <f t="shared" si="93"/>
        <v>High</v>
      </c>
      <c r="H2021">
        <v>0</v>
      </c>
      <c r="I2021">
        <v>1</v>
      </c>
      <c r="J2021">
        <v>1</v>
      </c>
      <c r="K2021" s="1">
        <v>41122</v>
      </c>
      <c r="L2021">
        <v>61</v>
      </c>
      <c r="M2021" t="str">
        <f t="shared" si="94"/>
        <v>Inactive</v>
      </c>
      <c r="N2021">
        <v>0</v>
      </c>
      <c r="O2021">
        <v>833</v>
      </c>
      <c r="P2021">
        <v>80</v>
      </c>
      <c r="Q2021">
        <v>363</v>
      </c>
      <c r="R2021">
        <v>52</v>
      </c>
      <c r="S2021">
        <v>26</v>
      </c>
      <c r="T2021">
        <v>174</v>
      </c>
      <c r="U2021">
        <v>1528</v>
      </c>
      <c r="V2021">
        <v>2</v>
      </c>
      <c r="W2021">
        <v>9</v>
      </c>
      <c r="X2021">
        <v>5</v>
      </c>
      <c r="Y2021">
        <v>6</v>
      </c>
      <c r="Z2021">
        <v>20</v>
      </c>
      <c r="AA2021">
        <v>6</v>
      </c>
      <c r="AB2021" t="str">
        <f t="shared" si="95"/>
        <v>Below average customer</v>
      </c>
    </row>
    <row r="2022" spans="1:28" x14ac:dyDescent="0.35">
      <c r="A2022">
        <v>2980</v>
      </c>
      <c r="B2022">
        <v>1952</v>
      </c>
      <c r="C2022" t="s">
        <v>36</v>
      </c>
      <c r="D2022" t="s">
        <v>34</v>
      </c>
      <c r="E2022" t="s">
        <v>27</v>
      </c>
      <c r="F2022">
        <v>8820</v>
      </c>
      <c r="G2022" t="str">
        <f t="shared" si="93"/>
        <v>Low</v>
      </c>
      <c r="H2022">
        <v>1</v>
      </c>
      <c r="I2022">
        <v>1</v>
      </c>
      <c r="J2022">
        <v>2</v>
      </c>
      <c r="K2022" s="1">
        <v>41355</v>
      </c>
      <c r="L2022">
        <v>52</v>
      </c>
      <c r="M2022" t="str">
        <f t="shared" si="94"/>
        <v>Inactive</v>
      </c>
      <c r="N2022">
        <v>0</v>
      </c>
      <c r="O2022">
        <v>12</v>
      </c>
      <c r="P2022">
        <v>0</v>
      </c>
      <c r="Q2022">
        <v>13</v>
      </c>
      <c r="R2022">
        <v>4</v>
      </c>
      <c r="S2022">
        <v>2</v>
      </c>
      <c r="T2022">
        <v>4</v>
      </c>
      <c r="U2022">
        <v>35</v>
      </c>
      <c r="V2022">
        <v>4</v>
      </c>
      <c r="W2022">
        <v>3</v>
      </c>
      <c r="X2022">
        <v>0</v>
      </c>
      <c r="Y2022">
        <v>3</v>
      </c>
      <c r="Z2022">
        <v>6</v>
      </c>
      <c r="AA2022">
        <v>8</v>
      </c>
      <c r="AB2022" t="str">
        <f t="shared" si="95"/>
        <v>Below average customer</v>
      </c>
    </row>
    <row r="2023" spans="1:28" x14ac:dyDescent="0.35">
      <c r="A2023">
        <v>1839</v>
      </c>
      <c r="B2023">
        <v>1974</v>
      </c>
      <c r="C2023" t="s">
        <v>31</v>
      </c>
      <c r="D2023" t="s">
        <v>26</v>
      </c>
      <c r="E2023" t="s">
        <v>27</v>
      </c>
      <c r="F2023">
        <v>43322</v>
      </c>
      <c r="G2023" t="str">
        <f t="shared" si="93"/>
        <v>Mid-low</v>
      </c>
      <c r="H2023">
        <v>0</v>
      </c>
      <c r="I2023">
        <v>0</v>
      </c>
      <c r="J2023">
        <v>0</v>
      </c>
      <c r="K2023" s="1">
        <v>41750</v>
      </c>
      <c r="L2023">
        <v>25</v>
      </c>
      <c r="M2023" t="str">
        <f t="shared" si="94"/>
        <v>Active</v>
      </c>
      <c r="N2023">
        <v>0</v>
      </c>
      <c r="O2023">
        <v>56</v>
      </c>
      <c r="P2023">
        <v>7</v>
      </c>
      <c r="Q2023">
        <v>48</v>
      </c>
      <c r="R2023">
        <v>10</v>
      </c>
      <c r="S2023">
        <v>2</v>
      </c>
      <c r="T2023">
        <v>18</v>
      </c>
      <c r="U2023">
        <v>141</v>
      </c>
      <c r="V2023">
        <v>1</v>
      </c>
      <c r="W2023">
        <v>3</v>
      </c>
      <c r="X2023">
        <v>0</v>
      </c>
      <c r="Y2023">
        <v>4</v>
      </c>
      <c r="Z2023">
        <v>7</v>
      </c>
      <c r="AA2023">
        <v>7</v>
      </c>
      <c r="AB2023" t="str">
        <f t="shared" si="95"/>
        <v>Below average customer</v>
      </c>
    </row>
    <row r="2024" spans="1:28" x14ac:dyDescent="0.35">
      <c r="A2024">
        <v>10722</v>
      </c>
      <c r="B2024">
        <v>1973</v>
      </c>
      <c r="C2024" t="s">
        <v>31</v>
      </c>
      <c r="D2024" t="s">
        <v>26</v>
      </c>
      <c r="E2024" t="s">
        <v>29</v>
      </c>
      <c r="F2024">
        <v>55593</v>
      </c>
      <c r="G2024" t="str">
        <f t="shared" si="93"/>
        <v>Mid-high</v>
      </c>
      <c r="H2024">
        <v>0</v>
      </c>
      <c r="I2024">
        <v>1</v>
      </c>
      <c r="J2024">
        <v>1</v>
      </c>
      <c r="K2024" s="1">
        <v>41507</v>
      </c>
      <c r="L2024">
        <v>63</v>
      </c>
      <c r="M2024" t="str">
        <f t="shared" si="94"/>
        <v>Inactive</v>
      </c>
      <c r="N2024">
        <v>0</v>
      </c>
      <c r="O2024">
        <v>293</v>
      </c>
      <c r="P2024">
        <v>8</v>
      </c>
      <c r="Q2024">
        <v>124</v>
      </c>
      <c r="R2024">
        <v>11</v>
      </c>
      <c r="S2024">
        <v>4</v>
      </c>
      <c r="T2024">
        <v>106</v>
      </c>
      <c r="U2024">
        <v>546</v>
      </c>
      <c r="V2024">
        <v>2</v>
      </c>
      <c r="W2024">
        <v>6</v>
      </c>
      <c r="X2024">
        <v>6</v>
      </c>
      <c r="Y2024">
        <v>3</v>
      </c>
      <c r="Z2024">
        <v>15</v>
      </c>
      <c r="AA2024">
        <v>6</v>
      </c>
      <c r="AB2024" t="str">
        <f t="shared" si="95"/>
        <v>Below average customer</v>
      </c>
    </row>
    <row r="2025" spans="1:28" x14ac:dyDescent="0.35">
      <c r="A2025">
        <v>2632</v>
      </c>
      <c r="B2025">
        <v>1954</v>
      </c>
      <c r="C2025" t="s">
        <v>25</v>
      </c>
      <c r="D2025" t="s">
        <v>26</v>
      </c>
      <c r="E2025" t="s">
        <v>33</v>
      </c>
      <c r="F2025">
        <v>50501</v>
      </c>
      <c r="G2025" t="str">
        <f t="shared" si="93"/>
        <v>Mid-low</v>
      </c>
      <c r="H2025">
        <v>1</v>
      </c>
      <c r="I2025">
        <v>1</v>
      </c>
      <c r="J2025">
        <v>2</v>
      </c>
      <c r="K2025" s="1">
        <v>41443</v>
      </c>
      <c r="L2025">
        <v>10</v>
      </c>
      <c r="M2025" t="str">
        <f t="shared" si="94"/>
        <v>Active</v>
      </c>
      <c r="N2025">
        <v>0</v>
      </c>
      <c r="O2025">
        <v>297</v>
      </c>
      <c r="P2025">
        <v>0</v>
      </c>
      <c r="Q2025">
        <v>38</v>
      </c>
      <c r="R2025">
        <v>13</v>
      </c>
      <c r="S2025">
        <v>0</v>
      </c>
      <c r="T2025">
        <v>152</v>
      </c>
      <c r="U2025">
        <v>500</v>
      </c>
      <c r="V2025">
        <v>7</v>
      </c>
      <c r="W2025">
        <v>5</v>
      </c>
      <c r="X2025">
        <v>4</v>
      </c>
      <c r="Y2025">
        <v>4</v>
      </c>
      <c r="Z2025">
        <v>13</v>
      </c>
      <c r="AA2025">
        <v>6</v>
      </c>
      <c r="AB2025" t="str">
        <f t="shared" si="95"/>
        <v>Below average customer</v>
      </c>
    </row>
    <row r="2026" spans="1:28" x14ac:dyDescent="0.35">
      <c r="A2026">
        <v>9014</v>
      </c>
      <c r="B2026">
        <v>1975</v>
      </c>
      <c r="C2026" t="s">
        <v>31</v>
      </c>
      <c r="D2026" t="s">
        <v>26</v>
      </c>
      <c r="E2026" t="s">
        <v>33</v>
      </c>
      <c r="F2026">
        <v>37085</v>
      </c>
      <c r="G2026" t="str">
        <f t="shared" si="93"/>
        <v>Mid-low</v>
      </c>
      <c r="H2026">
        <v>1</v>
      </c>
      <c r="I2026">
        <v>1</v>
      </c>
      <c r="J2026">
        <v>2</v>
      </c>
      <c r="K2026" s="1">
        <v>41816</v>
      </c>
      <c r="L2026">
        <v>65</v>
      </c>
      <c r="M2026" t="str">
        <f t="shared" si="94"/>
        <v>Inactive</v>
      </c>
      <c r="N2026">
        <v>0</v>
      </c>
      <c r="O2026">
        <v>39</v>
      </c>
      <c r="P2026">
        <v>1</v>
      </c>
      <c r="Q2026">
        <v>16</v>
      </c>
      <c r="R2026">
        <v>2</v>
      </c>
      <c r="S2026">
        <v>0</v>
      </c>
      <c r="T2026">
        <v>3</v>
      </c>
      <c r="U2026">
        <v>61</v>
      </c>
      <c r="V2026">
        <v>4</v>
      </c>
      <c r="W2026">
        <v>3</v>
      </c>
      <c r="X2026">
        <v>0</v>
      </c>
      <c r="Y2026">
        <v>3</v>
      </c>
      <c r="Z2026">
        <v>6</v>
      </c>
      <c r="AA2026">
        <v>8</v>
      </c>
      <c r="AB2026" t="str">
        <f t="shared" si="95"/>
        <v>Below average customer</v>
      </c>
    </row>
    <row r="2027" spans="1:28" x14ac:dyDescent="0.35">
      <c r="A2027">
        <v>7620</v>
      </c>
      <c r="B2027">
        <v>1990</v>
      </c>
      <c r="C2027" t="s">
        <v>30</v>
      </c>
      <c r="D2027" t="s">
        <v>37</v>
      </c>
      <c r="E2027" t="s">
        <v>27</v>
      </c>
      <c r="F2027">
        <v>16185</v>
      </c>
      <c r="G2027" t="str">
        <f t="shared" si="93"/>
        <v>Low</v>
      </c>
      <c r="H2027">
        <v>1</v>
      </c>
      <c r="I2027">
        <v>0</v>
      </c>
      <c r="J2027">
        <v>1</v>
      </c>
      <c r="K2027" s="1">
        <v>41491</v>
      </c>
      <c r="L2027">
        <v>71</v>
      </c>
      <c r="M2027" t="str">
        <f t="shared" si="94"/>
        <v>Inactive</v>
      </c>
      <c r="N2027">
        <v>0</v>
      </c>
      <c r="O2027">
        <v>5</v>
      </c>
      <c r="P2027">
        <v>11</v>
      </c>
      <c r="Q2027">
        <v>16</v>
      </c>
      <c r="R2027">
        <v>21</v>
      </c>
      <c r="S2027">
        <v>8</v>
      </c>
      <c r="T2027">
        <v>45</v>
      </c>
      <c r="U2027">
        <v>106</v>
      </c>
      <c r="V2027">
        <v>2</v>
      </c>
      <c r="W2027">
        <v>2</v>
      </c>
      <c r="X2027">
        <v>2</v>
      </c>
      <c r="Y2027">
        <v>2</v>
      </c>
      <c r="Z2027">
        <v>6</v>
      </c>
      <c r="AA2027">
        <v>8</v>
      </c>
      <c r="AB2027" t="str">
        <f t="shared" si="95"/>
        <v>Below average customer</v>
      </c>
    </row>
    <row r="2028" spans="1:28" x14ac:dyDescent="0.35">
      <c r="A2028">
        <v>10968</v>
      </c>
      <c r="B2028">
        <v>1969</v>
      </c>
      <c r="C2028" t="s">
        <v>28</v>
      </c>
      <c r="D2028" t="s">
        <v>26</v>
      </c>
      <c r="E2028" t="s">
        <v>27</v>
      </c>
      <c r="F2028">
        <v>57731</v>
      </c>
      <c r="G2028" t="str">
        <f t="shared" si="93"/>
        <v>Mid-high</v>
      </c>
      <c r="H2028">
        <v>0</v>
      </c>
      <c r="I2028">
        <v>1</v>
      </c>
      <c r="J2028">
        <v>1</v>
      </c>
      <c r="K2028" s="1">
        <v>41236</v>
      </c>
      <c r="L2028">
        <v>0</v>
      </c>
      <c r="M2028" t="str">
        <f t="shared" si="94"/>
        <v>Active</v>
      </c>
      <c r="N2028">
        <v>0</v>
      </c>
      <c r="O2028">
        <v>266</v>
      </c>
      <c r="P2028">
        <v>21</v>
      </c>
      <c r="Q2028">
        <v>300</v>
      </c>
      <c r="R2028">
        <v>65</v>
      </c>
      <c r="S2028">
        <v>8</v>
      </c>
      <c r="T2028">
        <v>44</v>
      </c>
      <c r="U2028">
        <v>704</v>
      </c>
      <c r="V2028">
        <v>4</v>
      </c>
      <c r="W2028">
        <v>8</v>
      </c>
      <c r="X2028">
        <v>8</v>
      </c>
      <c r="Y2028">
        <v>6</v>
      </c>
      <c r="Z2028">
        <v>22</v>
      </c>
      <c r="AA2028">
        <v>6</v>
      </c>
      <c r="AB2028" t="str">
        <f t="shared" si="95"/>
        <v>Above average customer</v>
      </c>
    </row>
    <row r="2029" spans="1:28" x14ac:dyDescent="0.35">
      <c r="A2029">
        <v>2736</v>
      </c>
      <c r="B2029">
        <v>1978</v>
      </c>
      <c r="C2029" t="s">
        <v>31</v>
      </c>
      <c r="D2029" t="s">
        <v>26</v>
      </c>
      <c r="E2029" t="s">
        <v>33</v>
      </c>
      <c r="F2029">
        <v>73807</v>
      </c>
      <c r="G2029" t="str">
        <f t="shared" si="93"/>
        <v>High</v>
      </c>
      <c r="H2029">
        <v>0</v>
      </c>
      <c r="I2029">
        <v>1</v>
      </c>
      <c r="J2029">
        <v>1</v>
      </c>
      <c r="K2029" s="1">
        <v>41276</v>
      </c>
      <c r="L2029">
        <v>88</v>
      </c>
      <c r="M2029" t="str">
        <f t="shared" si="94"/>
        <v>Inactive</v>
      </c>
      <c r="N2029">
        <v>0</v>
      </c>
      <c r="O2029">
        <v>366</v>
      </c>
      <c r="P2029">
        <v>124</v>
      </c>
      <c r="Q2029">
        <v>156</v>
      </c>
      <c r="R2029">
        <v>71</v>
      </c>
      <c r="S2029">
        <v>78</v>
      </c>
      <c r="T2029">
        <v>54</v>
      </c>
      <c r="U2029">
        <v>849</v>
      </c>
      <c r="V2029">
        <v>2</v>
      </c>
      <c r="W2029">
        <v>5</v>
      </c>
      <c r="X2029">
        <v>5</v>
      </c>
      <c r="Y2029">
        <v>11</v>
      </c>
      <c r="Z2029">
        <v>21</v>
      </c>
      <c r="AA2029">
        <v>2</v>
      </c>
      <c r="AB2029" t="str">
        <f t="shared" si="95"/>
        <v>Below average customer</v>
      </c>
    </row>
    <row r="2030" spans="1:28" x14ac:dyDescent="0.35">
      <c r="A2030">
        <v>5959</v>
      </c>
      <c r="B2030">
        <v>1968</v>
      </c>
      <c r="C2030" t="s">
        <v>28</v>
      </c>
      <c r="D2030" t="s">
        <v>26</v>
      </c>
      <c r="E2030" t="s">
        <v>27</v>
      </c>
      <c r="F2030">
        <v>35893</v>
      </c>
      <c r="G2030" t="str">
        <f t="shared" si="93"/>
        <v>Mid-low</v>
      </c>
      <c r="H2030">
        <v>1</v>
      </c>
      <c r="I2030">
        <v>1</v>
      </c>
      <c r="J2030">
        <v>2</v>
      </c>
      <c r="K2030" s="1">
        <v>41197</v>
      </c>
      <c r="L2030">
        <v>80</v>
      </c>
      <c r="M2030" t="str">
        <f t="shared" si="94"/>
        <v>Inactive</v>
      </c>
      <c r="N2030">
        <v>0</v>
      </c>
      <c r="O2030">
        <v>158</v>
      </c>
      <c r="P2030">
        <v>0</v>
      </c>
      <c r="Q2030">
        <v>23</v>
      </c>
      <c r="R2030">
        <v>0</v>
      </c>
      <c r="S2030">
        <v>0</v>
      </c>
      <c r="T2030">
        <v>18</v>
      </c>
      <c r="U2030">
        <v>199</v>
      </c>
      <c r="V2030">
        <v>6</v>
      </c>
      <c r="W2030">
        <v>3</v>
      </c>
      <c r="X2030">
        <v>1</v>
      </c>
      <c r="Y2030">
        <v>5</v>
      </c>
      <c r="Z2030">
        <v>9</v>
      </c>
      <c r="AA2030">
        <v>8</v>
      </c>
      <c r="AB2030" t="str">
        <f t="shared" si="95"/>
        <v>Below average customer</v>
      </c>
    </row>
    <row r="2031" spans="1:28" x14ac:dyDescent="0.35">
      <c r="A2031">
        <v>1092</v>
      </c>
      <c r="B2031">
        <v>1980</v>
      </c>
      <c r="C2031" t="s">
        <v>31</v>
      </c>
      <c r="D2031" t="s">
        <v>26</v>
      </c>
      <c r="E2031" t="s">
        <v>33</v>
      </c>
      <c r="F2031">
        <v>61014</v>
      </c>
      <c r="G2031" t="str">
        <f t="shared" si="93"/>
        <v>Mid-high</v>
      </c>
      <c r="H2031">
        <v>0</v>
      </c>
      <c r="I2031">
        <v>1</v>
      </c>
      <c r="J2031">
        <v>1</v>
      </c>
      <c r="K2031" s="1">
        <v>41132</v>
      </c>
      <c r="L2031">
        <v>17</v>
      </c>
      <c r="M2031" t="str">
        <f t="shared" si="94"/>
        <v>Active</v>
      </c>
      <c r="N2031">
        <v>0</v>
      </c>
      <c r="O2031">
        <v>269</v>
      </c>
      <c r="P2031">
        <v>129</v>
      </c>
      <c r="Q2031">
        <v>495</v>
      </c>
      <c r="R2031">
        <v>182</v>
      </c>
      <c r="S2031">
        <v>43</v>
      </c>
      <c r="T2031">
        <v>29</v>
      </c>
      <c r="U2031">
        <v>1147</v>
      </c>
      <c r="V2031">
        <v>4</v>
      </c>
      <c r="W2031">
        <v>9</v>
      </c>
      <c r="X2031">
        <v>3</v>
      </c>
      <c r="Y2031">
        <v>4</v>
      </c>
      <c r="Z2031">
        <v>16</v>
      </c>
      <c r="AA2031">
        <v>7</v>
      </c>
      <c r="AB2031" t="str">
        <f t="shared" si="95"/>
        <v>Above average customer</v>
      </c>
    </row>
    <row r="2032" spans="1:28" x14ac:dyDescent="0.35">
      <c r="A2032">
        <v>4333</v>
      </c>
      <c r="B2032">
        <v>1954</v>
      </c>
      <c r="C2032" t="s">
        <v>25</v>
      </c>
      <c r="D2032" t="s">
        <v>26</v>
      </c>
      <c r="E2032" t="s">
        <v>29</v>
      </c>
      <c r="F2032">
        <v>32144</v>
      </c>
      <c r="G2032" t="str">
        <f t="shared" si="93"/>
        <v>Low</v>
      </c>
      <c r="H2032">
        <v>1</v>
      </c>
      <c r="I2032">
        <v>1</v>
      </c>
      <c r="J2032">
        <v>2</v>
      </c>
      <c r="K2032" s="1">
        <v>41721</v>
      </c>
      <c r="L2032">
        <v>76</v>
      </c>
      <c r="M2032" t="str">
        <f t="shared" si="94"/>
        <v>Inactive</v>
      </c>
      <c r="N2032">
        <v>0</v>
      </c>
      <c r="O2032">
        <v>41</v>
      </c>
      <c r="P2032">
        <v>0</v>
      </c>
      <c r="Q2032">
        <v>10</v>
      </c>
      <c r="R2032">
        <v>0</v>
      </c>
      <c r="S2032">
        <v>0</v>
      </c>
      <c r="T2032">
        <v>3</v>
      </c>
      <c r="U2032">
        <v>54</v>
      </c>
      <c r="V2032">
        <v>4</v>
      </c>
      <c r="W2032">
        <v>2</v>
      </c>
      <c r="X2032">
        <v>1</v>
      </c>
      <c r="Y2032">
        <v>3</v>
      </c>
      <c r="Z2032">
        <v>6</v>
      </c>
      <c r="AA2032">
        <v>7</v>
      </c>
      <c r="AB2032" t="str">
        <f t="shared" si="95"/>
        <v>Below average customer</v>
      </c>
    </row>
    <row r="2033" spans="1:28" x14ac:dyDescent="0.35">
      <c r="A2033">
        <v>3850</v>
      </c>
      <c r="B2033">
        <v>1963</v>
      </c>
      <c r="C2033" t="s">
        <v>28</v>
      </c>
      <c r="D2033" t="s">
        <v>37</v>
      </c>
      <c r="E2033" t="s">
        <v>29</v>
      </c>
      <c r="F2033">
        <v>14918</v>
      </c>
      <c r="G2033" t="str">
        <f t="shared" si="93"/>
        <v>Low</v>
      </c>
      <c r="H2033">
        <v>0</v>
      </c>
      <c r="I2033">
        <v>1</v>
      </c>
      <c r="J2033">
        <v>1</v>
      </c>
      <c r="K2033" s="1">
        <v>41250</v>
      </c>
      <c r="L2033">
        <v>52</v>
      </c>
      <c r="M2033" t="str">
        <f t="shared" si="94"/>
        <v>Inactive</v>
      </c>
      <c r="N2033">
        <v>0</v>
      </c>
      <c r="O2033">
        <v>3</v>
      </c>
      <c r="P2033">
        <v>3</v>
      </c>
      <c r="Q2033">
        <v>3</v>
      </c>
      <c r="R2033">
        <v>15</v>
      </c>
      <c r="S2033">
        <v>4</v>
      </c>
      <c r="T2033">
        <v>15</v>
      </c>
      <c r="U2033">
        <v>43</v>
      </c>
      <c r="V2033">
        <v>1</v>
      </c>
      <c r="W2033">
        <v>1</v>
      </c>
      <c r="X2033">
        <v>0</v>
      </c>
      <c r="Y2033">
        <v>3</v>
      </c>
      <c r="Z2033">
        <v>4</v>
      </c>
      <c r="AA2033">
        <v>6</v>
      </c>
      <c r="AB2033" t="str">
        <f t="shared" si="95"/>
        <v>Below average customer</v>
      </c>
    </row>
    <row r="2034" spans="1:28" x14ac:dyDescent="0.35">
      <c r="A2034">
        <v>6168</v>
      </c>
      <c r="B2034">
        <v>1963</v>
      </c>
      <c r="C2034" t="s">
        <v>28</v>
      </c>
      <c r="D2034" t="s">
        <v>26</v>
      </c>
      <c r="E2034" t="s">
        <v>35</v>
      </c>
      <c r="F2034">
        <v>45146</v>
      </c>
      <c r="G2034" t="str">
        <f t="shared" si="93"/>
        <v>Mid-low</v>
      </c>
      <c r="H2034">
        <v>1</v>
      </c>
      <c r="I2034">
        <v>1</v>
      </c>
      <c r="J2034">
        <v>2</v>
      </c>
      <c r="K2034" s="1">
        <v>41470</v>
      </c>
      <c r="L2034">
        <v>28</v>
      </c>
      <c r="M2034" t="str">
        <f t="shared" si="94"/>
        <v>Active</v>
      </c>
      <c r="N2034">
        <v>0</v>
      </c>
      <c r="O2034">
        <v>33</v>
      </c>
      <c r="P2034">
        <v>0</v>
      </c>
      <c r="Q2034">
        <v>5</v>
      </c>
      <c r="R2034">
        <v>0</v>
      </c>
      <c r="S2034">
        <v>0</v>
      </c>
      <c r="T2034">
        <v>15</v>
      </c>
      <c r="U2034">
        <v>53</v>
      </c>
      <c r="V2034">
        <v>2</v>
      </c>
      <c r="W2034">
        <v>1</v>
      </c>
      <c r="X2034">
        <v>1</v>
      </c>
      <c r="Y2034">
        <v>2</v>
      </c>
      <c r="Z2034">
        <v>4</v>
      </c>
      <c r="AA2034">
        <v>4</v>
      </c>
      <c r="AB2034" t="str">
        <f t="shared" si="95"/>
        <v>Below average customer</v>
      </c>
    </row>
    <row r="2035" spans="1:28" x14ac:dyDescent="0.35">
      <c r="A2035">
        <v>607</v>
      </c>
      <c r="B2035">
        <v>1955</v>
      </c>
      <c r="C2035" t="s">
        <v>25</v>
      </c>
      <c r="D2035" t="s">
        <v>34</v>
      </c>
      <c r="E2035" t="s">
        <v>35</v>
      </c>
      <c r="F2035">
        <v>41769</v>
      </c>
      <c r="G2035" t="str">
        <f t="shared" si="93"/>
        <v>Mid-low</v>
      </c>
      <c r="H2035">
        <v>0</v>
      </c>
      <c r="I2035">
        <v>1</v>
      </c>
      <c r="J2035">
        <v>1</v>
      </c>
      <c r="K2035" s="1">
        <v>41318</v>
      </c>
      <c r="L2035">
        <v>31</v>
      </c>
      <c r="M2035" t="str">
        <f t="shared" si="94"/>
        <v>Active</v>
      </c>
      <c r="N2035">
        <v>0</v>
      </c>
      <c r="O2035">
        <v>302</v>
      </c>
      <c r="P2035">
        <v>29</v>
      </c>
      <c r="Q2035">
        <v>131</v>
      </c>
      <c r="R2035">
        <v>32</v>
      </c>
      <c r="S2035">
        <v>0</v>
      </c>
      <c r="T2035">
        <v>27</v>
      </c>
      <c r="U2035">
        <v>521</v>
      </c>
      <c r="V2035">
        <v>6</v>
      </c>
      <c r="W2035">
        <v>8</v>
      </c>
      <c r="X2035">
        <v>1</v>
      </c>
      <c r="Y2035">
        <v>7</v>
      </c>
      <c r="Z2035">
        <v>16</v>
      </c>
      <c r="AA2035">
        <v>8</v>
      </c>
      <c r="AB2035" t="str">
        <f t="shared" si="95"/>
        <v>Below average customer</v>
      </c>
    </row>
    <row r="2036" spans="1:28" x14ac:dyDescent="0.35">
      <c r="A2036">
        <v>10469</v>
      </c>
      <c r="B2036">
        <v>1981</v>
      </c>
      <c r="C2036" t="s">
        <v>31</v>
      </c>
      <c r="D2036" t="s">
        <v>26</v>
      </c>
      <c r="E2036" t="s">
        <v>29</v>
      </c>
      <c r="F2036">
        <v>88325</v>
      </c>
      <c r="G2036" t="str">
        <f t="shared" si="93"/>
        <v>High</v>
      </c>
      <c r="H2036">
        <v>0</v>
      </c>
      <c r="I2036">
        <v>0</v>
      </c>
      <c r="J2036">
        <v>0</v>
      </c>
      <c r="K2036" s="1">
        <v>41675</v>
      </c>
      <c r="L2036">
        <v>42</v>
      </c>
      <c r="M2036" t="str">
        <f t="shared" si="94"/>
        <v>Active</v>
      </c>
      <c r="N2036">
        <v>0</v>
      </c>
      <c r="O2036">
        <v>519</v>
      </c>
      <c r="P2036">
        <v>71</v>
      </c>
      <c r="Q2036">
        <v>860</v>
      </c>
      <c r="R2036">
        <v>93</v>
      </c>
      <c r="S2036">
        <v>27</v>
      </c>
      <c r="T2036">
        <v>53</v>
      </c>
      <c r="U2036">
        <v>1623</v>
      </c>
      <c r="V2036">
        <v>1</v>
      </c>
      <c r="W2036">
        <v>6</v>
      </c>
      <c r="X2036">
        <v>2</v>
      </c>
      <c r="Y2036">
        <v>9</v>
      </c>
      <c r="Z2036">
        <v>17</v>
      </c>
      <c r="AA2036">
        <v>2</v>
      </c>
      <c r="AB2036" t="str">
        <f t="shared" si="95"/>
        <v>Above average customer</v>
      </c>
    </row>
    <row r="2037" spans="1:28" x14ac:dyDescent="0.35">
      <c r="A2037">
        <v>6983</v>
      </c>
      <c r="B2037">
        <v>1950</v>
      </c>
      <c r="C2037" t="s">
        <v>36</v>
      </c>
      <c r="D2037" t="s">
        <v>34</v>
      </c>
      <c r="E2037" t="s">
        <v>35</v>
      </c>
      <c r="F2037">
        <v>38054</v>
      </c>
      <c r="G2037" t="str">
        <f t="shared" si="93"/>
        <v>Mid-low</v>
      </c>
      <c r="H2037">
        <v>1</v>
      </c>
      <c r="I2037">
        <v>1</v>
      </c>
      <c r="J2037">
        <v>2</v>
      </c>
      <c r="K2037" s="1">
        <v>41760</v>
      </c>
      <c r="L2037">
        <v>24</v>
      </c>
      <c r="M2037" t="str">
        <f t="shared" si="94"/>
        <v>Active</v>
      </c>
      <c r="N2037">
        <v>0</v>
      </c>
      <c r="O2037">
        <v>23</v>
      </c>
      <c r="P2037">
        <v>2</v>
      </c>
      <c r="Q2037">
        <v>17</v>
      </c>
      <c r="R2037">
        <v>2</v>
      </c>
      <c r="S2037">
        <v>1</v>
      </c>
      <c r="T2037">
        <v>0</v>
      </c>
      <c r="U2037">
        <v>45</v>
      </c>
      <c r="V2037">
        <v>2</v>
      </c>
      <c r="W2037">
        <v>2</v>
      </c>
      <c r="X2037">
        <v>0</v>
      </c>
      <c r="Y2037">
        <v>3</v>
      </c>
      <c r="Z2037">
        <v>5</v>
      </c>
      <c r="AA2037">
        <v>7</v>
      </c>
      <c r="AB2037" t="str">
        <f t="shared" si="95"/>
        <v>Below average customer</v>
      </c>
    </row>
    <row r="2038" spans="1:28" x14ac:dyDescent="0.35">
      <c r="A2038">
        <v>3661</v>
      </c>
      <c r="B2038">
        <v>1995</v>
      </c>
      <c r="C2038" t="s">
        <v>30</v>
      </c>
      <c r="D2038" t="s">
        <v>34</v>
      </c>
      <c r="E2038" t="s">
        <v>27</v>
      </c>
      <c r="F2038">
        <v>80617</v>
      </c>
      <c r="G2038" t="str">
        <f t="shared" si="93"/>
        <v>High</v>
      </c>
      <c r="H2038">
        <v>0</v>
      </c>
      <c r="I2038">
        <v>0</v>
      </c>
      <c r="J2038">
        <v>0</v>
      </c>
      <c r="K2038" s="1">
        <v>41194</v>
      </c>
      <c r="L2038">
        <v>42</v>
      </c>
      <c r="M2038" t="str">
        <f t="shared" si="94"/>
        <v>Active</v>
      </c>
      <c r="N2038">
        <v>0</v>
      </c>
      <c r="O2038">
        <v>594</v>
      </c>
      <c r="P2038">
        <v>51</v>
      </c>
      <c r="Q2038">
        <v>631</v>
      </c>
      <c r="R2038">
        <v>72</v>
      </c>
      <c r="S2038">
        <v>55</v>
      </c>
      <c r="T2038">
        <v>32</v>
      </c>
      <c r="U2038">
        <v>1435</v>
      </c>
      <c r="V2038">
        <v>1</v>
      </c>
      <c r="W2038">
        <v>4</v>
      </c>
      <c r="X2038">
        <v>6</v>
      </c>
      <c r="Y2038">
        <v>8</v>
      </c>
      <c r="Z2038">
        <v>18</v>
      </c>
      <c r="AA2038">
        <v>2</v>
      </c>
      <c r="AB2038" t="str">
        <f t="shared" si="95"/>
        <v>Above average customer</v>
      </c>
    </row>
    <row r="2039" spans="1:28" x14ac:dyDescent="0.35">
      <c r="A2039">
        <v>9303</v>
      </c>
      <c r="B2039">
        <v>1976</v>
      </c>
      <c r="C2039" t="s">
        <v>31</v>
      </c>
      <c r="D2039" t="s">
        <v>26</v>
      </c>
      <c r="E2039" t="s">
        <v>33</v>
      </c>
      <c r="F2039">
        <v>5305</v>
      </c>
      <c r="G2039" t="str">
        <f t="shared" si="93"/>
        <v>Low</v>
      </c>
      <c r="H2039">
        <v>0</v>
      </c>
      <c r="I2039">
        <v>1</v>
      </c>
      <c r="J2039">
        <v>1</v>
      </c>
      <c r="K2039" s="1">
        <v>41485</v>
      </c>
      <c r="L2039">
        <v>12</v>
      </c>
      <c r="M2039" t="str">
        <f t="shared" si="94"/>
        <v>Active</v>
      </c>
      <c r="N2039">
        <v>0</v>
      </c>
      <c r="O2039">
        <v>12</v>
      </c>
      <c r="P2039">
        <v>4</v>
      </c>
      <c r="Q2039">
        <v>7</v>
      </c>
      <c r="R2039">
        <v>1</v>
      </c>
      <c r="S2039">
        <v>3</v>
      </c>
      <c r="T2039">
        <v>5</v>
      </c>
      <c r="U2039">
        <v>32</v>
      </c>
      <c r="V2039">
        <v>0</v>
      </c>
      <c r="W2039">
        <v>1</v>
      </c>
      <c r="X2039">
        <v>0</v>
      </c>
      <c r="Y2039">
        <v>0</v>
      </c>
      <c r="Z2039">
        <v>1</v>
      </c>
      <c r="AA2039">
        <v>13</v>
      </c>
      <c r="AB2039" t="str">
        <f t="shared" si="95"/>
        <v>Below average customer</v>
      </c>
    </row>
    <row r="2040" spans="1:28" x14ac:dyDescent="0.35">
      <c r="A2040">
        <v>692</v>
      </c>
      <c r="B2040">
        <v>1954</v>
      </c>
      <c r="C2040" t="s">
        <v>25</v>
      </c>
      <c r="D2040" t="s">
        <v>26</v>
      </c>
      <c r="E2040" t="s">
        <v>29</v>
      </c>
      <c r="F2040">
        <v>36807</v>
      </c>
      <c r="G2040" t="str">
        <f t="shared" si="93"/>
        <v>Mid-low</v>
      </c>
      <c r="H2040">
        <v>1</v>
      </c>
      <c r="I2040">
        <v>1</v>
      </c>
      <c r="J2040">
        <v>2</v>
      </c>
      <c r="K2040" s="1">
        <v>41263</v>
      </c>
      <c r="L2040">
        <v>88</v>
      </c>
      <c r="M2040" t="str">
        <f t="shared" si="94"/>
        <v>Inactive</v>
      </c>
      <c r="N2040">
        <v>0</v>
      </c>
      <c r="O2040">
        <v>4</v>
      </c>
      <c r="P2040">
        <v>2</v>
      </c>
      <c r="Q2040">
        <v>5</v>
      </c>
      <c r="R2040">
        <v>0</v>
      </c>
      <c r="S2040">
        <v>0</v>
      </c>
      <c r="T2040">
        <v>5</v>
      </c>
      <c r="U2040">
        <v>16</v>
      </c>
      <c r="V2040">
        <v>1</v>
      </c>
      <c r="W2040">
        <v>1</v>
      </c>
      <c r="X2040">
        <v>0</v>
      </c>
      <c r="Y2040">
        <v>2</v>
      </c>
      <c r="Z2040">
        <v>3</v>
      </c>
      <c r="AA2040">
        <v>6</v>
      </c>
      <c r="AB2040" t="str">
        <f t="shared" si="95"/>
        <v>Below average customer</v>
      </c>
    </row>
    <row r="2041" spans="1:28" x14ac:dyDescent="0.35">
      <c r="A2041">
        <v>9246</v>
      </c>
      <c r="B2041">
        <v>1985</v>
      </c>
      <c r="C2041" t="s">
        <v>30</v>
      </c>
      <c r="D2041" t="s">
        <v>34</v>
      </c>
      <c r="E2041" t="s">
        <v>29</v>
      </c>
      <c r="F2041">
        <v>40101</v>
      </c>
      <c r="G2041" t="str">
        <f t="shared" si="93"/>
        <v>Mid-low</v>
      </c>
      <c r="H2041">
        <v>1</v>
      </c>
      <c r="I2041">
        <v>0</v>
      </c>
      <c r="J2041">
        <v>1</v>
      </c>
      <c r="K2041" s="1">
        <v>41196</v>
      </c>
      <c r="L2041">
        <v>73</v>
      </c>
      <c r="M2041" t="str">
        <f t="shared" si="94"/>
        <v>Inactive</v>
      </c>
      <c r="N2041">
        <v>0</v>
      </c>
      <c r="O2041">
        <v>171</v>
      </c>
      <c r="P2041">
        <v>3</v>
      </c>
      <c r="Q2041">
        <v>129</v>
      </c>
      <c r="R2041">
        <v>26</v>
      </c>
      <c r="S2041">
        <v>24</v>
      </c>
      <c r="T2041">
        <v>62</v>
      </c>
      <c r="U2041">
        <v>415</v>
      </c>
      <c r="V2041">
        <v>4</v>
      </c>
      <c r="W2041">
        <v>6</v>
      </c>
      <c r="X2041">
        <v>1</v>
      </c>
      <c r="Y2041">
        <v>6</v>
      </c>
      <c r="Z2041">
        <v>13</v>
      </c>
      <c r="AA2041">
        <v>7</v>
      </c>
      <c r="AB2041" t="str">
        <f t="shared" si="95"/>
        <v>Below average customer</v>
      </c>
    </row>
    <row r="2042" spans="1:28" x14ac:dyDescent="0.35">
      <c r="A2042">
        <v>6261</v>
      </c>
      <c r="B2042">
        <v>1979</v>
      </c>
      <c r="C2042" t="s">
        <v>31</v>
      </c>
      <c r="D2042" t="s">
        <v>26</v>
      </c>
      <c r="E2042" t="s">
        <v>33</v>
      </c>
      <c r="F2042">
        <v>58025</v>
      </c>
      <c r="G2042" t="str">
        <f t="shared" si="93"/>
        <v>Mid-high</v>
      </c>
      <c r="H2042">
        <v>0</v>
      </c>
      <c r="I2042">
        <v>1</v>
      </c>
      <c r="J2042">
        <v>1</v>
      </c>
      <c r="K2042" s="1">
        <v>41604</v>
      </c>
      <c r="L2042">
        <v>81</v>
      </c>
      <c r="M2042" t="str">
        <f t="shared" si="94"/>
        <v>Inactive</v>
      </c>
      <c r="N2042">
        <v>0</v>
      </c>
      <c r="O2042">
        <v>270</v>
      </c>
      <c r="P2042">
        <v>31</v>
      </c>
      <c r="Q2042">
        <v>88</v>
      </c>
      <c r="R2042">
        <v>11</v>
      </c>
      <c r="S2042">
        <v>48</v>
      </c>
      <c r="T2042">
        <v>22</v>
      </c>
      <c r="U2042">
        <v>470</v>
      </c>
      <c r="V2042">
        <v>3</v>
      </c>
      <c r="W2042">
        <v>3</v>
      </c>
      <c r="X2042">
        <v>2</v>
      </c>
      <c r="Y2042">
        <v>10</v>
      </c>
      <c r="Z2042">
        <v>15</v>
      </c>
      <c r="AA2042">
        <v>4</v>
      </c>
      <c r="AB2042" t="str">
        <f t="shared" si="95"/>
        <v>Below average customer</v>
      </c>
    </row>
    <row r="2043" spans="1:28" x14ac:dyDescent="0.35">
      <c r="A2043">
        <v>10659</v>
      </c>
      <c r="B2043">
        <v>1979</v>
      </c>
      <c r="C2043" t="s">
        <v>31</v>
      </c>
      <c r="D2043" t="s">
        <v>34</v>
      </c>
      <c r="E2043" t="s">
        <v>29</v>
      </c>
      <c r="F2043">
        <v>7500</v>
      </c>
      <c r="G2043" t="str">
        <f t="shared" si="93"/>
        <v>Low</v>
      </c>
      <c r="H2043">
        <v>1</v>
      </c>
      <c r="I2043">
        <v>0</v>
      </c>
      <c r="J2043">
        <v>1</v>
      </c>
      <c r="K2043" s="1">
        <v>41401</v>
      </c>
      <c r="L2043">
        <v>7</v>
      </c>
      <c r="M2043" t="str">
        <f t="shared" si="94"/>
        <v>Active</v>
      </c>
      <c r="N2043">
        <v>0</v>
      </c>
      <c r="O2043">
        <v>2</v>
      </c>
      <c r="P2043">
        <v>8</v>
      </c>
      <c r="Q2043">
        <v>11</v>
      </c>
      <c r="R2043">
        <v>3</v>
      </c>
      <c r="S2043">
        <v>8</v>
      </c>
      <c r="T2043">
        <v>21</v>
      </c>
      <c r="U2043">
        <v>53</v>
      </c>
      <c r="V2043">
        <v>4</v>
      </c>
      <c r="W2043">
        <v>3</v>
      </c>
      <c r="X2043">
        <v>2</v>
      </c>
      <c r="Y2043">
        <v>2</v>
      </c>
      <c r="Z2043">
        <v>7</v>
      </c>
      <c r="AA2043">
        <v>7</v>
      </c>
      <c r="AB2043" t="str">
        <f t="shared" si="95"/>
        <v>Below average customer</v>
      </c>
    </row>
    <row r="2044" spans="1:28" x14ac:dyDescent="0.35">
      <c r="A2044">
        <v>1448</v>
      </c>
      <c r="B2044">
        <v>1963</v>
      </c>
      <c r="C2044" t="s">
        <v>28</v>
      </c>
      <c r="D2044" t="s">
        <v>34</v>
      </c>
      <c r="E2044" t="s">
        <v>33</v>
      </c>
      <c r="F2044">
        <v>33562</v>
      </c>
      <c r="G2044" t="str">
        <f t="shared" si="93"/>
        <v>Low</v>
      </c>
      <c r="H2044">
        <v>1</v>
      </c>
      <c r="I2044">
        <v>2</v>
      </c>
      <c r="J2044">
        <v>3</v>
      </c>
      <c r="K2044" s="1">
        <v>41815</v>
      </c>
      <c r="L2044">
        <v>33</v>
      </c>
      <c r="M2044" t="str">
        <f t="shared" si="94"/>
        <v>Active</v>
      </c>
      <c r="N2044">
        <v>0</v>
      </c>
      <c r="O2044">
        <v>21</v>
      </c>
      <c r="P2044">
        <v>12</v>
      </c>
      <c r="Q2044">
        <v>12</v>
      </c>
      <c r="R2044">
        <v>0</v>
      </c>
      <c r="S2044">
        <v>3</v>
      </c>
      <c r="T2044">
        <v>3</v>
      </c>
      <c r="U2044">
        <v>51</v>
      </c>
      <c r="V2044">
        <v>3</v>
      </c>
      <c r="W2044">
        <v>2</v>
      </c>
      <c r="X2044">
        <v>0</v>
      </c>
      <c r="Y2044">
        <v>4</v>
      </c>
      <c r="Z2044">
        <v>6</v>
      </c>
      <c r="AA2044">
        <v>4</v>
      </c>
      <c r="AB2044" t="str">
        <f t="shared" si="95"/>
        <v>Below average customer</v>
      </c>
    </row>
    <row r="2045" spans="1:28" x14ac:dyDescent="0.35">
      <c r="A2045">
        <v>4286</v>
      </c>
      <c r="B2045">
        <v>1970</v>
      </c>
      <c r="C2045" t="s">
        <v>28</v>
      </c>
      <c r="D2045" t="s">
        <v>32</v>
      </c>
      <c r="E2045" t="s">
        <v>27</v>
      </c>
      <c r="F2045">
        <v>57642</v>
      </c>
      <c r="G2045" t="str">
        <f t="shared" si="93"/>
        <v>Mid-high</v>
      </c>
      <c r="H2045">
        <v>0</v>
      </c>
      <c r="I2045">
        <v>1</v>
      </c>
      <c r="J2045">
        <v>1</v>
      </c>
      <c r="K2045" s="1">
        <v>41648</v>
      </c>
      <c r="L2045">
        <v>24</v>
      </c>
      <c r="M2045" t="str">
        <f t="shared" si="94"/>
        <v>Active</v>
      </c>
      <c r="N2045">
        <v>0</v>
      </c>
      <c r="O2045">
        <v>580</v>
      </c>
      <c r="P2045">
        <v>6</v>
      </c>
      <c r="Q2045">
        <v>58</v>
      </c>
      <c r="R2045">
        <v>8</v>
      </c>
      <c r="S2045">
        <v>0</v>
      </c>
      <c r="T2045">
        <v>27</v>
      </c>
      <c r="U2045">
        <v>679</v>
      </c>
      <c r="V2045">
        <v>3</v>
      </c>
      <c r="W2045">
        <v>7</v>
      </c>
      <c r="X2045">
        <v>6</v>
      </c>
      <c r="Y2045">
        <v>6</v>
      </c>
      <c r="Z2045">
        <v>19</v>
      </c>
      <c r="AA2045">
        <v>4</v>
      </c>
      <c r="AB2045" t="str">
        <f t="shared" si="95"/>
        <v>Above average customer</v>
      </c>
    </row>
    <row r="2046" spans="1:28" x14ac:dyDescent="0.35">
      <c r="A2046">
        <v>4478</v>
      </c>
      <c r="B2046">
        <v>1979</v>
      </c>
      <c r="C2046" t="s">
        <v>31</v>
      </c>
      <c r="D2046" t="s">
        <v>26</v>
      </c>
      <c r="E2046" t="s">
        <v>33</v>
      </c>
      <c r="F2046">
        <v>63777</v>
      </c>
      <c r="G2046" t="str">
        <f t="shared" si="93"/>
        <v>Mid-high</v>
      </c>
      <c r="H2046">
        <v>1</v>
      </c>
      <c r="I2046">
        <v>1</v>
      </c>
      <c r="J2046">
        <v>2</v>
      </c>
      <c r="K2046" s="1">
        <v>41357</v>
      </c>
      <c r="L2046">
        <v>87</v>
      </c>
      <c r="M2046" t="str">
        <f t="shared" si="94"/>
        <v>Inactive</v>
      </c>
      <c r="N2046">
        <v>0</v>
      </c>
      <c r="O2046">
        <v>457</v>
      </c>
      <c r="P2046">
        <v>5</v>
      </c>
      <c r="Q2046">
        <v>106</v>
      </c>
      <c r="R2046">
        <v>15</v>
      </c>
      <c r="S2046">
        <v>17</v>
      </c>
      <c r="T2046">
        <v>53</v>
      </c>
      <c r="U2046">
        <v>653</v>
      </c>
      <c r="V2046">
        <v>8</v>
      </c>
      <c r="W2046">
        <v>11</v>
      </c>
      <c r="X2046">
        <v>1</v>
      </c>
      <c r="Y2046">
        <v>6</v>
      </c>
      <c r="Z2046">
        <v>18</v>
      </c>
      <c r="AA2046">
        <v>8</v>
      </c>
      <c r="AB2046" t="str">
        <f t="shared" si="95"/>
        <v>Below average customer</v>
      </c>
    </row>
    <row r="2047" spans="1:28" x14ac:dyDescent="0.35">
      <c r="A2047">
        <v>4201</v>
      </c>
      <c r="B2047">
        <v>1962</v>
      </c>
      <c r="C2047" t="s">
        <v>25</v>
      </c>
      <c r="D2047" t="s">
        <v>26</v>
      </c>
      <c r="E2047" t="s">
        <v>27</v>
      </c>
      <c r="F2047">
        <v>57967</v>
      </c>
      <c r="G2047" t="str">
        <f t="shared" si="93"/>
        <v>Mid-high</v>
      </c>
      <c r="H2047">
        <v>0</v>
      </c>
      <c r="I2047">
        <v>1</v>
      </c>
      <c r="J2047">
        <v>1</v>
      </c>
      <c r="K2047" s="1">
        <v>41336</v>
      </c>
      <c r="L2047">
        <v>39</v>
      </c>
      <c r="M2047" t="str">
        <f t="shared" si="94"/>
        <v>Active</v>
      </c>
      <c r="N2047">
        <v>0</v>
      </c>
      <c r="O2047">
        <v>229</v>
      </c>
      <c r="P2047">
        <v>7</v>
      </c>
      <c r="Q2047">
        <v>137</v>
      </c>
      <c r="R2047">
        <v>4</v>
      </c>
      <c r="S2047">
        <v>0</v>
      </c>
      <c r="T2047">
        <v>91</v>
      </c>
      <c r="U2047">
        <v>468</v>
      </c>
      <c r="V2047">
        <v>5</v>
      </c>
      <c r="W2047">
        <v>4</v>
      </c>
      <c r="X2047">
        <v>2</v>
      </c>
      <c r="Y2047">
        <v>8</v>
      </c>
      <c r="Z2047">
        <v>14</v>
      </c>
      <c r="AA2047">
        <v>5</v>
      </c>
      <c r="AB2047" t="str">
        <f t="shared" si="95"/>
        <v>Below average customer</v>
      </c>
    </row>
    <row r="2048" spans="1:28" x14ac:dyDescent="0.35">
      <c r="A2048">
        <v>8720</v>
      </c>
      <c r="B2048">
        <v>1978</v>
      </c>
      <c r="C2048" t="s">
        <v>31</v>
      </c>
      <c r="D2048" t="s">
        <v>34</v>
      </c>
      <c r="E2048" t="s">
        <v>29</v>
      </c>
      <c r="G2048" t="str">
        <f t="shared" si="93"/>
        <v>Low</v>
      </c>
      <c r="H2048">
        <v>0</v>
      </c>
      <c r="I2048">
        <v>0</v>
      </c>
      <c r="J2048">
        <v>0</v>
      </c>
      <c r="K2048" s="1">
        <v>41133</v>
      </c>
      <c r="L2048">
        <v>53</v>
      </c>
      <c r="M2048" t="str">
        <f t="shared" si="94"/>
        <v>Inactive</v>
      </c>
      <c r="N2048">
        <v>0</v>
      </c>
      <c r="O2048">
        <v>32</v>
      </c>
      <c r="P2048">
        <v>2</v>
      </c>
      <c r="Q2048">
        <v>1607</v>
      </c>
      <c r="R2048">
        <v>12</v>
      </c>
      <c r="S2048">
        <v>4</v>
      </c>
      <c r="T2048">
        <v>22</v>
      </c>
      <c r="U2048">
        <v>1679</v>
      </c>
      <c r="V2048">
        <v>0</v>
      </c>
      <c r="W2048">
        <v>0</v>
      </c>
      <c r="X2048">
        <v>0</v>
      </c>
      <c r="Y2048">
        <v>1</v>
      </c>
      <c r="Z2048">
        <v>1</v>
      </c>
      <c r="AA2048">
        <v>0</v>
      </c>
      <c r="AB2048" t="str">
        <f t="shared" si="95"/>
        <v>Below average customer</v>
      </c>
    </row>
    <row r="2049" spans="1:28" x14ac:dyDescent="0.35">
      <c r="A2049">
        <v>10084</v>
      </c>
      <c r="B2049">
        <v>1972</v>
      </c>
      <c r="C2049" t="s">
        <v>28</v>
      </c>
      <c r="D2049" t="s">
        <v>26</v>
      </c>
      <c r="E2049" t="s">
        <v>33</v>
      </c>
      <c r="F2049">
        <v>24434</v>
      </c>
      <c r="G2049" t="str">
        <f t="shared" si="93"/>
        <v>Low</v>
      </c>
      <c r="H2049">
        <v>2</v>
      </c>
      <c r="I2049">
        <v>0</v>
      </c>
      <c r="J2049">
        <v>2</v>
      </c>
      <c r="K2049" s="1">
        <v>41777</v>
      </c>
      <c r="L2049">
        <v>9</v>
      </c>
      <c r="M2049" t="str">
        <f t="shared" si="94"/>
        <v>Active</v>
      </c>
      <c r="N2049">
        <v>0</v>
      </c>
      <c r="O2049">
        <v>3</v>
      </c>
      <c r="P2049">
        <v>2</v>
      </c>
      <c r="Q2049">
        <v>8</v>
      </c>
      <c r="R2049">
        <v>20</v>
      </c>
      <c r="S2049">
        <v>0</v>
      </c>
      <c r="T2049">
        <v>17</v>
      </c>
      <c r="U2049">
        <v>50</v>
      </c>
      <c r="V2049">
        <v>2</v>
      </c>
      <c r="W2049">
        <v>2</v>
      </c>
      <c r="X2049">
        <v>1</v>
      </c>
      <c r="Y2049">
        <v>2</v>
      </c>
      <c r="Z2049">
        <v>5</v>
      </c>
      <c r="AA2049">
        <v>7</v>
      </c>
      <c r="AB2049" t="str">
        <f t="shared" si="95"/>
        <v>Below average customer</v>
      </c>
    </row>
    <row r="2050" spans="1:28" x14ac:dyDescent="0.35">
      <c r="A2050">
        <v>7004</v>
      </c>
      <c r="B2050">
        <v>1984</v>
      </c>
      <c r="C2050" t="s">
        <v>30</v>
      </c>
      <c r="D2050" t="s">
        <v>26</v>
      </c>
      <c r="E2050" t="s">
        <v>27</v>
      </c>
      <c r="F2050">
        <v>11012</v>
      </c>
      <c r="G2050" t="str">
        <f t="shared" ref="G2050:G2113" si="96">IF(F2050&lt;=_xlfn.PERCENTILE.INC($F$2:$F$2056,0.25),"Low",IF(F2050&lt;=_xlfn.PERCENTILE.INC($F$2:$F$2056,0.5),"Mid-low",IF(F2050&lt;=_xlfn.PERCENTILE.INC($F$2:$F$2056,0.75),"Mid-high","High")))</f>
        <v>Low</v>
      </c>
      <c r="H2050">
        <v>1</v>
      </c>
      <c r="I2050">
        <v>0</v>
      </c>
      <c r="J2050">
        <v>1</v>
      </c>
      <c r="K2050" s="1">
        <v>41349</v>
      </c>
      <c r="L2050">
        <v>82</v>
      </c>
      <c r="M2050" t="str">
        <f t="shared" ref="M2050:M2113" si="97">IF(L2050&gt;AVERAGE($L$2:$L$2056),"Inactive","Active")</f>
        <v>Inactive</v>
      </c>
      <c r="N2050">
        <v>0</v>
      </c>
      <c r="O2050">
        <v>24</v>
      </c>
      <c r="P2050">
        <v>3</v>
      </c>
      <c r="Q2050">
        <v>26</v>
      </c>
      <c r="R2050">
        <v>7</v>
      </c>
      <c r="S2050">
        <v>1</v>
      </c>
      <c r="T2050">
        <v>23</v>
      </c>
      <c r="U2050">
        <v>84</v>
      </c>
      <c r="V2050">
        <v>3</v>
      </c>
      <c r="W2050">
        <v>3</v>
      </c>
      <c r="X2050">
        <v>1</v>
      </c>
      <c r="Y2050">
        <v>2</v>
      </c>
      <c r="Z2050">
        <v>6</v>
      </c>
      <c r="AA2050">
        <v>9</v>
      </c>
      <c r="AB2050" t="str">
        <f t="shared" ref="AB2050:AB2056" si="98">IF(AND(Z2050&gt;AVERAGE($Z$2:$Z$2056),U2050&gt;AVERAGE($U$2:$U$2056),N2050=0,L2050&lt;AVERAGE($L$2:$L$2056),F2050&gt;AVERAGE($F$2:$F$2240)),"Above average customer","Below average customer")</f>
        <v>Below average customer</v>
      </c>
    </row>
    <row r="2051" spans="1:28" x14ac:dyDescent="0.35">
      <c r="A2051">
        <v>9817</v>
      </c>
      <c r="B2051">
        <v>1970</v>
      </c>
      <c r="C2051" t="s">
        <v>28</v>
      </c>
      <c r="D2051" t="s">
        <v>34</v>
      </c>
      <c r="E2051" t="s">
        <v>27</v>
      </c>
      <c r="F2051">
        <v>44802</v>
      </c>
      <c r="G2051" t="str">
        <f t="shared" si="96"/>
        <v>Mid-low</v>
      </c>
      <c r="H2051">
        <v>0</v>
      </c>
      <c r="I2051">
        <v>0</v>
      </c>
      <c r="J2051">
        <v>0</v>
      </c>
      <c r="K2051" s="1">
        <v>41142</v>
      </c>
      <c r="L2051">
        <v>71</v>
      </c>
      <c r="M2051" t="str">
        <f t="shared" si="97"/>
        <v>Inactive</v>
      </c>
      <c r="N2051">
        <v>0</v>
      </c>
      <c r="O2051">
        <v>853</v>
      </c>
      <c r="P2051">
        <v>10</v>
      </c>
      <c r="Q2051">
        <v>143</v>
      </c>
      <c r="R2051">
        <v>13</v>
      </c>
      <c r="S2051">
        <v>10</v>
      </c>
      <c r="T2051">
        <v>20</v>
      </c>
      <c r="U2051">
        <v>1049</v>
      </c>
      <c r="V2051">
        <v>2</v>
      </c>
      <c r="W2051">
        <v>9</v>
      </c>
      <c r="X2051">
        <v>4</v>
      </c>
      <c r="Y2051">
        <v>12</v>
      </c>
      <c r="Z2051">
        <v>25</v>
      </c>
      <c r="AA2051">
        <v>8</v>
      </c>
      <c r="AB2051" t="str">
        <f t="shared" si="98"/>
        <v>Below average customer</v>
      </c>
    </row>
    <row r="2052" spans="1:28" x14ac:dyDescent="0.35">
      <c r="A2052">
        <v>8080</v>
      </c>
      <c r="B2052">
        <v>1986</v>
      </c>
      <c r="C2052" t="s">
        <v>30</v>
      </c>
      <c r="D2052" t="s">
        <v>26</v>
      </c>
      <c r="E2052" t="s">
        <v>27</v>
      </c>
      <c r="F2052">
        <v>26816</v>
      </c>
      <c r="G2052" t="str">
        <f t="shared" si="96"/>
        <v>Low</v>
      </c>
      <c r="H2052">
        <v>0</v>
      </c>
      <c r="I2052">
        <v>0</v>
      </c>
      <c r="J2052">
        <v>0</v>
      </c>
      <c r="K2052" s="1">
        <v>41138</v>
      </c>
      <c r="L2052">
        <v>50</v>
      </c>
      <c r="M2052" t="str">
        <f t="shared" si="97"/>
        <v>Inactive</v>
      </c>
      <c r="N2052">
        <v>0</v>
      </c>
      <c r="O2052">
        <v>5</v>
      </c>
      <c r="P2052">
        <v>1</v>
      </c>
      <c r="Q2052">
        <v>6</v>
      </c>
      <c r="R2052">
        <v>3</v>
      </c>
      <c r="S2052">
        <v>4</v>
      </c>
      <c r="T2052">
        <v>3</v>
      </c>
      <c r="U2052">
        <v>22</v>
      </c>
      <c r="V2052">
        <v>1</v>
      </c>
      <c r="W2052">
        <v>0</v>
      </c>
      <c r="X2052">
        <v>0</v>
      </c>
      <c r="Y2052">
        <v>3</v>
      </c>
      <c r="Z2052">
        <v>3</v>
      </c>
      <c r="AA2052">
        <v>4</v>
      </c>
      <c r="AB2052" t="str">
        <f t="shared" si="98"/>
        <v>Below average customer</v>
      </c>
    </row>
    <row r="2053" spans="1:28" x14ac:dyDescent="0.35">
      <c r="A2053">
        <v>9432</v>
      </c>
      <c r="B2053">
        <v>1977</v>
      </c>
      <c r="C2053" t="s">
        <v>31</v>
      </c>
      <c r="D2053" t="s">
        <v>26</v>
      </c>
      <c r="E2053" t="s">
        <v>29</v>
      </c>
      <c r="F2053">
        <v>666666</v>
      </c>
      <c r="G2053" t="str">
        <f t="shared" si="96"/>
        <v>High</v>
      </c>
      <c r="H2053">
        <v>1</v>
      </c>
      <c r="I2053">
        <v>0</v>
      </c>
      <c r="J2053">
        <v>1</v>
      </c>
      <c r="K2053" s="1">
        <v>41427</v>
      </c>
      <c r="L2053">
        <v>23</v>
      </c>
      <c r="M2053" t="str">
        <f t="shared" si="97"/>
        <v>Active</v>
      </c>
      <c r="N2053">
        <v>0</v>
      </c>
      <c r="O2053">
        <v>9</v>
      </c>
      <c r="P2053">
        <v>14</v>
      </c>
      <c r="Q2053">
        <v>18</v>
      </c>
      <c r="R2053">
        <v>8</v>
      </c>
      <c r="S2053">
        <v>1</v>
      </c>
      <c r="T2053">
        <v>12</v>
      </c>
      <c r="U2053">
        <v>62</v>
      </c>
      <c r="V2053">
        <v>4</v>
      </c>
      <c r="W2053">
        <v>3</v>
      </c>
      <c r="X2053">
        <v>1</v>
      </c>
      <c r="Y2053">
        <v>3</v>
      </c>
      <c r="Z2053">
        <v>7</v>
      </c>
      <c r="AA2053">
        <v>6</v>
      </c>
      <c r="AB2053" t="str">
        <f t="shared" si="98"/>
        <v>Below average customer</v>
      </c>
    </row>
    <row r="2054" spans="1:28" x14ac:dyDescent="0.35">
      <c r="A2054">
        <v>10870</v>
      </c>
      <c r="B2054">
        <v>1967</v>
      </c>
      <c r="C2054" t="s">
        <v>28</v>
      </c>
      <c r="D2054" t="s">
        <v>26</v>
      </c>
      <c r="E2054" t="s">
        <v>33</v>
      </c>
      <c r="F2054">
        <v>61223</v>
      </c>
      <c r="G2054" t="str">
        <f t="shared" si="96"/>
        <v>Mid-high</v>
      </c>
      <c r="H2054">
        <v>0</v>
      </c>
      <c r="I2054">
        <v>1</v>
      </c>
      <c r="J2054">
        <v>1</v>
      </c>
      <c r="K2054" s="1">
        <v>41438</v>
      </c>
      <c r="L2054">
        <v>46</v>
      </c>
      <c r="M2054" t="str">
        <f t="shared" si="97"/>
        <v>Active</v>
      </c>
      <c r="N2054">
        <v>0</v>
      </c>
      <c r="O2054">
        <v>709</v>
      </c>
      <c r="P2054">
        <v>43</v>
      </c>
      <c r="Q2054">
        <v>182</v>
      </c>
      <c r="R2054">
        <v>42</v>
      </c>
      <c r="S2054">
        <v>118</v>
      </c>
      <c r="T2054">
        <v>247</v>
      </c>
      <c r="U2054">
        <v>1341</v>
      </c>
      <c r="V2054">
        <v>2</v>
      </c>
      <c r="W2054">
        <v>9</v>
      </c>
      <c r="X2054">
        <v>3</v>
      </c>
      <c r="Y2054">
        <v>4</v>
      </c>
      <c r="Z2054">
        <v>16</v>
      </c>
      <c r="AA2054">
        <v>5</v>
      </c>
      <c r="AB2054" t="str">
        <f t="shared" si="98"/>
        <v>Above average customer</v>
      </c>
    </row>
    <row r="2055" spans="1:28" x14ac:dyDescent="0.35">
      <c r="A2055">
        <v>7270</v>
      </c>
      <c r="B2055">
        <v>1981</v>
      </c>
      <c r="C2055" t="s">
        <v>31</v>
      </c>
      <c r="D2055" t="s">
        <v>26</v>
      </c>
      <c r="E2055" t="s">
        <v>35</v>
      </c>
      <c r="F2055">
        <v>56981</v>
      </c>
      <c r="G2055" t="str">
        <f t="shared" si="96"/>
        <v>Mid-high</v>
      </c>
      <c r="H2055">
        <v>0</v>
      </c>
      <c r="I2055">
        <v>0</v>
      </c>
      <c r="J2055">
        <v>0</v>
      </c>
      <c r="K2055" s="1">
        <v>41664</v>
      </c>
      <c r="L2055">
        <v>91</v>
      </c>
      <c r="M2055" t="str">
        <f t="shared" si="97"/>
        <v>Inactive</v>
      </c>
      <c r="N2055">
        <v>0</v>
      </c>
      <c r="O2055">
        <v>908</v>
      </c>
      <c r="P2055">
        <v>48</v>
      </c>
      <c r="Q2055">
        <v>217</v>
      </c>
      <c r="R2055">
        <v>32</v>
      </c>
      <c r="S2055">
        <v>12</v>
      </c>
      <c r="T2055">
        <v>24</v>
      </c>
      <c r="U2055">
        <v>1241</v>
      </c>
      <c r="V2055">
        <v>1</v>
      </c>
      <c r="W2055">
        <v>2</v>
      </c>
      <c r="X2055">
        <v>3</v>
      </c>
      <c r="Y2055">
        <v>13</v>
      </c>
      <c r="Z2055">
        <v>18</v>
      </c>
      <c r="AA2055">
        <v>6</v>
      </c>
      <c r="AB2055" t="str">
        <f t="shared" si="98"/>
        <v>Below average customer</v>
      </c>
    </row>
    <row r="2056" spans="1:28" x14ac:dyDescent="0.35">
      <c r="A2056">
        <v>8235</v>
      </c>
      <c r="B2056">
        <v>1956</v>
      </c>
      <c r="C2056" t="s">
        <v>25</v>
      </c>
      <c r="D2056" t="s">
        <v>34</v>
      </c>
      <c r="E2056" t="s">
        <v>29</v>
      </c>
      <c r="F2056">
        <v>69245</v>
      </c>
      <c r="G2056" t="str">
        <f t="shared" si="96"/>
        <v>High</v>
      </c>
      <c r="H2056">
        <v>0</v>
      </c>
      <c r="I2056">
        <v>1</v>
      </c>
      <c r="J2056">
        <v>1</v>
      </c>
      <c r="K2056" s="1">
        <v>41663</v>
      </c>
      <c r="L2056">
        <v>8</v>
      </c>
      <c r="M2056" t="str">
        <f t="shared" si="97"/>
        <v>Active</v>
      </c>
      <c r="N2056">
        <v>0</v>
      </c>
      <c r="O2056">
        <v>428</v>
      </c>
      <c r="P2056">
        <v>30</v>
      </c>
      <c r="Q2056">
        <v>214</v>
      </c>
      <c r="R2056">
        <v>80</v>
      </c>
      <c r="S2056">
        <v>30</v>
      </c>
      <c r="T2056">
        <v>61</v>
      </c>
      <c r="U2056">
        <v>843</v>
      </c>
      <c r="V2056">
        <v>2</v>
      </c>
      <c r="W2056">
        <v>6</v>
      </c>
      <c r="X2056">
        <v>5</v>
      </c>
      <c r="Y2056">
        <v>10</v>
      </c>
      <c r="Z2056">
        <v>21</v>
      </c>
      <c r="AA2056">
        <v>3</v>
      </c>
      <c r="AB2056" t="str">
        <f t="shared" si="98"/>
        <v>Above average customer</v>
      </c>
    </row>
    <row r="2057" spans="1:28" x14ac:dyDescent="0.35">
      <c r="A2057">
        <v>12345</v>
      </c>
      <c r="B2057">
        <v>1974</v>
      </c>
      <c r="D2057" t="s">
        <v>76</v>
      </c>
      <c r="E2057" t="s">
        <v>29</v>
      </c>
      <c r="F2057">
        <v>60000</v>
      </c>
      <c r="K2057" s="1"/>
    </row>
  </sheetData>
  <pageMargins left="0.7" right="0.7" top="0.75" bottom="0.75" header="0.3" footer="0.3"/>
  <drawing r:id="rId1"/>
  <legacyDrawing r:id="rId2"/>
  <controls>
    <mc:AlternateContent xmlns:mc="http://schemas.openxmlformats.org/markup-compatibility/2006">
      <mc:Choice Requires="x14">
        <control shapeId="6145" r:id="rId3" name="CommandButton1">
          <controlPr defaultSize="0" autoLine="0" r:id="rId4">
            <anchor moveWithCells="1">
              <from>
                <xdr:col>29</xdr:col>
                <xdr:colOff>381000</xdr:colOff>
                <xdr:row>98</xdr:row>
                <xdr:rowOff>165100</xdr:rowOff>
              </from>
              <to>
                <xdr:col>33</xdr:col>
                <xdr:colOff>482600</xdr:colOff>
                <xdr:row>102</xdr:row>
                <xdr:rowOff>82550</xdr:rowOff>
              </to>
            </anchor>
          </controlPr>
        </control>
      </mc:Choice>
      <mc:Fallback>
        <control shapeId="6145" r:id="rId3" name="CommandButton1"/>
      </mc:Fallback>
    </mc:AlternateContent>
    <mc:AlternateContent xmlns:mc="http://schemas.openxmlformats.org/markup-compatibility/2006">
      <mc:Choice Requires="x14">
        <control shapeId="6146" r:id="rId5" name="CommandButton2">
          <controlPr defaultSize="0" autoLine="0" r:id="rId6">
            <anchor moveWithCells="1">
              <from>
                <xdr:col>29</xdr:col>
                <xdr:colOff>355600</xdr:colOff>
                <xdr:row>68</xdr:row>
                <xdr:rowOff>44450</xdr:rowOff>
              </from>
              <to>
                <xdr:col>33</xdr:col>
                <xdr:colOff>495300</xdr:colOff>
                <xdr:row>71</xdr:row>
                <xdr:rowOff>101600</xdr:rowOff>
              </to>
            </anchor>
          </controlPr>
        </control>
      </mc:Choice>
      <mc:Fallback>
        <control shapeId="6146" r:id="rId5" name="CommandButton2"/>
      </mc:Fallback>
    </mc:AlternateContent>
    <mc:AlternateContent xmlns:mc="http://schemas.openxmlformats.org/markup-compatibility/2006">
      <mc:Choice Requires="x14">
        <control shapeId="6147" r:id="rId7" name="Add_Customer">
          <controlPr defaultSize="0" autoLine="0" r:id="rId8">
            <anchor moveWithCells="1">
              <from>
                <xdr:col>28</xdr:col>
                <xdr:colOff>450850</xdr:colOff>
                <xdr:row>1</xdr:row>
                <xdr:rowOff>57150</xdr:rowOff>
              </from>
              <to>
                <xdr:col>32</xdr:col>
                <xdr:colOff>508000</xdr:colOff>
                <xdr:row>4</xdr:row>
                <xdr:rowOff>158750</xdr:rowOff>
              </to>
            </anchor>
          </controlPr>
        </control>
      </mc:Choice>
      <mc:Fallback>
        <control shapeId="6147" r:id="rId7" name="Add_Customer"/>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L109"/>
  <sheetViews>
    <sheetView zoomScale="65" workbookViewId="0">
      <selection activeCell="C14" sqref="C14"/>
    </sheetView>
  </sheetViews>
  <sheetFormatPr defaultRowHeight="14.5" x14ac:dyDescent="0.35"/>
  <cols>
    <col min="1" max="1" width="13.6328125" bestFit="1" customWidth="1"/>
    <col min="2" max="2" width="23.1796875" bestFit="1" customWidth="1"/>
    <col min="3" max="3" width="22.7265625" bestFit="1" customWidth="1"/>
    <col min="4" max="4" width="26.6328125" bestFit="1" customWidth="1"/>
    <col min="5" max="5" width="24.7265625" bestFit="1" customWidth="1"/>
    <col min="6" max="6" width="26" bestFit="1" customWidth="1"/>
    <col min="7" max="7" width="18.6328125" bestFit="1" customWidth="1"/>
    <col min="8" max="8" width="19.08984375" bestFit="1" customWidth="1"/>
    <col min="9" max="9" width="16.453125" bestFit="1" customWidth="1"/>
    <col min="10" max="10" width="10.90625" bestFit="1" customWidth="1"/>
  </cols>
  <sheetData>
    <row r="1" spans="1:12" x14ac:dyDescent="0.35">
      <c r="A1" s="4" t="s">
        <v>35</v>
      </c>
    </row>
    <row r="2" spans="1:12" x14ac:dyDescent="0.35">
      <c r="A2" s="4" t="s">
        <v>33</v>
      </c>
    </row>
    <row r="3" spans="1:12" x14ac:dyDescent="0.35">
      <c r="A3" s="4" t="s">
        <v>27</v>
      </c>
      <c r="D3" s="3" t="s">
        <v>40</v>
      </c>
      <c r="E3" t="s">
        <v>53</v>
      </c>
      <c r="F3" s="3" t="s">
        <v>40</v>
      </c>
      <c r="G3" t="s">
        <v>61</v>
      </c>
    </row>
    <row r="4" spans="1:12" x14ac:dyDescent="0.35">
      <c r="A4" s="4" t="s">
        <v>29</v>
      </c>
      <c r="D4" s="4" t="s">
        <v>37</v>
      </c>
      <c r="E4" s="6">
        <v>5.2857142857142856</v>
      </c>
      <c r="F4" s="4" t="s">
        <v>59</v>
      </c>
      <c r="G4" s="13">
        <v>365</v>
      </c>
    </row>
    <row r="5" spans="1:12" x14ac:dyDescent="0.35">
      <c r="A5" s="4" t="s">
        <v>38</v>
      </c>
      <c r="D5" s="4" t="s">
        <v>26</v>
      </c>
      <c r="E5" s="6">
        <v>12.716229348882409</v>
      </c>
      <c r="F5" s="4" t="s">
        <v>60</v>
      </c>
      <c r="G5" s="13">
        <v>1690</v>
      </c>
    </row>
    <row r="6" spans="1:12" x14ac:dyDescent="0.35">
      <c r="D6" s="4" t="s">
        <v>34</v>
      </c>
      <c r="E6" s="6">
        <v>12.170132325141777</v>
      </c>
      <c r="F6" s="4" t="s">
        <v>41</v>
      </c>
      <c r="G6" s="13">
        <v>2055</v>
      </c>
    </row>
    <row r="7" spans="1:12" x14ac:dyDescent="0.35">
      <c r="D7" s="4" t="s">
        <v>32</v>
      </c>
      <c r="E7" s="6">
        <v>13.339285714285714</v>
      </c>
    </row>
    <row r="8" spans="1:12" x14ac:dyDescent="0.35">
      <c r="D8" s="4" t="s">
        <v>41</v>
      </c>
      <c r="E8" s="6">
        <v>12.534306569343066</v>
      </c>
    </row>
    <row r="12" spans="1:12" x14ac:dyDescent="0.35">
      <c r="E12" s="5" t="s">
        <v>40</v>
      </c>
      <c r="F12" s="6" t="s">
        <v>56</v>
      </c>
      <c r="G12" s="6" t="s">
        <v>52</v>
      </c>
      <c r="H12" s="6" t="s">
        <v>40</v>
      </c>
      <c r="I12" s="6" t="s">
        <v>56</v>
      </c>
      <c r="J12" s="6" t="s">
        <v>52</v>
      </c>
      <c r="K12" s="6"/>
    </row>
    <row r="13" spans="1:12" x14ac:dyDescent="0.35">
      <c r="E13" s="7" t="s">
        <v>37</v>
      </c>
      <c r="F13" s="9">
        <v>19913.34693877551</v>
      </c>
      <c r="G13" s="9">
        <v>83.91836734693878</v>
      </c>
      <c r="H13" s="6" t="s">
        <v>37</v>
      </c>
      <c r="I13" s="9">
        <v>19913.34693877551</v>
      </c>
      <c r="J13" s="9">
        <v>83.91836734693878</v>
      </c>
      <c r="K13" s="6"/>
    </row>
    <row r="14" spans="1:12" x14ac:dyDescent="0.35">
      <c r="E14" s="7" t="s">
        <v>26</v>
      </c>
      <c r="F14" s="9">
        <v>52957.523575638508</v>
      </c>
      <c r="G14" s="9">
        <v>621.9436345966958</v>
      </c>
      <c r="H14" s="6" t="s">
        <v>34</v>
      </c>
      <c r="I14" s="9">
        <v>47595.24324324324</v>
      </c>
      <c r="J14" s="9">
        <v>497.281914893617</v>
      </c>
      <c r="K14" s="6"/>
    </row>
    <row r="15" spans="1:12" x14ac:dyDescent="0.35">
      <c r="E15" s="7" t="s">
        <v>34</v>
      </c>
      <c r="F15" s="9">
        <v>51194.794625719769</v>
      </c>
      <c r="G15" s="9">
        <v>576.57277882797734</v>
      </c>
      <c r="H15" s="6" t="s">
        <v>26</v>
      </c>
      <c r="I15" s="9">
        <v>52957.523575638508</v>
      </c>
      <c r="J15" s="9">
        <v>621.9436345966958</v>
      </c>
      <c r="K15" s="6"/>
    </row>
    <row r="16" spans="1:12" x14ac:dyDescent="0.35">
      <c r="E16" s="7" t="s">
        <v>32</v>
      </c>
      <c r="F16" s="9">
        <v>55984.808126410833</v>
      </c>
      <c r="G16" s="9">
        <v>664.86383928571433</v>
      </c>
      <c r="H16" s="6" t="s">
        <v>34</v>
      </c>
      <c r="I16" s="9">
        <v>53176.690476190473</v>
      </c>
      <c r="J16" s="9">
        <v>620.28739002932548</v>
      </c>
      <c r="K16" s="6"/>
      <c r="L16" s="6"/>
    </row>
    <row r="17" spans="1:12" x14ac:dyDescent="0.35">
      <c r="H17" s="6" t="s">
        <v>32</v>
      </c>
      <c r="I17" s="9">
        <v>55984.808126410833</v>
      </c>
      <c r="J17" s="9">
        <v>664.86383928571433</v>
      </c>
      <c r="K17" s="6"/>
      <c r="L17" s="6"/>
    </row>
    <row r="18" spans="1:12" x14ac:dyDescent="0.35">
      <c r="I18" s="6"/>
      <c r="J18" s="6"/>
      <c r="K18" s="6"/>
      <c r="L18" s="6"/>
    </row>
    <row r="19" spans="1:12" x14ac:dyDescent="0.35">
      <c r="H19" s="6" t="s">
        <v>40</v>
      </c>
      <c r="I19" s="6" t="s">
        <v>56</v>
      </c>
      <c r="J19" s="6" t="s">
        <v>52</v>
      </c>
      <c r="K19" s="6"/>
      <c r="L19" s="6"/>
    </row>
    <row r="20" spans="1:12" x14ac:dyDescent="0.35">
      <c r="H20" s="6" t="s">
        <v>37</v>
      </c>
      <c r="I20" s="9">
        <v>19913.34693877551</v>
      </c>
      <c r="J20" s="9">
        <v>83.91836734693878</v>
      </c>
      <c r="K20" s="6"/>
      <c r="L20" s="6"/>
    </row>
    <row r="21" spans="1:12" x14ac:dyDescent="0.35">
      <c r="A21" s="8" t="s">
        <v>57</v>
      </c>
      <c r="B21" s="8" t="s">
        <v>58</v>
      </c>
      <c r="C21" s="8" t="s">
        <v>65</v>
      </c>
      <c r="D21" s="8" t="s">
        <v>64</v>
      </c>
      <c r="H21" s="6" t="s">
        <v>26</v>
      </c>
      <c r="I21" s="9">
        <v>52957.523575638508</v>
      </c>
      <c r="J21" s="9">
        <v>621.9436345966958</v>
      </c>
      <c r="K21" s="6"/>
      <c r="L21" s="6"/>
    </row>
    <row r="22" spans="1:12" x14ac:dyDescent="0.35">
      <c r="A22" s="8" t="s">
        <v>59</v>
      </c>
      <c r="B22" s="8" t="s">
        <v>62</v>
      </c>
      <c r="C22" s="8">
        <v>768</v>
      </c>
      <c r="D22" s="8">
        <v>0</v>
      </c>
      <c r="H22" s="6" t="s">
        <v>34</v>
      </c>
      <c r="I22" s="9">
        <v>51194.794625719769</v>
      </c>
      <c r="J22" s="9">
        <v>576.57277882797734</v>
      </c>
      <c r="K22" s="6"/>
      <c r="L22" s="6"/>
    </row>
    <row r="23" spans="1:12" x14ac:dyDescent="0.35">
      <c r="A23" s="8" t="s">
        <v>60</v>
      </c>
      <c r="B23" s="8" t="s">
        <v>62</v>
      </c>
      <c r="C23" s="8">
        <v>3630</v>
      </c>
      <c r="D23" s="8">
        <v>17</v>
      </c>
      <c r="H23" s="6" t="s">
        <v>32</v>
      </c>
      <c r="I23" s="9">
        <v>55984.808126410833</v>
      </c>
      <c r="J23" s="9">
        <v>664.86383928571433</v>
      </c>
      <c r="K23" s="6"/>
      <c r="L23" s="6"/>
    </row>
    <row r="24" spans="1:12" x14ac:dyDescent="0.35">
      <c r="A24" s="8" t="s">
        <v>60</v>
      </c>
      <c r="B24" s="8" t="s">
        <v>63</v>
      </c>
      <c r="C24" s="8">
        <v>404</v>
      </c>
      <c r="D24" s="8">
        <v>3</v>
      </c>
      <c r="H24" s="6"/>
      <c r="I24" s="6"/>
      <c r="J24" s="6"/>
      <c r="K24" s="6"/>
      <c r="L24" s="6"/>
    </row>
    <row r="25" spans="1:12" x14ac:dyDescent="0.35">
      <c r="H25" s="6"/>
      <c r="I25" s="6"/>
      <c r="J25" s="6"/>
      <c r="K25" s="6"/>
      <c r="L25" s="6"/>
    </row>
    <row r="26" spans="1:12" x14ac:dyDescent="0.35">
      <c r="H26" s="6"/>
      <c r="I26" s="6"/>
      <c r="J26" s="6"/>
      <c r="K26" s="6"/>
      <c r="L26" s="6"/>
    </row>
    <row r="27" spans="1:12" x14ac:dyDescent="0.35">
      <c r="H27" s="6"/>
      <c r="I27" s="6"/>
      <c r="J27" s="6"/>
      <c r="K27" s="6"/>
      <c r="L27" s="6"/>
    </row>
    <row r="28" spans="1:12" x14ac:dyDescent="0.35">
      <c r="H28" s="6"/>
      <c r="I28" s="6"/>
      <c r="J28" s="6"/>
      <c r="K28" s="6"/>
      <c r="L28" s="6"/>
    </row>
    <row r="29" spans="1:12" x14ac:dyDescent="0.35">
      <c r="H29" s="6"/>
      <c r="I29" s="6"/>
      <c r="J29" s="6"/>
      <c r="K29" s="6"/>
      <c r="L29" s="6"/>
    </row>
    <row r="30" spans="1:12" x14ac:dyDescent="0.35">
      <c r="F30" s="6"/>
      <c r="G30" s="6"/>
      <c r="H30" s="6"/>
      <c r="I30" s="6"/>
      <c r="J30" s="6"/>
      <c r="K30" s="6"/>
      <c r="L30" s="6"/>
    </row>
    <row r="31" spans="1:12" x14ac:dyDescent="0.35">
      <c r="F31" s="6"/>
      <c r="G31" s="6"/>
      <c r="H31" s="6"/>
      <c r="I31" s="6"/>
      <c r="J31" s="6"/>
      <c r="K31" s="6"/>
      <c r="L31" s="6"/>
    </row>
    <row r="32" spans="1:12" x14ac:dyDescent="0.35">
      <c r="F32" s="6"/>
      <c r="G32" s="6"/>
      <c r="H32" s="6"/>
      <c r="I32" s="6"/>
      <c r="J32" s="6"/>
      <c r="K32" s="6"/>
      <c r="L32" s="6"/>
    </row>
    <row r="33" spans="1:12" x14ac:dyDescent="0.35">
      <c r="F33" s="6"/>
      <c r="G33" s="6"/>
      <c r="H33" s="6"/>
      <c r="I33" s="6"/>
      <c r="J33" s="6"/>
      <c r="K33" s="6"/>
      <c r="L33" s="6"/>
    </row>
    <row r="34" spans="1:12" x14ac:dyDescent="0.35">
      <c r="A34" s="5" t="s">
        <v>40</v>
      </c>
      <c r="B34" s="6" t="s">
        <v>53</v>
      </c>
      <c r="C34" s="6" t="s">
        <v>44</v>
      </c>
      <c r="D34" s="6" t="s">
        <v>45</v>
      </c>
      <c r="E34" s="6" t="s">
        <v>46</v>
      </c>
      <c r="F34" s="6" t="s">
        <v>47</v>
      </c>
      <c r="G34" s="6" t="s">
        <v>43</v>
      </c>
      <c r="H34" s="6" t="s">
        <v>42</v>
      </c>
      <c r="I34" s="6"/>
      <c r="J34" s="6"/>
      <c r="K34" s="6"/>
      <c r="L34" s="6"/>
    </row>
    <row r="35" spans="1:12" x14ac:dyDescent="0.35">
      <c r="A35" s="7" t="s">
        <v>30</v>
      </c>
      <c r="B35" s="6">
        <v>10.871323529411764</v>
      </c>
      <c r="C35" s="6">
        <v>44.944852941176471</v>
      </c>
      <c r="D35" s="6">
        <v>29.588235294117649</v>
      </c>
      <c r="E35" s="6">
        <v>36.900735294117645</v>
      </c>
      <c r="F35" s="6">
        <v>186.40808823529412</v>
      </c>
      <c r="G35" s="6">
        <v>28.367647058823529</v>
      </c>
      <c r="H35" s="6">
        <v>245.99632352941177</v>
      </c>
      <c r="I35" s="6"/>
      <c r="J35" s="6"/>
      <c r="K35" s="6"/>
      <c r="L35" s="6"/>
    </row>
    <row r="36" spans="1:12" x14ac:dyDescent="0.35">
      <c r="A36" s="7" t="s">
        <v>31</v>
      </c>
      <c r="B36" s="6">
        <v>11.392670157068062</v>
      </c>
      <c r="C36" s="6">
        <v>37.207678883071551</v>
      </c>
      <c r="D36" s="6">
        <v>24.387434554973822</v>
      </c>
      <c r="E36" s="6">
        <v>34.00698080279232</v>
      </c>
      <c r="F36" s="6">
        <v>146.00174520069808</v>
      </c>
      <c r="G36" s="6">
        <v>22.345549738219894</v>
      </c>
      <c r="H36" s="6">
        <v>239.75916230366491</v>
      </c>
      <c r="I36" s="6"/>
      <c r="J36" s="6"/>
      <c r="K36" s="6"/>
      <c r="L36" s="6"/>
    </row>
    <row r="37" spans="1:12" x14ac:dyDescent="0.35">
      <c r="A37" s="7" t="s">
        <v>28</v>
      </c>
      <c r="B37" s="6">
        <v>12.542402826855124</v>
      </c>
      <c r="C37" s="6">
        <v>44.759717314487631</v>
      </c>
      <c r="D37" s="6">
        <v>25.879858657243815</v>
      </c>
      <c r="E37" s="6">
        <v>34.685512367491164</v>
      </c>
      <c r="F37" s="6">
        <v>155.27738515901061</v>
      </c>
      <c r="G37" s="6">
        <v>26.286219081272083</v>
      </c>
      <c r="H37" s="6">
        <v>307.92756183745581</v>
      </c>
      <c r="I37" s="6"/>
      <c r="J37" s="6"/>
      <c r="K37" s="6"/>
      <c r="L37" s="6"/>
    </row>
    <row r="38" spans="1:12" x14ac:dyDescent="0.35">
      <c r="A38" s="7" t="s">
        <v>39</v>
      </c>
      <c r="B38" s="6">
        <v>13.333333333333334</v>
      </c>
      <c r="C38" s="6">
        <v>66</v>
      </c>
      <c r="D38" s="6">
        <v>4</v>
      </c>
      <c r="E38" s="6">
        <v>13.333333333333334</v>
      </c>
      <c r="F38" s="6">
        <v>163.66666666666666</v>
      </c>
      <c r="G38" s="6">
        <v>13.333333333333334</v>
      </c>
      <c r="H38" s="6">
        <v>314.33333333333331</v>
      </c>
      <c r="I38" s="6"/>
      <c r="J38" s="6"/>
      <c r="K38" s="6"/>
      <c r="L38" s="6"/>
    </row>
    <row r="39" spans="1:12" x14ac:dyDescent="0.35">
      <c r="A39" s="7" t="s">
        <v>36</v>
      </c>
      <c r="B39" s="6">
        <v>14.567307692307692</v>
      </c>
      <c r="C39" s="6">
        <v>50.293269230769234</v>
      </c>
      <c r="D39" s="6">
        <v>31</v>
      </c>
      <c r="E39" s="6">
        <v>44.120192307692307</v>
      </c>
      <c r="F39" s="6">
        <v>203.19230769230768</v>
      </c>
      <c r="G39" s="6">
        <v>29.908653846153847</v>
      </c>
      <c r="H39" s="6">
        <v>390.95192307692309</v>
      </c>
      <c r="I39" s="6"/>
      <c r="J39" s="6"/>
      <c r="K39" s="6"/>
      <c r="L39" s="6"/>
    </row>
    <row r="40" spans="1:12" x14ac:dyDescent="0.35">
      <c r="A40" s="7" t="s">
        <v>25</v>
      </c>
      <c r="B40" s="6">
        <v>14.096997690531177</v>
      </c>
      <c r="C40" s="6">
        <v>47.736720554272516</v>
      </c>
      <c r="D40" s="6">
        <v>29.519630484988454</v>
      </c>
      <c r="E40" s="6">
        <v>42.556581986143186</v>
      </c>
      <c r="F40" s="6">
        <v>184.75057736720555</v>
      </c>
      <c r="G40" s="6">
        <v>28.450346420323324</v>
      </c>
      <c r="H40" s="6">
        <v>379.25866050808315</v>
      </c>
      <c r="I40" s="6"/>
      <c r="J40" s="6"/>
      <c r="K40" s="6"/>
      <c r="L40" s="6"/>
    </row>
    <row r="41" spans="1:12" x14ac:dyDescent="0.35">
      <c r="A41" s="7" t="s">
        <v>41</v>
      </c>
      <c r="B41" s="6">
        <v>12.534306569343066</v>
      </c>
      <c r="C41" s="6">
        <v>43.896836982968367</v>
      </c>
      <c r="D41" s="6">
        <v>27.207785888077858</v>
      </c>
      <c r="E41" s="6">
        <v>37.371776155717761</v>
      </c>
      <c r="F41" s="6">
        <v>167.883698296837</v>
      </c>
      <c r="G41" s="6">
        <v>26.266666666666666</v>
      </c>
      <c r="H41" s="6">
        <v>304.16545012165449</v>
      </c>
      <c r="I41" s="6"/>
      <c r="J41" s="6"/>
      <c r="K41" s="6"/>
      <c r="L41" s="6"/>
    </row>
    <row r="42" spans="1:12" x14ac:dyDescent="0.35">
      <c r="H42" s="6"/>
      <c r="I42" s="6"/>
      <c r="J42" s="6"/>
      <c r="K42" s="6"/>
      <c r="L42" s="6"/>
    </row>
    <row r="43" spans="1:12" x14ac:dyDescent="0.35">
      <c r="H43" s="6"/>
      <c r="I43" s="6"/>
      <c r="J43" s="6"/>
      <c r="K43" s="6"/>
      <c r="L43" s="6"/>
    </row>
    <row r="44" spans="1:12" x14ac:dyDescent="0.35">
      <c r="A44" s="3" t="s">
        <v>40</v>
      </c>
      <c r="B44" t="s">
        <v>55</v>
      </c>
      <c r="H44" s="6"/>
      <c r="I44" s="6"/>
      <c r="J44" s="6"/>
      <c r="K44" s="6"/>
      <c r="L44" s="6"/>
    </row>
    <row r="45" spans="1:12" x14ac:dyDescent="0.35">
      <c r="A45" s="4" t="s">
        <v>30</v>
      </c>
      <c r="B45" s="13">
        <v>272</v>
      </c>
      <c r="H45" s="6"/>
      <c r="I45" s="6"/>
      <c r="J45" s="6"/>
      <c r="K45" s="6"/>
      <c r="L45" s="6"/>
    </row>
    <row r="46" spans="1:12" x14ac:dyDescent="0.35">
      <c r="A46" s="4" t="s">
        <v>31</v>
      </c>
      <c r="B46" s="13">
        <v>573</v>
      </c>
      <c r="H46" s="6"/>
      <c r="I46" s="6"/>
      <c r="J46" s="6"/>
      <c r="K46" s="6"/>
      <c r="L46" s="6"/>
    </row>
    <row r="47" spans="1:12" x14ac:dyDescent="0.35">
      <c r="A47" s="4" t="s">
        <v>28</v>
      </c>
      <c r="B47" s="13">
        <v>566</v>
      </c>
      <c r="H47" s="6"/>
      <c r="I47" s="6"/>
      <c r="J47" s="6"/>
      <c r="K47" s="6"/>
      <c r="L47" s="6"/>
    </row>
    <row r="48" spans="1:12" x14ac:dyDescent="0.35">
      <c r="A48" s="4" t="s">
        <v>39</v>
      </c>
      <c r="B48" s="13">
        <v>3</v>
      </c>
      <c r="H48" s="6"/>
      <c r="I48" s="6"/>
      <c r="J48" s="6"/>
      <c r="K48" s="6"/>
      <c r="L48" s="6"/>
    </row>
    <row r="49" spans="1:12" x14ac:dyDescent="0.35">
      <c r="A49" s="4" t="s">
        <v>36</v>
      </c>
      <c r="B49" s="13">
        <v>208</v>
      </c>
      <c r="H49" s="6"/>
      <c r="I49" s="6"/>
      <c r="J49" s="6"/>
      <c r="K49" s="6"/>
      <c r="L49" s="6"/>
    </row>
    <row r="50" spans="1:12" x14ac:dyDescent="0.35">
      <c r="A50" s="4" t="s">
        <v>25</v>
      </c>
      <c r="B50" s="13">
        <v>433</v>
      </c>
      <c r="H50" s="6"/>
      <c r="I50" s="6"/>
      <c r="J50" s="6"/>
      <c r="K50" s="6"/>
      <c r="L50" s="6"/>
    </row>
    <row r="51" spans="1:12" x14ac:dyDescent="0.35">
      <c r="A51" s="4" t="s">
        <v>41</v>
      </c>
      <c r="B51" s="13">
        <v>2055</v>
      </c>
      <c r="H51" s="6"/>
      <c r="I51" s="6"/>
      <c r="J51" s="6"/>
      <c r="K51" s="6"/>
      <c r="L51" s="6"/>
    </row>
    <row r="52" spans="1:12" x14ac:dyDescent="0.35">
      <c r="H52" s="6"/>
      <c r="I52" s="6"/>
      <c r="J52" s="6"/>
      <c r="K52" s="6"/>
      <c r="L52" s="6"/>
    </row>
    <row r="53" spans="1:12" x14ac:dyDescent="0.35">
      <c r="A53" s="3" t="s">
        <v>40</v>
      </c>
      <c r="B53" t="s">
        <v>66</v>
      </c>
      <c r="H53" s="6"/>
      <c r="I53" s="6"/>
      <c r="J53" s="6"/>
      <c r="K53" s="6"/>
      <c r="L53" s="6"/>
    </row>
    <row r="54" spans="1:12" x14ac:dyDescent="0.35">
      <c r="A54" s="4" t="s">
        <v>37</v>
      </c>
      <c r="B54" s="13">
        <v>49</v>
      </c>
      <c r="H54" s="6"/>
      <c r="I54" s="6"/>
      <c r="J54" s="6"/>
      <c r="K54" s="6"/>
      <c r="L54" s="6"/>
    </row>
    <row r="55" spans="1:12" x14ac:dyDescent="0.35">
      <c r="A55" s="4" t="s">
        <v>26</v>
      </c>
      <c r="B55" s="13">
        <v>1029</v>
      </c>
      <c r="H55" s="6"/>
      <c r="I55" s="6"/>
      <c r="J55" s="6"/>
      <c r="K55" s="6"/>
      <c r="L55" s="6"/>
    </row>
    <row r="56" spans="1:12" x14ac:dyDescent="0.35">
      <c r="A56" s="4" t="s">
        <v>34</v>
      </c>
      <c r="B56" s="13">
        <v>529</v>
      </c>
      <c r="H56" s="6"/>
      <c r="I56" s="6"/>
      <c r="J56" s="6"/>
      <c r="K56" s="6"/>
      <c r="L56" s="6"/>
    </row>
    <row r="57" spans="1:12" x14ac:dyDescent="0.35">
      <c r="A57" s="4" t="s">
        <v>32</v>
      </c>
      <c r="B57" s="13">
        <v>448</v>
      </c>
      <c r="H57" s="6"/>
      <c r="I57" s="6"/>
      <c r="J57" s="6"/>
      <c r="K57" s="6"/>
      <c r="L57" s="6"/>
    </row>
    <row r="58" spans="1:12" x14ac:dyDescent="0.35">
      <c r="A58" s="4" t="s">
        <v>41</v>
      </c>
      <c r="B58" s="13">
        <v>2055</v>
      </c>
      <c r="H58" s="6"/>
      <c r="I58" s="6"/>
      <c r="J58" s="6"/>
      <c r="K58" s="6"/>
      <c r="L58" s="6"/>
    </row>
    <row r="59" spans="1:12" x14ac:dyDescent="0.35">
      <c r="H59" s="6"/>
      <c r="I59" s="6"/>
      <c r="J59" s="6"/>
      <c r="K59" s="6"/>
      <c r="L59" s="6"/>
    </row>
    <row r="60" spans="1:12" x14ac:dyDescent="0.35">
      <c r="H60" s="6"/>
      <c r="I60" s="6"/>
      <c r="J60" s="6"/>
      <c r="K60" s="6"/>
      <c r="L60" s="6"/>
    </row>
    <row r="61" spans="1:12" x14ac:dyDescent="0.35">
      <c r="A61" s="3" t="s">
        <v>40</v>
      </c>
      <c r="B61" t="s">
        <v>67</v>
      </c>
      <c r="H61" s="6"/>
      <c r="I61" s="6"/>
      <c r="J61" s="6"/>
      <c r="K61" s="6"/>
      <c r="L61" s="6"/>
    </row>
    <row r="62" spans="1:12" x14ac:dyDescent="0.35">
      <c r="A62" s="4">
        <v>0</v>
      </c>
      <c r="B62" s="13">
        <v>577</v>
      </c>
      <c r="H62" s="6"/>
      <c r="I62" s="6"/>
      <c r="J62" s="6"/>
      <c r="K62" s="6"/>
      <c r="L62" s="6"/>
    </row>
    <row r="63" spans="1:12" x14ac:dyDescent="0.35">
      <c r="A63" s="4">
        <v>1</v>
      </c>
      <c r="B63" s="13">
        <v>1043</v>
      </c>
      <c r="H63" s="6"/>
      <c r="I63" s="6"/>
      <c r="J63" s="6"/>
      <c r="K63" s="6"/>
      <c r="L63" s="6"/>
    </row>
    <row r="64" spans="1:12" x14ac:dyDescent="0.35">
      <c r="A64" s="4">
        <v>2</v>
      </c>
      <c r="B64" s="13">
        <v>387</v>
      </c>
    </row>
    <row r="65" spans="1:7" x14ac:dyDescent="0.35">
      <c r="A65" s="4">
        <v>3</v>
      </c>
      <c r="B65" s="13">
        <v>48</v>
      </c>
    </row>
    <row r="66" spans="1:7" x14ac:dyDescent="0.35">
      <c r="A66" s="4" t="s">
        <v>41</v>
      </c>
      <c r="B66" s="13">
        <v>2055</v>
      </c>
    </row>
    <row r="68" spans="1:7" x14ac:dyDescent="0.35">
      <c r="A68" s="3" t="s">
        <v>57</v>
      </c>
      <c r="B68" s="3" t="s">
        <v>58</v>
      </c>
      <c r="C68" t="s">
        <v>65</v>
      </c>
      <c r="E68" t="s">
        <v>57</v>
      </c>
      <c r="F68" t="s">
        <v>58</v>
      </c>
      <c r="G68" t="s">
        <v>65</v>
      </c>
    </row>
    <row r="69" spans="1:7" x14ac:dyDescent="0.35">
      <c r="A69" t="s">
        <v>59</v>
      </c>
      <c r="B69" t="s">
        <v>62</v>
      </c>
      <c r="C69" s="13">
        <v>788</v>
      </c>
      <c r="E69" t="s">
        <v>59</v>
      </c>
      <c r="F69" t="s">
        <v>62</v>
      </c>
      <c r="G69">
        <v>788</v>
      </c>
    </row>
    <row r="70" spans="1:7" x14ac:dyDescent="0.35">
      <c r="A70" t="s">
        <v>60</v>
      </c>
      <c r="B70" t="s">
        <v>62</v>
      </c>
      <c r="C70" s="13">
        <v>1548</v>
      </c>
      <c r="E70" t="s">
        <v>60</v>
      </c>
      <c r="F70" t="s">
        <v>62</v>
      </c>
      <c r="G70">
        <v>1548</v>
      </c>
    </row>
    <row r="71" spans="1:7" x14ac:dyDescent="0.35">
      <c r="A71" t="s">
        <v>60</v>
      </c>
      <c r="B71" t="s">
        <v>63</v>
      </c>
      <c r="C71" s="13">
        <v>2466</v>
      </c>
      <c r="E71" t="s">
        <v>60</v>
      </c>
      <c r="F71" t="s">
        <v>63</v>
      </c>
      <c r="G71">
        <v>2466</v>
      </c>
    </row>
    <row r="74" spans="1:7" x14ac:dyDescent="0.35">
      <c r="A74" s="5" t="s">
        <v>40</v>
      </c>
      <c r="B74" s="6" t="s">
        <v>52</v>
      </c>
    </row>
    <row r="75" spans="1:7" x14ac:dyDescent="0.35">
      <c r="A75" s="7" t="s">
        <v>69</v>
      </c>
      <c r="B75" s="6">
        <v>101.43421052631579</v>
      </c>
      <c r="C75" s="7" t="s">
        <v>69</v>
      </c>
      <c r="D75" s="6">
        <v>101.43421052631579</v>
      </c>
    </row>
    <row r="76" spans="1:7" x14ac:dyDescent="0.35">
      <c r="A76" s="7" t="s">
        <v>71</v>
      </c>
      <c r="B76" s="6">
        <v>235.07480314960631</v>
      </c>
      <c r="C76" s="7" t="s">
        <v>71</v>
      </c>
      <c r="D76" s="6">
        <v>235.07480314960631</v>
      </c>
    </row>
    <row r="77" spans="1:7" x14ac:dyDescent="0.35">
      <c r="A77" s="7" t="s">
        <v>70</v>
      </c>
      <c r="B77" s="6">
        <v>755.55818540433927</v>
      </c>
      <c r="C77" s="7" t="s">
        <v>70</v>
      </c>
      <c r="D77" s="6">
        <v>755.55818540433927</v>
      </c>
    </row>
    <row r="78" spans="1:7" x14ac:dyDescent="0.35">
      <c r="A78" s="7" t="s">
        <v>68</v>
      </c>
      <c r="B78" s="6">
        <v>1359.2696850393702</v>
      </c>
      <c r="C78" s="7" t="s">
        <v>68</v>
      </c>
      <c r="D78" s="6">
        <v>1359.2696850393702</v>
      </c>
    </row>
    <row r="79" spans="1:7" x14ac:dyDescent="0.35">
      <c r="A79" s="7" t="s">
        <v>41</v>
      </c>
      <c r="B79" s="6">
        <v>606.79221411192214</v>
      </c>
    </row>
    <row r="82" spans="1:5" x14ac:dyDescent="0.35">
      <c r="A82" s="5" t="s">
        <v>40</v>
      </c>
      <c r="B82" s="6" t="s">
        <v>65</v>
      </c>
    </row>
    <row r="83" spans="1:5" x14ac:dyDescent="0.35">
      <c r="A83" s="7" t="s">
        <v>69</v>
      </c>
      <c r="B83" s="6">
        <v>1124</v>
      </c>
      <c r="C83" t="s">
        <v>69</v>
      </c>
      <c r="D83" s="7" t="s">
        <v>69</v>
      </c>
      <c r="E83" s="6">
        <v>1124</v>
      </c>
    </row>
    <row r="84" spans="1:5" x14ac:dyDescent="0.35">
      <c r="A84" s="7" t="s">
        <v>71</v>
      </c>
      <c r="B84" s="6">
        <v>1402</v>
      </c>
      <c r="C84" t="s">
        <v>71</v>
      </c>
      <c r="D84" s="7" t="s">
        <v>71</v>
      </c>
      <c r="E84" s="6">
        <v>1402</v>
      </c>
    </row>
    <row r="85" spans="1:5" x14ac:dyDescent="0.35">
      <c r="A85" s="7" t="s">
        <v>70</v>
      </c>
      <c r="B85" s="6">
        <v>1546</v>
      </c>
      <c r="C85" t="s">
        <v>70</v>
      </c>
      <c r="D85" s="7" t="s">
        <v>70</v>
      </c>
      <c r="E85" s="6">
        <v>1546</v>
      </c>
    </row>
    <row r="86" spans="1:5" x14ac:dyDescent="0.35">
      <c r="A86" s="7" t="s">
        <v>68</v>
      </c>
      <c r="B86" s="6">
        <v>730</v>
      </c>
      <c r="C86" t="s">
        <v>68</v>
      </c>
      <c r="D86" s="7" t="s">
        <v>68</v>
      </c>
      <c r="E86" s="6">
        <v>730</v>
      </c>
    </row>
    <row r="87" spans="1:5" x14ac:dyDescent="0.35">
      <c r="A87" s="7" t="s">
        <v>41</v>
      </c>
      <c r="B87" s="6">
        <v>4802</v>
      </c>
      <c r="C87" t="s">
        <v>51</v>
      </c>
    </row>
    <row r="89" spans="1:5" x14ac:dyDescent="0.35">
      <c r="A89" s="5" t="s">
        <v>40</v>
      </c>
      <c r="B89" s="6" t="s">
        <v>50</v>
      </c>
      <c r="C89" s="6" t="s">
        <v>49</v>
      </c>
      <c r="D89" s="6" t="s">
        <v>48</v>
      </c>
    </row>
    <row r="90" spans="1:5" x14ac:dyDescent="0.35">
      <c r="A90" s="10">
        <v>0</v>
      </c>
      <c r="B90" s="6">
        <v>4.4506065857885613</v>
      </c>
      <c r="C90" s="6">
        <v>4.7920277296360485</v>
      </c>
      <c r="D90" s="6">
        <v>7.3015597920277298</v>
      </c>
    </row>
    <row r="91" spans="1:5" x14ac:dyDescent="0.35">
      <c r="A91" s="10">
        <v>1</v>
      </c>
      <c r="B91" s="6">
        <v>4.2895493767976989</v>
      </c>
      <c r="C91" s="6">
        <v>2.1371045062320229</v>
      </c>
      <c r="D91" s="6">
        <v>5.5599232981783313</v>
      </c>
    </row>
    <row r="92" spans="1:5" x14ac:dyDescent="0.35">
      <c r="A92" s="10">
        <v>2</v>
      </c>
      <c r="B92" s="6">
        <v>3.2273901808785528</v>
      </c>
      <c r="C92" s="6">
        <v>1.1111111111111112</v>
      </c>
      <c r="D92" s="6">
        <v>4.2894056847545219</v>
      </c>
    </row>
    <row r="93" spans="1:5" x14ac:dyDescent="0.35">
      <c r="A93" s="10">
        <v>3</v>
      </c>
      <c r="B93" s="6">
        <v>2.7291666666666665</v>
      </c>
      <c r="C93" s="6">
        <v>1.0416666666666667</v>
      </c>
      <c r="D93" s="6">
        <v>3.9583333333333335</v>
      </c>
    </row>
    <row r="94" spans="1:5" x14ac:dyDescent="0.35">
      <c r="A94" s="7" t="s">
        <v>41</v>
      </c>
      <c r="B94" s="6">
        <v>4.0982968369829686</v>
      </c>
      <c r="C94" s="6">
        <v>2.6637469586374696</v>
      </c>
      <c r="D94" s="6">
        <v>5.7722627737226277</v>
      </c>
    </row>
    <row r="96" spans="1:5" x14ac:dyDescent="0.35">
      <c r="A96" s="5" t="s">
        <v>40</v>
      </c>
      <c r="B96" s="6" t="s">
        <v>54</v>
      </c>
    </row>
    <row r="97" spans="1:2" x14ac:dyDescent="0.35">
      <c r="A97" s="10">
        <v>0</v>
      </c>
      <c r="B97" s="6">
        <v>3.4783362218370883</v>
      </c>
    </row>
    <row r="98" spans="1:2" x14ac:dyDescent="0.35">
      <c r="A98" s="10">
        <v>1</v>
      </c>
      <c r="B98" s="6">
        <v>5.9194630872483218</v>
      </c>
    </row>
    <row r="99" spans="1:2" x14ac:dyDescent="0.35">
      <c r="A99" s="10">
        <v>2</v>
      </c>
      <c r="B99" s="6">
        <v>6.3074935400516798</v>
      </c>
    </row>
    <row r="100" spans="1:2" x14ac:dyDescent="0.35">
      <c r="A100" s="10">
        <v>3</v>
      </c>
      <c r="B100" s="6">
        <v>6.354166666666667</v>
      </c>
    </row>
    <row r="101" spans="1:2" x14ac:dyDescent="0.35">
      <c r="A101" s="7" t="s">
        <v>41</v>
      </c>
      <c r="B101" s="6">
        <v>5.3172749391727496</v>
      </c>
    </row>
    <row r="103" spans="1:2" x14ac:dyDescent="0.35">
      <c r="A103" s="3" t="s">
        <v>40</v>
      </c>
      <c r="B103" t="s">
        <v>56</v>
      </c>
    </row>
    <row r="104" spans="1:2" x14ac:dyDescent="0.35">
      <c r="A104" s="4" t="s">
        <v>35</v>
      </c>
      <c r="B104" s="9">
        <v>52991.666666666664</v>
      </c>
    </row>
    <row r="105" spans="1:2" x14ac:dyDescent="0.35">
      <c r="A105" s="4" t="s">
        <v>33</v>
      </c>
      <c r="B105" s="9">
        <v>51889.174078780175</v>
      </c>
    </row>
    <row r="106" spans="1:2" x14ac:dyDescent="0.35">
      <c r="A106" s="4" t="s">
        <v>27</v>
      </c>
      <c r="B106" s="9">
        <v>50992.445945945947</v>
      </c>
    </row>
    <row r="107" spans="1:2" x14ac:dyDescent="0.35">
      <c r="A107" s="4" t="s">
        <v>29</v>
      </c>
      <c r="B107" s="9">
        <v>53413.134241245134</v>
      </c>
    </row>
    <row r="108" spans="1:2" x14ac:dyDescent="0.35">
      <c r="A108" s="4" t="s">
        <v>38</v>
      </c>
      <c r="B108" s="9">
        <v>56889.914285714287</v>
      </c>
    </row>
    <row r="109" spans="1:2" x14ac:dyDescent="0.35">
      <c r="A109" s="4" t="s">
        <v>41</v>
      </c>
      <c r="B109" s="9">
        <v>52368.424913835552</v>
      </c>
    </row>
  </sheetData>
  <sortState xmlns:xlrd2="http://schemas.microsoft.com/office/spreadsheetml/2017/richdata2" ref="A83:B87">
    <sortCondition ref="A83" customList="Low,Mid-low,Mid-high,High"/>
  </sortState>
  <pageMargins left="0.7" right="0.7" top="0.75" bottom="0.75" header="0.3" footer="0.3"/>
  <pageSetup orientation="portrait" r:id="rId1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Customer Dashboard</vt:lpstr>
      <vt:lpstr>Purchases Dashboard</vt:lpstr>
      <vt:lpstr>marketing_campaign</vt:lpstr>
      <vt:lpstr>Tables</vt:lpstr>
      <vt:lpstr>Education</vt:lpstr>
      <vt:lpstr>Marital_Status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Admin</cp:lastModifiedBy>
  <dcterms:created xsi:type="dcterms:W3CDTF">2023-04-02T08:36:41Z</dcterms:created>
  <dcterms:modified xsi:type="dcterms:W3CDTF">2023-04-07T22:32:46Z</dcterms:modified>
</cp:coreProperties>
</file>